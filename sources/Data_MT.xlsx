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67AC1065-8555-418D-9372-1F1C73C64AFA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ead First" sheetId="6" r:id="rId1"/>
    <sheet name="SARI_per_10x5pop" sheetId="2" r:id="rId2"/>
    <sheet name="Positivity SARS-CoV-2" sheetId="3" r:id="rId3"/>
    <sheet name="Positivity Influenza" sheetId="4" r:id="rId4"/>
    <sheet name="Positivity RSV" sheetId="5" r:id="rId5"/>
  </sheets>
  <definedNames>
    <definedName name="_xlnm._FilterDatabase" localSheetId="3" hidden="1">'Positivity Influenza'!$C$1:$H$118</definedName>
    <definedName name="_xlnm._FilterDatabase" localSheetId="4" hidden="1">'Positivity RSV'!$A$1:$H$118</definedName>
    <definedName name="_xlnm._FilterDatabase" localSheetId="2" hidden="1">'Positivity SARS-CoV-2'!$A$1:$H$118</definedName>
    <definedName name="_xlnm._FilterDatabase" localSheetId="1" hidden="1">SARI_per_10x5pop!$A$1:$U$1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4" i="2" l="1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67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T2" i="2"/>
  <c r="Q2" i="2"/>
  <c r="N2" i="2"/>
  <c r="K2" i="2"/>
  <c r="H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15" i="2"/>
</calcChain>
</file>

<file path=xl/sharedStrings.xml><?xml version="1.0" encoding="utf-8"?>
<sst xmlns="http://schemas.openxmlformats.org/spreadsheetml/2006/main" count="982" uniqueCount="158">
  <si>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</si>
  <si>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</si>
  <si>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</si>
  <si>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</si>
  <si>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</si>
  <si>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</si>
  <si>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</si>
  <si>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</si>
  <si>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</si>
  <si>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</si>
  <si>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</si>
  <si>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</si>
  <si>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</si>
  <si>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</si>
  <si>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</si>
  <si>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</si>
  <si>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</si>
  <si>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</si>
  <si>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</si>
  <si>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</si>
  <si>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</si>
  <si>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</si>
  <si>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</si>
  <si>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</si>
  <si>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</si>
  <si>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</si>
  <si>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</si>
  <si>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</si>
  <si>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</si>
  <si>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</si>
  <si>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</si>
  <si>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</si>
  <si>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</si>
  <si>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</si>
  <si>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</si>
  <si>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</si>
  <si>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</si>
  <si>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</si>
  <si>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</si>
  <si>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</si>
  <si>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</si>
  <si>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</si>
  <si>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</si>
  <si>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</si>
  <si>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</si>
  <si>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</si>
  <si>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</si>
  <si>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</si>
  <si>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</si>
  <si>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</si>
  <si>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</si>
  <si>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</si>
  <si>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</si>
  <si>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</si>
  <si>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</si>
  <si>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</si>
  <si>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</si>
  <si>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</si>
  <si>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</si>
  <si>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</si>
  <si>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</si>
  <si>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</si>
  <si>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</si>
  <si>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</si>
  <si>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</si>
  <si>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week</t>
  </si>
  <si>
    <t>country</t>
  </si>
  <si>
    <t>MT</t>
  </si>
  <si>
    <t>saricase0_4</t>
  </si>
  <si>
    <t>saricase05_14</t>
  </si>
  <si>
    <t>saricase_total</t>
  </si>
  <si>
    <t>sc2_pos_0_4</t>
  </si>
  <si>
    <t>sc2_pos_5_14</t>
  </si>
  <si>
    <t>sc2_pos_15_29</t>
  </si>
  <si>
    <t>sc2_pos_30_64</t>
  </si>
  <si>
    <t>sc2_pos_total</t>
  </si>
  <si>
    <t>flu_pos_0_4</t>
  </si>
  <si>
    <t>flu_pos_5_14</t>
  </si>
  <si>
    <t>flu_pos_15_29</t>
  </si>
  <si>
    <t>flu_pos_30_64</t>
  </si>
  <si>
    <t>flu_pos_total</t>
  </si>
  <si>
    <t>rsv_pos_0_4</t>
  </si>
  <si>
    <t>rsv_pos_5_14</t>
  </si>
  <si>
    <t>rsv_pos_15_29</t>
  </si>
  <si>
    <t>rsv_pos_30_64</t>
  </si>
  <si>
    <t>rsv_pos_total</t>
  </si>
  <si>
    <t>saricase15_29</t>
  </si>
  <si>
    <t>saricase30_64</t>
  </si>
  <si>
    <t>saricase65+</t>
  </si>
  <si>
    <t>catchment0_4</t>
  </si>
  <si>
    <t>saricaserate0_4</t>
  </si>
  <si>
    <t>catchment05_14</t>
  </si>
  <si>
    <t>saricaserate05_14</t>
  </si>
  <si>
    <t>catchment15_29</t>
  </si>
  <si>
    <t>saricaserate15_29</t>
  </si>
  <si>
    <t>catchment30_64</t>
  </si>
  <si>
    <t>saricaserate30_64</t>
  </si>
  <si>
    <t>catchment65+</t>
  </si>
  <si>
    <t>catchment_total</t>
  </si>
  <si>
    <t>saricaserate_total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</si>
  <si>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</si>
  <si>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</si>
  <si>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</si>
  <si>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</si>
  <si>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</si>
  <si>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</si>
  <si>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</si>
  <si>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</si>
  <si>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</si>
  <si>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</si>
  <si>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</si>
  <si>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</si>
  <si>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</si>
  <si>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</si>
  <si>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</si>
  <si>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</si>
  <si>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</si>
  <si>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</si>
  <si>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</si>
  <si>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</si>
  <si>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</si>
  <si>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</si>
  <si>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</si>
  <si>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</si>
  <si>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</si>
  <si>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</si>
  <si>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</si>
  <si>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</si>
  <si>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</si>
  <si>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</si>
  <si>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</si>
  <si>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</si>
  <si>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</si>
  <si>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</si>
  <si>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</si>
  <si>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</si>
  <si>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</si>
  <si>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</si>
  <si>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</si>
  <si>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</si>
  <si>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</si>
  <si>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</si>
  <si>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</si>
  <si>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</si>
  <si>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</si>
  <si>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</si>
  <si>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</si>
  <si>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</si>
  <si>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</si>
  <si>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</si>
  <si>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</si>
  <si>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</si>
  <si>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 xml:space="preserve">Please complete the Excel sheets up to week 52 of 2025. </t>
  </si>
  <si>
    <t xml:space="preserve">The template shows information from last year's report. You are welcome to update that information if you think it is inaccurate. </t>
  </si>
  <si>
    <t>saricaserate65plus</t>
  </si>
  <si>
    <t>sc2_pos_65plus</t>
  </si>
  <si>
    <t>flu_pos_65plus</t>
  </si>
  <si>
    <t>rsv_pos_65plus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</si>
</sst>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right"/>
    </xf>
    <xf numFmtId="0" fontId="2" fillId="0" borderId="1" xfId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2" fillId="0" borderId="0" xfId="1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1" applyFont="1" applyBorder="1" applyAlignment="1">
      <alignment vertical="center"/>
    </xf>
    <xf numFmtId="0" fontId="8" fillId="0" borderId="0" xfId="1" applyFont="1"/>
    <xf numFmtId="164" fontId="6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0" fontId="9" fillId="0" borderId="1" xfId="0" applyFont="1" applyBorder="1"/>
    <xf numFmtId="0" fontId="10" fillId="2" borderId="1" xfId="0" applyFont="1" applyFill="1" applyBorder="1" applyAlignment="1">
      <alignment vertical="center" wrapText="1"/>
    </xf>
    <xf numFmtId="164" fontId="1" fillId="0" borderId="0" xfId="1" applyNumberFormat="1"/>
    <xf numFmtId="164" fontId="10" fillId="2" borderId="1" xfId="0" applyNumberFormat="1" applyFont="1" applyFill="1" applyBorder="1" applyAlignment="1">
      <alignment vertical="center" wrapText="1"/>
    </xf>
    <xf numFmtId="0" fontId="1" fillId="0" borderId="2" xfId="1" applyBorder="1"/>
    <xf numFmtId="0" fontId="1" fillId="0" borderId="2" xfId="1" applyBorder="1" applyAlignment="1">
      <alignment horizontal="right"/>
    </xf>
    <xf numFmtId="0" fontId="2" fillId="0" borderId="1" xfId="1" applyFont="1" applyBorder="1"/>
    <xf numFmtId="0" fontId="0" fillId="3" borderId="0" xfId="0" applyFill="1"/>
    <xf numFmtId="0" fontId="10" fillId="0" borderId="1" xfId="1" applyFont="1" applyBorder="1"/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C48C-E4CC-4120-980A-5E8B5981EE1E}">
  <dimension ref="A3:A4"/>
  <sheetViews>
    <sheetView workbookViewId="0">
      <selection activeCell="A4" sqref="A4"/>
    </sheetView>
  </sheetViews>
  <sheetFormatPr defaultColWidth="8.88671875" defaultRowHeight="14.4" x14ac:dyDescent="0.3"/>
  <cols>
    <col min="1" max="16384" width="8.88671875" style="22"/>
  </cols>
  <sheetData>
    <row r="3" spans="1:1" x14ac:dyDescent="0.3">
      <c r="A3" s="22" t="s">
        <v>152</v>
      </c>
    </row>
    <row r="4" spans="1:1" x14ac:dyDescent="0.3">
      <c r="A4" s="22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U118"/>
  <sheetViews>
    <sheetView workbookViewId="0">
      <pane xSplit="2" ySplit="1" topLeftCell="G2" activePane="bottomRight" state="frozen"/>
      <selection pane="topRight" activeCell="B1" sqref="B1"/>
      <selection pane="bottomLeft" activeCell="A2" sqref="A2"/>
      <selection pane="bottomRight" activeCell="P13" sqref="P13"/>
    </sheetView>
  </sheetViews>
  <sheetFormatPr defaultColWidth="8.88671875" defaultRowHeight="14.4" x14ac:dyDescent="0.3"/>
  <cols>
    <col min="1" max="1" width="8.88671875" style="2"/>
    <col min="2" max="2" width="9.44140625" style="2" bestFit="1" customWidth="1"/>
    <col min="3" max="3" width="11" style="2" customWidth="1"/>
    <col min="4" max="4" width="18.21875" style="2" customWidth="1"/>
    <col min="5" max="5" width="13.44140625" style="17" bestFit="1" customWidth="1"/>
    <col min="6" max="8" width="17" style="2" customWidth="1"/>
    <col min="9" max="9" width="15.77734375" style="2" customWidth="1"/>
    <col min="10" max="10" width="20" style="2" customWidth="1"/>
    <col min="11" max="11" width="16.5546875" style="2" customWidth="1"/>
    <col min="12" max="12" width="12.109375" style="2" customWidth="1"/>
    <col min="13" max="13" width="17.77734375" style="2" bestFit="1" customWidth="1"/>
    <col min="14" max="14" width="12.109375" style="2" customWidth="1"/>
    <col min="15" max="15" width="11.6640625" style="2" customWidth="1"/>
    <col min="16" max="16" width="16" style="2" bestFit="1" customWidth="1"/>
    <col min="17" max="17" width="11.6640625" style="2" customWidth="1"/>
    <col min="18" max="18" width="16.88671875" style="2" customWidth="1"/>
    <col min="19" max="19" width="16.44140625" style="2" customWidth="1"/>
    <col min="20" max="20" width="18.6640625" style="2" customWidth="1"/>
    <col min="21" max="16384" width="8.88671875" style="2"/>
  </cols>
  <sheetData>
    <row r="1" spans="1:21" x14ac:dyDescent="0.3">
      <c r="A1" s="11" t="s">
        <v>66</v>
      </c>
      <c r="B1" s="11" t="s">
        <v>65</v>
      </c>
      <c r="C1" s="6" t="s">
        <v>68</v>
      </c>
      <c r="D1" s="6" t="s">
        <v>89</v>
      </c>
      <c r="E1" s="13" t="s">
        <v>90</v>
      </c>
      <c r="F1" s="7" t="s">
        <v>69</v>
      </c>
      <c r="G1" s="7" t="s">
        <v>91</v>
      </c>
      <c r="H1" s="13" t="s">
        <v>92</v>
      </c>
      <c r="I1" s="6" t="s">
        <v>86</v>
      </c>
      <c r="J1" s="6" t="s">
        <v>93</v>
      </c>
      <c r="K1" s="13" t="s">
        <v>94</v>
      </c>
      <c r="L1" s="6" t="s">
        <v>87</v>
      </c>
      <c r="M1" s="6" t="s">
        <v>95</v>
      </c>
      <c r="N1" s="13" t="s">
        <v>96</v>
      </c>
      <c r="O1" s="6" t="s">
        <v>88</v>
      </c>
      <c r="P1" s="6" t="s">
        <v>97</v>
      </c>
      <c r="Q1" s="13" t="s">
        <v>154</v>
      </c>
      <c r="R1" s="6" t="s">
        <v>70</v>
      </c>
      <c r="S1" s="6" t="s">
        <v>98</v>
      </c>
      <c r="T1" s="14" t="s">
        <v>99</v>
      </c>
      <c r="U1" s="12"/>
    </row>
    <row r="2" spans="1:21" ht="15.6" x14ac:dyDescent="0.3">
      <c r="A2" s="3" t="s">
        <v>67</v>
      </c>
      <c r="B2" s="3" t="s">
        <v>0</v>
      </c>
      <c r="C2" s="3">
        <v>14</v>
      </c>
      <c r="D2" s="15">
        <v>22514</v>
      </c>
      <c r="E2" s="18">
        <f t="shared" ref="E2:E14" si="0">C2/D2*100000</f>
        <v>62.183530247845781</v>
      </c>
      <c r="F2" s="3">
        <v>2</v>
      </c>
      <c r="G2" s="15">
        <v>46468</v>
      </c>
      <c r="H2" s="18">
        <f t="shared" ref="H2:H65" si="1">F2/G2*100000</f>
        <v>4.3040371868812946</v>
      </c>
      <c r="I2" s="3">
        <v>1</v>
      </c>
      <c r="J2" s="15">
        <v>99845</v>
      </c>
      <c r="K2" s="18">
        <f t="shared" ref="K2:K65" si="2">I2/J2*100000</f>
        <v>1.0015524062296559</v>
      </c>
      <c r="L2" s="3">
        <v>3</v>
      </c>
      <c r="M2" s="16">
        <v>272474</v>
      </c>
      <c r="N2" s="18">
        <f t="shared" ref="N2:N65" si="3">L2/M2*100000</f>
        <v>1.1010224828791004</v>
      </c>
      <c r="O2" s="3">
        <v>13</v>
      </c>
      <c r="P2" s="15">
        <v>100750</v>
      </c>
      <c r="Q2" s="18">
        <f t="shared" ref="Q2:Q65" si="4">O2/P2*100000</f>
        <v>12.903225806451614</v>
      </c>
      <c r="R2" s="3">
        <v>46</v>
      </c>
      <c r="S2" s="15">
        <v>542051</v>
      </c>
      <c r="T2" s="18">
        <f t="shared" ref="T2:T65" si="5">R2/S2*100000</f>
        <v>8.4862863457497539</v>
      </c>
    </row>
    <row r="3" spans="1:21" ht="15.6" x14ac:dyDescent="0.3">
      <c r="A3" s="3" t="s">
        <v>67</v>
      </c>
      <c r="B3" s="3" t="s">
        <v>1</v>
      </c>
      <c r="C3" s="3">
        <v>13</v>
      </c>
      <c r="D3" s="15">
        <v>22514</v>
      </c>
      <c r="E3" s="18">
        <f t="shared" si="0"/>
        <v>57.741849515856799</v>
      </c>
      <c r="F3" s="3">
        <v>3</v>
      </c>
      <c r="G3" s="15">
        <v>46468</v>
      </c>
      <c r="H3" s="18">
        <f t="shared" si="1"/>
        <v>6.4560557803219414</v>
      </c>
      <c r="I3" s="3">
        <v>0</v>
      </c>
      <c r="J3" s="15">
        <v>99845</v>
      </c>
      <c r="K3" s="18">
        <f t="shared" si="2"/>
        <v>0</v>
      </c>
      <c r="L3" s="3">
        <v>10</v>
      </c>
      <c r="M3" s="16">
        <v>272474</v>
      </c>
      <c r="N3" s="18">
        <f t="shared" si="3"/>
        <v>3.6700749429303348</v>
      </c>
      <c r="O3" s="3">
        <v>17</v>
      </c>
      <c r="P3" s="15">
        <v>100750</v>
      </c>
      <c r="Q3" s="18">
        <f t="shared" si="4"/>
        <v>16.873449131513649</v>
      </c>
      <c r="R3" s="3">
        <v>60</v>
      </c>
      <c r="S3" s="15">
        <v>542051</v>
      </c>
      <c r="T3" s="18">
        <f t="shared" si="5"/>
        <v>11.069069146630113</v>
      </c>
    </row>
    <row r="4" spans="1:21" ht="15.6" x14ac:dyDescent="0.3">
      <c r="A4" s="3" t="s">
        <v>67</v>
      </c>
      <c r="B4" s="3" t="s">
        <v>2</v>
      </c>
      <c r="C4" s="3">
        <v>17</v>
      </c>
      <c r="D4" s="15">
        <v>22514</v>
      </c>
      <c r="E4" s="18">
        <f t="shared" si="0"/>
        <v>75.508572443812739</v>
      </c>
      <c r="F4" s="3">
        <v>2</v>
      </c>
      <c r="G4" s="3">
        <v>46468</v>
      </c>
      <c r="H4" s="18">
        <f t="shared" si="1"/>
        <v>4.3040371868812946</v>
      </c>
      <c r="I4" s="3">
        <v>1</v>
      </c>
      <c r="J4" s="15">
        <v>99845</v>
      </c>
      <c r="K4" s="18">
        <f t="shared" si="2"/>
        <v>1.0015524062296559</v>
      </c>
      <c r="L4" s="3">
        <v>6</v>
      </c>
      <c r="M4" s="16">
        <v>272474</v>
      </c>
      <c r="N4" s="18">
        <f t="shared" si="3"/>
        <v>2.2020449657582009</v>
      </c>
      <c r="O4" s="3">
        <v>21</v>
      </c>
      <c r="P4" s="15">
        <v>100750</v>
      </c>
      <c r="Q4" s="18">
        <f t="shared" si="4"/>
        <v>20.843672456575682</v>
      </c>
      <c r="R4" s="3">
        <v>68</v>
      </c>
      <c r="S4" s="15">
        <v>542051</v>
      </c>
      <c r="T4" s="18">
        <f t="shared" si="5"/>
        <v>12.544945032847462</v>
      </c>
    </row>
    <row r="5" spans="1:21" ht="15.6" x14ac:dyDescent="0.3">
      <c r="A5" s="3" t="s">
        <v>67</v>
      </c>
      <c r="B5" s="3" t="s">
        <v>3</v>
      </c>
      <c r="C5" s="3">
        <v>25</v>
      </c>
      <c r="D5" s="15">
        <v>22514</v>
      </c>
      <c r="E5" s="18">
        <f t="shared" si="0"/>
        <v>111.04201829972463</v>
      </c>
      <c r="F5" s="3">
        <v>3</v>
      </c>
      <c r="G5" s="3">
        <v>46468</v>
      </c>
      <c r="H5" s="18">
        <f t="shared" si="1"/>
        <v>6.4560557803219414</v>
      </c>
      <c r="I5" s="3">
        <v>1</v>
      </c>
      <c r="J5" s="15">
        <v>99845</v>
      </c>
      <c r="K5" s="18">
        <f t="shared" si="2"/>
        <v>1.0015524062296559</v>
      </c>
      <c r="L5" s="3">
        <v>4</v>
      </c>
      <c r="M5" s="16">
        <v>272474</v>
      </c>
      <c r="N5" s="18">
        <f t="shared" si="3"/>
        <v>1.4680299771721339</v>
      </c>
      <c r="O5" s="3">
        <v>12</v>
      </c>
      <c r="P5" s="15">
        <v>100750</v>
      </c>
      <c r="Q5" s="18">
        <f t="shared" si="4"/>
        <v>11.910669975186103</v>
      </c>
      <c r="R5" s="3">
        <v>57</v>
      </c>
      <c r="S5" s="15">
        <v>542051</v>
      </c>
      <c r="T5" s="18">
        <f t="shared" si="5"/>
        <v>10.515615689298608</v>
      </c>
    </row>
    <row r="6" spans="1:21" ht="15.6" x14ac:dyDescent="0.3">
      <c r="A6" s="3" t="s">
        <v>67</v>
      </c>
      <c r="B6" s="3" t="s">
        <v>4</v>
      </c>
      <c r="C6" s="3">
        <v>27</v>
      </c>
      <c r="D6" s="15">
        <v>22514</v>
      </c>
      <c r="E6" s="18">
        <f t="shared" si="0"/>
        <v>119.92537976370258</v>
      </c>
      <c r="F6" s="3">
        <v>1</v>
      </c>
      <c r="G6" s="3">
        <v>46468</v>
      </c>
      <c r="H6" s="18">
        <f t="shared" si="1"/>
        <v>2.1520185934406473</v>
      </c>
      <c r="I6" s="3">
        <v>0</v>
      </c>
      <c r="J6" s="15">
        <v>99845</v>
      </c>
      <c r="K6" s="18">
        <f t="shared" si="2"/>
        <v>0</v>
      </c>
      <c r="L6" s="3">
        <v>3</v>
      </c>
      <c r="M6" s="16">
        <v>272474</v>
      </c>
      <c r="N6" s="18">
        <f t="shared" si="3"/>
        <v>1.1010224828791004</v>
      </c>
      <c r="O6" s="3">
        <v>14</v>
      </c>
      <c r="P6" s="15">
        <v>100750</v>
      </c>
      <c r="Q6" s="18">
        <f t="shared" si="4"/>
        <v>13.895781637717121</v>
      </c>
      <c r="R6" s="3">
        <v>59</v>
      </c>
      <c r="S6" s="15">
        <v>542051</v>
      </c>
      <c r="T6" s="18">
        <f t="shared" si="5"/>
        <v>10.884584660852946</v>
      </c>
    </row>
    <row r="7" spans="1:21" ht="15.6" x14ac:dyDescent="0.3">
      <c r="A7" s="3" t="s">
        <v>67</v>
      </c>
      <c r="B7" s="3" t="s">
        <v>5</v>
      </c>
      <c r="C7" s="3">
        <v>14</v>
      </c>
      <c r="D7" s="15">
        <v>22514</v>
      </c>
      <c r="E7" s="18">
        <f t="shared" si="0"/>
        <v>62.183530247845781</v>
      </c>
      <c r="F7" s="3">
        <v>2</v>
      </c>
      <c r="G7" s="3">
        <v>46468</v>
      </c>
      <c r="H7" s="18">
        <f t="shared" si="1"/>
        <v>4.3040371868812946</v>
      </c>
      <c r="I7" s="3">
        <v>0</v>
      </c>
      <c r="J7" s="15">
        <v>99845</v>
      </c>
      <c r="K7" s="18">
        <f t="shared" si="2"/>
        <v>0</v>
      </c>
      <c r="L7" s="3">
        <v>4</v>
      </c>
      <c r="M7" s="16">
        <v>272474</v>
      </c>
      <c r="N7" s="18">
        <f t="shared" si="3"/>
        <v>1.4680299771721339</v>
      </c>
      <c r="O7" s="3">
        <v>18</v>
      </c>
      <c r="P7" s="15">
        <v>100750</v>
      </c>
      <c r="Q7" s="18">
        <f t="shared" si="4"/>
        <v>17.866004962779158</v>
      </c>
      <c r="R7" s="3">
        <v>56</v>
      </c>
      <c r="S7" s="15">
        <v>542051</v>
      </c>
      <c r="T7" s="18">
        <f t="shared" si="5"/>
        <v>10.331131203521441</v>
      </c>
    </row>
    <row r="8" spans="1:21" ht="15.6" x14ac:dyDescent="0.3">
      <c r="A8" s="3" t="s">
        <v>67</v>
      </c>
      <c r="B8" s="3" t="s">
        <v>6</v>
      </c>
      <c r="C8" s="3">
        <v>17</v>
      </c>
      <c r="D8" s="15">
        <v>22514</v>
      </c>
      <c r="E8" s="18">
        <f t="shared" si="0"/>
        <v>75.508572443812739</v>
      </c>
      <c r="F8" s="3">
        <v>2</v>
      </c>
      <c r="G8" s="3">
        <v>46468</v>
      </c>
      <c r="H8" s="18">
        <f t="shared" si="1"/>
        <v>4.3040371868812946</v>
      </c>
      <c r="I8" s="3">
        <v>0</v>
      </c>
      <c r="J8" s="15">
        <v>99845</v>
      </c>
      <c r="K8" s="18">
        <f t="shared" si="2"/>
        <v>0</v>
      </c>
      <c r="L8" s="3">
        <v>9</v>
      </c>
      <c r="M8" s="16">
        <v>272474</v>
      </c>
      <c r="N8" s="18">
        <f t="shared" si="3"/>
        <v>3.3030674486373011</v>
      </c>
      <c r="O8" s="3">
        <v>15</v>
      </c>
      <c r="P8" s="15">
        <v>100750</v>
      </c>
      <c r="Q8" s="18">
        <f t="shared" si="4"/>
        <v>14.88833746898263</v>
      </c>
      <c r="R8" s="3">
        <v>58</v>
      </c>
      <c r="S8" s="15">
        <v>542051</v>
      </c>
      <c r="T8" s="18">
        <f t="shared" si="5"/>
        <v>10.700100175075777</v>
      </c>
    </row>
    <row r="9" spans="1:21" ht="15.6" x14ac:dyDescent="0.3">
      <c r="A9" s="3" t="s">
        <v>67</v>
      </c>
      <c r="B9" s="3" t="s">
        <v>7</v>
      </c>
      <c r="C9" s="3">
        <v>15</v>
      </c>
      <c r="D9" s="15">
        <v>22514</v>
      </c>
      <c r="E9" s="18">
        <f t="shared" si="0"/>
        <v>66.625210979834776</v>
      </c>
      <c r="F9" s="3">
        <v>1</v>
      </c>
      <c r="G9" s="3">
        <v>46468</v>
      </c>
      <c r="H9" s="18">
        <f t="shared" si="1"/>
        <v>2.1520185934406473</v>
      </c>
      <c r="I9" s="3">
        <v>1</v>
      </c>
      <c r="J9" s="15">
        <v>99845</v>
      </c>
      <c r="K9" s="18">
        <f t="shared" si="2"/>
        <v>1.0015524062296559</v>
      </c>
      <c r="L9" s="3">
        <v>5</v>
      </c>
      <c r="M9" s="16">
        <v>272474</v>
      </c>
      <c r="N9" s="18">
        <f t="shared" si="3"/>
        <v>1.8350374714651674</v>
      </c>
      <c r="O9" s="3">
        <v>18</v>
      </c>
      <c r="P9" s="15">
        <v>100750</v>
      </c>
      <c r="Q9" s="18">
        <f t="shared" si="4"/>
        <v>17.866004962779158</v>
      </c>
      <c r="R9" s="3">
        <v>58</v>
      </c>
      <c r="S9" s="15">
        <v>542051</v>
      </c>
      <c r="T9" s="18">
        <f t="shared" si="5"/>
        <v>10.700100175075777</v>
      </c>
    </row>
    <row r="10" spans="1:21" ht="15.6" x14ac:dyDescent="0.3">
      <c r="A10" s="3" t="s">
        <v>67</v>
      </c>
      <c r="B10" s="3" t="s">
        <v>8</v>
      </c>
      <c r="C10" s="3">
        <v>10</v>
      </c>
      <c r="D10" s="15">
        <v>22514</v>
      </c>
      <c r="E10" s="18">
        <f t="shared" si="0"/>
        <v>44.416807319889848</v>
      </c>
      <c r="F10" s="3">
        <v>4</v>
      </c>
      <c r="G10" s="3">
        <v>46468</v>
      </c>
      <c r="H10" s="18">
        <f t="shared" si="1"/>
        <v>8.6080743737625891</v>
      </c>
      <c r="I10" s="3">
        <v>2</v>
      </c>
      <c r="J10" s="15">
        <v>99845</v>
      </c>
      <c r="K10" s="18">
        <f t="shared" si="2"/>
        <v>2.0031048124593118</v>
      </c>
      <c r="L10" s="3">
        <v>5</v>
      </c>
      <c r="M10" s="16">
        <v>272474</v>
      </c>
      <c r="N10" s="18">
        <f t="shared" si="3"/>
        <v>1.8350374714651674</v>
      </c>
      <c r="O10" s="3">
        <v>21</v>
      </c>
      <c r="P10" s="15">
        <v>100750</v>
      </c>
      <c r="Q10" s="18">
        <f t="shared" si="4"/>
        <v>20.843672456575682</v>
      </c>
      <c r="R10" s="3">
        <v>63</v>
      </c>
      <c r="S10" s="15">
        <v>542051</v>
      </c>
      <c r="T10" s="18">
        <f t="shared" si="5"/>
        <v>11.62252260396162</v>
      </c>
    </row>
    <row r="11" spans="1:21" ht="15.6" x14ac:dyDescent="0.3">
      <c r="A11" s="3" t="s">
        <v>67</v>
      </c>
      <c r="B11" s="3" t="s">
        <v>9</v>
      </c>
      <c r="C11" s="3">
        <v>26</v>
      </c>
      <c r="D11" s="15">
        <v>22514</v>
      </c>
      <c r="E11" s="18">
        <f t="shared" si="0"/>
        <v>115.4836990317136</v>
      </c>
      <c r="F11" s="3">
        <v>3</v>
      </c>
      <c r="G11" s="3">
        <v>46468</v>
      </c>
      <c r="H11" s="18">
        <f t="shared" si="1"/>
        <v>6.4560557803219414</v>
      </c>
      <c r="I11" s="3">
        <v>1</v>
      </c>
      <c r="J11" s="15">
        <v>99845</v>
      </c>
      <c r="K11" s="18">
        <f t="shared" si="2"/>
        <v>1.0015524062296559</v>
      </c>
      <c r="L11" s="3">
        <v>3</v>
      </c>
      <c r="M11" s="16">
        <v>272474</v>
      </c>
      <c r="N11" s="18">
        <f t="shared" si="3"/>
        <v>1.1010224828791004</v>
      </c>
      <c r="O11" s="3">
        <v>25</v>
      </c>
      <c r="P11" s="15">
        <v>100750</v>
      </c>
      <c r="Q11" s="18">
        <f t="shared" si="4"/>
        <v>24.813895781637719</v>
      </c>
      <c r="R11" s="3">
        <v>83</v>
      </c>
      <c r="S11" s="15">
        <v>542051</v>
      </c>
      <c r="T11" s="18">
        <f t="shared" si="5"/>
        <v>15.312212319504992</v>
      </c>
    </row>
    <row r="12" spans="1:21" ht="15.6" x14ac:dyDescent="0.3">
      <c r="A12" s="3" t="s">
        <v>67</v>
      </c>
      <c r="B12" s="3" t="s">
        <v>10</v>
      </c>
      <c r="C12" s="3">
        <v>14</v>
      </c>
      <c r="D12" s="15">
        <v>22514</v>
      </c>
      <c r="E12" s="18">
        <f t="shared" si="0"/>
        <v>62.183530247845781</v>
      </c>
      <c r="F12" s="3">
        <v>5</v>
      </c>
      <c r="G12" s="3">
        <v>46468</v>
      </c>
      <c r="H12" s="18">
        <f t="shared" si="1"/>
        <v>10.760092967203237</v>
      </c>
      <c r="I12" s="3">
        <v>2</v>
      </c>
      <c r="J12" s="15">
        <v>99845</v>
      </c>
      <c r="K12" s="18">
        <f t="shared" si="2"/>
        <v>2.0031048124593118</v>
      </c>
      <c r="L12" s="3">
        <v>11</v>
      </c>
      <c r="M12" s="16">
        <v>272474</v>
      </c>
      <c r="N12" s="18">
        <f t="shared" si="3"/>
        <v>4.0370824372233676</v>
      </c>
      <c r="O12" s="3">
        <v>29</v>
      </c>
      <c r="P12" s="15">
        <v>100750</v>
      </c>
      <c r="Q12" s="18">
        <f t="shared" si="4"/>
        <v>28.784119106699752</v>
      </c>
      <c r="R12" s="3">
        <v>90</v>
      </c>
      <c r="S12" s="15">
        <v>542051</v>
      </c>
      <c r="T12" s="18">
        <f t="shared" si="5"/>
        <v>16.60360371994517</v>
      </c>
    </row>
    <row r="13" spans="1:21" ht="15.6" x14ac:dyDescent="0.3">
      <c r="A13" s="3" t="s">
        <v>67</v>
      </c>
      <c r="B13" s="3" t="s">
        <v>11</v>
      </c>
      <c r="C13" s="3">
        <v>21</v>
      </c>
      <c r="D13" s="15">
        <v>22514</v>
      </c>
      <c r="E13" s="18">
        <f t="shared" si="0"/>
        <v>93.275295371768678</v>
      </c>
      <c r="F13" s="3">
        <v>3</v>
      </c>
      <c r="G13" s="3">
        <v>46468</v>
      </c>
      <c r="H13" s="18">
        <f t="shared" si="1"/>
        <v>6.4560557803219414</v>
      </c>
      <c r="I13" s="3">
        <v>4</v>
      </c>
      <c r="J13" s="15">
        <v>99845</v>
      </c>
      <c r="K13" s="18">
        <f t="shared" si="2"/>
        <v>4.0062096249186236</v>
      </c>
      <c r="L13" s="3">
        <v>5</v>
      </c>
      <c r="M13" s="16">
        <v>272474</v>
      </c>
      <c r="N13" s="18">
        <f t="shared" si="3"/>
        <v>1.8350374714651674</v>
      </c>
      <c r="O13" s="3">
        <v>34</v>
      </c>
      <c r="P13" s="15">
        <v>100750</v>
      </c>
      <c r="Q13" s="18">
        <f t="shared" si="4"/>
        <v>33.746898263027298</v>
      </c>
      <c r="R13" s="3">
        <v>101</v>
      </c>
      <c r="S13" s="15">
        <v>542051</v>
      </c>
      <c r="T13" s="18">
        <f t="shared" si="5"/>
        <v>18.632933063494026</v>
      </c>
    </row>
    <row r="14" spans="1:21" ht="15.6" x14ac:dyDescent="0.3">
      <c r="A14" s="3" t="s">
        <v>67</v>
      </c>
      <c r="B14" s="3" t="s">
        <v>12</v>
      </c>
      <c r="C14" s="3">
        <v>12</v>
      </c>
      <c r="D14" s="15">
        <v>22514</v>
      </c>
      <c r="E14" s="18">
        <f t="shared" si="0"/>
        <v>53.300168783867811</v>
      </c>
      <c r="F14" s="3">
        <v>7</v>
      </c>
      <c r="G14" s="3">
        <v>46468</v>
      </c>
      <c r="H14" s="18">
        <f t="shared" si="1"/>
        <v>15.064130154084532</v>
      </c>
      <c r="I14" s="3">
        <v>0</v>
      </c>
      <c r="J14" s="15">
        <v>99845</v>
      </c>
      <c r="K14" s="18">
        <f t="shared" si="2"/>
        <v>0</v>
      </c>
      <c r="L14" s="3">
        <v>7</v>
      </c>
      <c r="M14" s="16">
        <v>272474</v>
      </c>
      <c r="N14" s="18">
        <f t="shared" si="3"/>
        <v>2.5690524600512341</v>
      </c>
      <c r="O14" s="3">
        <v>40</v>
      </c>
      <c r="P14" s="15">
        <v>100750</v>
      </c>
      <c r="Q14" s="18">
        <f t="shared" si="4"/>
        <v>39.702233250620345</v>
      </c>
      <c r="R14" s="3">
        <v>106</v>
      </c>
      <c r="S14" s="15">
        <v>542051</v>
      </c>
      <c r="T14" s="18">
        <f t="shared" si="5"/>
        <v>19.555355492379867</v>
      </c>
    </row>
    <row r="15" spans="1:21" ht="15.6" x14ac:dyDescent="0.3">
      <c r="A15" s="3" t="s">
        <v>67</v>
      </c>
      <c r="B15" s="3" t="s">
        <v>13</v>
      </c>
      <c r="C15" s="3">
        <v>11</v>
      </c>
      <c r="D15" s="16">
        <v>22423</v>
      </c>
      <c r="E15" s="18">
        <f>C15/D15*100000</f>
        <v>49.05677206439816</v>
      </c>
      <c r="F15" s="3">
        <v>3</v>
      </c>
      <c r="G15" s="16">
        <v>47059</v>
      </c>
      <c r="H15" s="18">
        <f t="shared" si="1"/>
        <v>6.3749760938396483</v>
      </c>
      <c r="I15" s="3">
        <v>0</v>
      </c>
      <c r="J15" s="15">
        <v>105187</v>
      </c>
      <c r="K15" s="18">
        <f t="shared" si="2"/>
        <v>0</v>
      </c>
      <c r="L15" s="3">
        <v>15</v>
      </c>
      <c r="M15" s="15">
        <v>285368</v>
      </c>
      <c r="N15" s="18">
        <f t="shared" si="3"/>
        <v>5.2563707213142328</v>
      </c>
      <c r="O15" s="3">
        <v>36</v>
      </c>
      <c r="P15" s="15">
        <v>103406</v>
      </c>
      <c r="Q15" s="18">
        <f t="shared" si="4"/>
        <v>34.814227414269965</v>
      </c>
      <c r="R15" s="3">
        <v>101</v>
      </c>
      <c r="S15" s="15">
        <v>563443</v>
      </c>
      <c r="T15" s="18">
        <f t="shared" si="5"/>
        <v>17.925504443217857</v>
      </c>
    </row>
    <row r="16" spans="1:21" ht="15.6" x14ac:dyDescent="0.3">
      <c r="A16" s="3" t="s">
        <v>67</v>
      </c>
      <c r="B16" s="3" t="s">
        <v>14</v>
      </c>
      <c r="C16" s="3">
        <v>12</v>
      </c>
      <c r="D16" s="16">
        <v>22423</v>
      </c>
      <c r="E16" s="18">
        <f t="shared" ref="E16:E79" si="6">C16/D16*100000</f>
        <v>53.516478615707086</v>
      </c>
      <c r="F16" s="3">
        <v>6</v>
      </c>
      <c r="G16" s="16">
        <v>47059</v>
      </c>
      <c r="H16" s="18">
        <f t="shared" si="1"/>
        <v>12.749952187679297</v>
      </c>
      <c r="I16" s="3">
        <v>1</v>
      </c>
      <c r="J16" s="15">
        <v>105187</v>
      </c>
      <c r="K16" s="18">
        <f t="shared" si="2"/>
        <v>0.95068782263967977</v>
      </c>
      <c r="L16" s="3">
        <v>7</v>
      </c>
      <c r="M16" s="15">
        <v>285368</v>
      </c>
      <c r="N16" s="18">
        <f t="shared" si="3"/>
        <v>2.4529730032799755</v>
      </c>
      <c r="O16" s="3">
        <v>37</v>
      </c>
      <c r="P16" s="15">
        <v>103406</v>
      </c>
      <c r="Q16" s="18">
        <f t="shared" si="4"/>
        <v>35.781289286888573</v>
      </c>
      <c r="R16" s="3">
        <v>100</v>
      </c>
      <c r="S16" s="15">
        <v>563443</v>
      </c>
      <c r="T16" s="18">
        <f t="shared" si="5"/>
        <v>17.748024201205801</v>
      </c>
    </row>
    <row r="17" spans="1:20" ht="15.6" x14ac:dyDescent="0.3">
      <c r="A17" s="3" t="s">
        <v>67</v>
      </c>
      <c r="B17" s="3" t="s">
        <v>15</v>
      </c>
      <c r="C17" s="3">
        <v>17</v>
      </c>
      <c r="D17" s="16">
        <v>22423</v>
      </c>
      <c r="E17" s="18">
        <f t="shared" si="6"/>
        <v>75.815011372251703</v>
      </c>
      <c r="F17" s="3">
        <v>4</v>
      </c>
      <c r="G17" s="16">
        <v>47059</v>
      </c>
      <c r="H17" s="18">
        <f t="shared" si="1"/>
        <v>8.4999681251195316</v>
      </c>
      <c r="I17" s="3">
        <v>3</v>
      </c>
      <c r="J17" s="15">
        <v>105187</v>
      </c>
      <c r="K17" s="18">
        <f t="shared" si="2"/>
        <v>2.8520634679190393</v>
      </c>
      <c r="L17" s="3">
        <v>9</v>
      </c>
      <c r="M17" s="15">
        <v>285368</v>
      </c>
      <c r="N17" s="18">
        <f t="shared" si="3"/>
        <v>3.15382243278854</v>
      </c>
      <c r="O17" s="3">
        <v>33</v>
      </c>
      <c r="P17" s="15">
        <v>103406</v>
      </c>
      <c r="Q17" s="18">
        <f t="shared" si="4"/>
        <v>31.913041796414138</v>
      </c>
      <c r="R17" s="3">
        <v>99</v>
      </c>
      <c r="S17" s="15">
        <v>563443</v>
      </c>
      <c r="T17" s="18">
        <f t="shared" si="5"/>
        <v>17.570543959193742</v>
      </c>
    </row>
    <row r="18" spans="1:20" ht="15.6" x14ac:dyDescent="0.3">
      <c r="A18" s="3" t="s">
        <v>67</v>
      </c>
      <c r="B18" s="3" t="s">
        <v>16</v>
      </c>
      <c r="C18" s="3">
        <v>25</v>
      </c>
      <c r="D18" s="16">
        <v>22423</v>
      </c>
      <c r="E18" s="18">
        <f t="shared" si="6"/>
        <v>111.4926637827231</v>
      </c>
      <c r="F18" s="3">
        <v>5</v>
      </c>
      <c r="G18" s="16">
        <v>47059</v>
      </c>
      <c r="H18" s="18">
        <f t="shared" si="1"/>
        <v>10.624960156399414</v>
      </c>
      <c r="I18" s="3">
        <v>1</v>
      </c>
      <c r="J18" s="15">
        <v>105187</v>
      </c>
      <c r="K18" s="18">
        <f t="shared" si="2"/>
        <v>0.95068782263967977</v>
      </c>
      <c r="L18" s="3">
        <v>9</v>
      </c>
      <c r="M18" s="15">
        <v>285368</v>
      </c>
      <c r="N18" s="18">
        <f t="shared" si="3"/>
        <v>3.15382243278854</v>
      </c>
      <c r="O18" s="3">
        <v>24</v>
      </c>
      <c r="P18" s="15">
        <v>103406</v>
      </c>
      <c r="Q18" s="18">
        <f t="shared" si="4"/>
        <v>23.209484942846643</v>
      </c>
      <c r="R18" s="3">
        <v>88</v>
      </c>
      <c r="S18" s="15">
        <v>563443</v>
      </c>
      <c r="T18" s="18">
        <f t="shared" si="5"/>
        <v>15.618261297061105</v>
      </c>
    </row>
    <row r="19" spans="1:20" ht="15.6" x14ac:dyDescent="0.3">
      <c r="A19" s="3" t="s">
        <v>67</v>
      </c>
      <c r="B19" s="3" t="s">
        <v>17</v>
      </c>
      <c r="C19" s="3">
        <v>11</v>
      </c>
      <c r="D19" s="16">
        <v>22423</v>
      </c>
      <c r="E19" s="18">
        <f t="shared" si="6"/>
        <v>49.05677206439816</v>
      </c>
      <c r="F19" s="3">
        <v>7</v>
      </c>
      <c r="G19" s="16">
        <v>47059</v>
      </c>
      <c r="H19" s="18">
        <f t="shared" si="1"/>
        <v>14.874944218959179</v>
      </c>
      <c r="I19" s="3">
        <v>0</v>
      </c>
      <c r="J19" s="15">
        <v>105187</v>
      </c>
      <c r="K19" s="18">
        <f t="shared" si="2"/>
        <v>0</v>
      </c>
      <c r="L19" s="3">
        <v>4</v>
      </c>
      <c r="M19" s="15">
        <v>285368</v>
      </c>
      <c r="N19" s="18">
        <f t="shared" si="3"/>
        <v>1.4016988590171287</v>
      </c>
      <c r="O19" s="3">
        <v>19</v>
      </c>
      <c r="P19" s="15">
        <v>103406</v>
      </c>
      <c r="Q19" s="18">
        <f t="shared" si="4"/>
        <v>18.374175579753594</v>
      </c>
      <c r="R19" s="3">
        <v>60</v>
      </c>
      <c r="S19" s="15">
        <v>563443</v>
      </c>
      <c r="T19" s="18">
        <f t="shared" si="5"/>
        <v>10.64881452072348</v>
      </c>
    </row>
    <row r="20" spans="1:20" ht="15.6" x14ac:dyDescent="0.3">
      <c r="A20" s="3" t="s">
        <v>67</v>
      </c>
      <c r="B20" s="3" t="s">
        <v>18</v>
      </c>
      <c r="C20" s="3">
        <v>22</v>
      </c>
      <c r="D20" s="16">
        <v>22423</v>
      </c>
      <c r="E20" s="18">
        <f t="shared" si="6"/>
        <v>98.11354412879632</v>
      </c>
      <c r="F20" s="3">
        <v>5</v>
      </c>
      <c r="G20" s="16">
        <v>47059</v>
      </c>
      <c r="H20" s="18">
        <f t="shared" si="1"/>
        <v>10.624960156399414</v>
      </c>
      <c r="I20" s="3">
        <v>2</v>
      </c>
      <c r="J20" s="15">
        <v>105187</v>
      </c>
      <c r="K20" s="18">
        <f t="shared" si="2"/>
        <v>1.9013756452793595</v>
      </c>
      <c r="L20" s="3">
        <v>8</v>
      </c>
      <c r="M20" s="15">
        <v>285368</v>
      </c>
      <c r="N20" s="18">
        <f t="shared" si="3"/>
        <v>2.8033977180342573</v>
      </c>
      <c r="O20" s="3">
        <v>33</v>
      </c>
      <c r="P20" s="15">
        <v>103406</v>
      </c>
      <c r="Q20" s="18">
        <f t="shared" si="4"/>
        <v>31.913041796414138</v>
      </c>
      <c r="R20" s="3">
        <v>103</v>
      </c>
      <c r="S20" s="15">
        <v>563443</v>
      </c>
      <c r="T20" s="18">
        <f t="shared" si="5"/>
        <v>18.280464927241976</v>
      </c>
    </row>
    <row r="21" spans="1:20" ht="15.6" x14ac:dyDescent="0.3">
      <c r="A21" s="3" t="s">
        <v>67</v>
      </c>
      <c r="B21" s="3" t="s">
        <v>19</v>
      </c>
      <c r="C21" s="3">
        <v>20</v>
      </c>
      <c r="D21" s="16">
        <v>22423</v>
      </c>
      <c r="E21" s="18">
        <f t="shared" si="6"/>
        <v>89.194131026178468</v>
      </c>
      <c r="F21" s="3">
        <v>2</v>
      </c>
      <c r="G21" s="16">
        <v>47059</v>
      </c>
      <c r="H21" s="18">
        <f t="shared" si="1"/>
        <v>4.2499840625597658</v>
      </c>
      <c r="I21" s="3">
        <v>1</v>
      </c>
      <c r="J21" s="15">
        <v>105187</v>
      </c>
      <c r="K21" s="18">
        <f t="shared" si="2"/>
        <v>0.95068782263967977</v>
      </c>
      <c r="L21" s="3">
        <v>7</v>
      </c>
      <c r="M21" s="15">
        <v>285368</v>
      </c>
      <c r="N21" s="18">
        <f t="shared" si="3"/>
        <v>2.4529730032799755</v>
      </c>
      <c r="O21" s="3">
        <v>28</v>
      </c>
      <c r="P21" s="15">
        <v>103406</v>
      </c>
      <c r="Q21" s="18">
        <f t="shared" si="4"/>
        <v>27.077732433321081</v>
      </c>
      <c r="R21" s="3">
        <v>86</v>
      </c>
      <c r="S21" s="15">
        <v>563443</v>
      </c>
      <c r="T21" s="18">
        <f t="shared" si="5"/>
        <v>15.263300813036988</v>
      </c>
    </row>
    <row r="22" spans="1:20" ht="15.6" x14ac:dyDescent="0.3">
      <c r="A22" s="3" t="s">
        <v>67</v>
      </c>
      <c r="B22" s="3" t="s">
        <v>20</v>
      </c>
      <c r="C22" s="3">
        <v>25</v>
      </c>
      <c r="D22" s="16">
        <v>22423</v>
      </c>
      <c r="E22" s="18">
        <f t="shared" si="6"/>
        <v>111.4926637827231</v>
      </c>
      <c r="F22" s="3">
        <v>6</v>
      </c>
      <c r="G22" s="16">
        <v>47059</v>
      </c>
      <c r="H22" s="18">
        <f t="shared" si="1"/>
        <v>12.749952187679297</v>
      </c>
      <c r="I22" s="3">
        <v>2</v>
      </c>
      <c r="J22" s="15">
        <v>105187</v>
      </c>
      <c r="K22" s="18">
        <f t="shared" si="2"/>
        <v>1.9013756452793595</v>
      </c>
      <c r="L22" s="3">
        <v>3</v>
      </c>
      <c r="M22" s="15">
        <v>285368</v>
      </c>
      <c r="N22" s="18">
        <f t="shared" si="3"/>
        <v>1.0512741442628466</v>
      </c>
      <c r="O22" s="3">
        <v>21</v>
      </c>
      <c r="P22" s="15">
        <v>103406</v>
      </c>
      <c r="Q22" s="18">
        <f t="shared" si="4"/>
        <v>20.308299324990813</v>
      </c>
      <c r="R22" s="3">
        <v>78</v>
      </c>
      <c r="S22" s="15">
        <v>563443</v>
      </c>
      <c r="T22" s="18">
        <f t="shared" si="5"/>
        <v>13.843458876940524</v>
      </c>
    </row>
    <row r="23" spans="1:20" ht="15.6" x14ac:dyDescent="0.3">
      <c r="A23" s="3" t="s">
        <v>67</v>
      </c>
      <c r="B23" s="3" t="s">
        <v>21</v>
      </c>
      <c r="C23" s="3">
        <v>14</v>
      </c>
      <c r="D23" s="16">
        <v>22423</v>
      </c>
      <c r="E23" s="18">
        <f t="shared" si="6"/>
        <v>62.435891718324939</v>
      </c>
      <c r="F23" s="3">
        <v>7</v>
      </c>
      <c r="G23" s="16">
        <v>47059</v>
      </c>
      <c r="H23" s="18">
        <f t="shared" si="1"/>
        <v>14.874944218959179</v>
      </c>
      <c r="I23" s="3">
        <v>0</v>
      </c>
      <c r="J23" s="15">
        <v>105187</v>
      </c>
      <c r="K23" s="18">
        <f t="shared" si="2"/>
        <v>0</v>
      </c>
      <c r="L23" s="3">
        <v>7</v>
      </c>
      <c r="M23" s="15">
        <v>285368</v>
      </c>
      <c r="N23" s="18">
        <f t="shared" si="3"/>
        <v>2.4529730032799755</v>
      </c>
      <c r="O23" s="3">
        <v>11</v>
      </c>
      <c r="P23" s="15">
        <v>103406</v>
      </c>
      <c r="Q23" s="18">
        <f t="shared" si="4"/>
        <v>10.63768059880471</v>
      </c>
      <c r="R23" s="3">
        <v>50</v>
      </c>
      <c r="S23" s="15">
        <v>563443</v>
      </c>
      <c r="T23" s="18">
        <f t="shared" si="5"/>
        <v>8.8740121006029007</v>
      </c>
    </row>
    <row r="24" spans="1:20" ht="15.6" x14ac:dyDescent="0.3">
      <c r="A24" s="3" t="s">
        <v>67</v>
      </c>
      <c r="B24" s="3" t="s">
        <v>22</v>
      </c>
      <c r="C24" s="3">
        <v>15</v>
      </c>
      <c r="D24" s="16">
        <v>22423</v>
      </c>
      <c r="E24" s="18">
        <f t="shared" si="6"/>
        <v>66.895598269633865</v>
      </c>
      <c r="F24" s="3">
        <v>8</v>
      </c>
      <c r="G24" s="16">
        <v>47059</v>
      </c>
      <c r="H24" s="18">
        <f t="shared" si="1"/>
        <v>16.999936250239063</v>
      </c>
      <c r="I24" s="3">
        <v>1</v>
      </c>
      <c r="J24" s="15">
        <v>105187</v>
      </c>
      <c r="K24" s="18">
        <f t="shared" si="2"/>
        <v>0.95068782263967977</v>
      </c>
      <c r="L24" s="3">
        <v>7</v>
      </c>
      <c r="M24" s="15">
        <v>285368</v>
      </c>
      <c r="N24" s="18">
        <f t="shared" si="3"/>
        <v>2.4529730032799755</v>
      </c>
      <c r="O24" s="3">
        <v>12</v>
      </c>
      <c r="P24" s="15">
        <v>103406</v>
      </c>
      <c r="Q24" s="18">
        <f t="shared" si="4"/>
        <v>11.604742471423322</v>
      </c>
      <c r="R24" s="3">
        <v>55</v>
      </c>
      <c r="S24" s="15">
        <v>563443</v>
      </c>
      <c r="T24" s="18">
        <f t="shared" si="5"/>
        <v>9.7614133106631904</v>
      </c>
    </row>
    <row r="25" spans="1:20" ht="15.6" x14ac:dyDescent="0.3">
      <c r="A25" s="3" t="s">
        <v>67</v>
      </c>
      <c r="B25" s="3" t="s">
        <v>23</v>
      </c>
      <c r="C25" s="3">
        <v>23</v>
      </c>
      <c r="D25" s="16">
        <v>22423</v>
      </c>
      <c r="E25" s="18">
        <f t="shared" si="6"/>
        <v>102.57325068010525</v>
      </c>
      <c r="F25" s="3">
        <v>6</v>
      </c>
      <c r="G25" s="16">
        <v>47059</v>
      </c>
      <c r="H25" s="18">
        <f t="shared" si="1"/>
        <v>12.749952187679297</v>
      </c>
      <c r="I25" s="3">
        <v>0</v>
      </c>
      <c r="J25" s="15">
        <v>105187</v>
      </c>
      <c r="K25" s="18">
        <f t="shared" si="2"/>
        <v>0</v>
      </c>
      <c r="L25" s="3">
        <v>7</v>
      </c>
      <c r="M25" s="15">
        <v>285368</v>
      </c>
      <c r="N25" s="18">
        <f t="shared" si="3"/>
        <v>2.4529730032799755</v>
      </c>
      <c r="O25" s="3">
        <v>16</v>
      </c>
      <c r="P25" s="15">
        <v>103406</v>
      </c>
      <c r="Q25" s="18">
        <f t="shared" si="4"/>
        <v>15.472989961897763</v>
      </c>
      <c r="R25" s="3">
        <v>68</v>
      </c>
      <c r="S25" s="15">
        <v>563443</v>
      </c>
      <c r="T25" s="18">
        <f t="shared" si="5"/>
        <v>12.068656456819944</v>
      </c>
    </row>
    <row r="26" spans="1:20" ht="15.6" x14ac:dyDescent="0.3">
      <c r="A26" s="3" t="s">
        <v>67</v>
      </c>
      <c r="B26" s="3" t="s">
        <v>24</v>
      </c>
      <c r="C26" s="3">
        <v>13</v>
      </c>
      <c r="D26" s="16">
        <v>22423</v>
      </c>
      <c r="E26" s="18">
        <f t="shared" si="6"/>
        <v>57.976185167016013</v>
      </c>
      <c r="F26" s="3">
        <v>7</v>
      </c>
      <c r="G26" s="16">
        <v>47059</v>
      </c>
      <c r="H26" s="18">
        <f t="shared" si="1"/>
        <v>14.874944218959179</v>
      </c>
      <c r="I26" s="3">
        <v>2</v>
      </c>
      <c r="J26" s="15">
        <v>105187</v>
      </c>
      <c r="K26" s="18">
        <f t="shared" si="2"/>
        <v>1.9013756452793595</v>
      </c>
      <c r="L26" s="3">
        <v>2</v>
      </c>
      <c r="M26" s="15">
        <v>285368</v>
      </c>
      <c r="N26" s="18">
        <f t="shared" si="3"/>
        <v>0.70084942950856433</v>
      </c>
      <c r="O26" s="3">
        <v>22</v>
      </c>
      <c r="P26" s="15">
        <v>103406</v>
      </c>
      <c r="Q26" s="18">
        <f t="shared" si="4"/>
        <v>21.275361197609421</v>
      </c>
      <c r="R26" s="3">
        <v>68</v>
      </c>
      <c r="S26" s="15">
        <v>563443</v>
      </c>
      <c r="T26" s="18">
        <f t="shared" si="5"/>
        <v>12.068656456819944</v>
      </c>
    </row>
    <row r="27" spans="1:20" ht="15.6" x14ac:dyDescent="0.3">
      <c r="A27" s="3" t="s">
        <v>67</v>
      </c>
      <c r="B27" s="3" t="s">
        <v>25</v>
      </c>
      <c r="C27" s="3">
        <v>14</v>
      </c>
      <c r="D27" s="16">
        <v>22423</v>
      </c>
      <c r="E27" s="18">
        <f t="shared" si="6"/>
        <v>62.435891718324939</v>
      </c>
      <c r="F27" s="3">
        <v>5</v>
      </c>
      <c r="G27" s="16">
        <v>47059</v>
      </c>
      <c r="H27" s="18">
        <f t="shared" si="1"/>
        <v>10.624960156399414</v>
      </c>
      <c r="I27" s="3">
        <v>0</v>
      </c>
      <c r="J27" s="15">
        <v>105187</v>
      </c>
      <c r="K27" s="18">
        <f t="shared" si="2"/>
        <v>0</v>
      </c>
      <c r="L27" s="3">
        <v>7</v>
      </c>
      <c r="M27" s="15">
        <v>285368</v>
      </c>
      <c r="N27" s="18">
        <f t="shared" si="3"/>
        <v>2.4529730032799755</v>
      </c>
      <c r="O27" s="3">
        <v>19</v>
      </c>
      <c r="P27" s="15">
        <v>103406</v>
      </c>
      <c r="Q27" s="18">
        <f t="shared" si="4"/>
        <v>18.374175579753594</v>
      </c>
      <c r="R27" s="3">
        <v>64</v>
      </c>
      <c r="S27" s="15">
        <v>563443</v>
      </c>
      <c r="T27" s="18">
        <f t="shared" si="5"/>
        <v>11.358735488771712</v>
      </c>
    </row>
    <row r="28" spans="1:20" ht="15.6" x14ac:dyDescent="0.3">
      <c r="A28" s="3" t="s">
        <v>67</v>
      </c>
      <c r="B28" s="3" t="s">
        <v>26</v>
      </c>
      <c r="C28" s="3">
        <v>25</v>
      </c>
      <c r="D28" s="16">
        <v>22423</v>
      </c>
      <c r="E28" s="18">
        <f t="shared" si="6"/>
        <v>111.4926637827231</v>
      </c>
      <c r="F28" s="3">
        <v>5</v>
      </c>
      <c r="G28" s="16">
        <v>47059</v>
      </c>
      <c r="H28" s="18">
        <f t="shared" si="1"/>
        <v>10.624960156399414</v>
      </c>
      <c r="I28" s="3">
        <v>2</v>
      </c>
      <c r="J28" s="15">
        <v>105187</v>
      </c>
      <c r="K28" s="18">
        <f t="shared" si="2"/>
        <v>1.9013756452793595</v>
      </c>
      <c r="L28" s="3">
        <v>8</v>
      </c>
      <c r="M28" s="15">
        <v>285368</v>
      </c>
      <c r="N28" s="18">
        <f t="shared" si="3"/>
        <v>2.8033977180342573</v>
      </c>
      <c r="O28" s="3">
        <v>26</v>
      </c>
      <c r="P28" s="15">
        <v>103406</v>
      </c>
      <c r="Q28" s="18">
        <f t="shared" si="4"/>
        <v>25.143608688083862</v>
      </c>
      <c r="R28" s="3">
        <v>92</v>
      </c>
      <c r="S28" s="15">
        <v>563443</v>
      </c>
      <c r="T28" s="18">
        <f t="shared" si="5"/>
        <v>16.328182265109337</v>
      </c>
    </row>
    <row r="29" spans="1:20" ht="15.6" x14ac:dyDescent="0.3">
      <c r="A29" s="3" t="s">
        <v>67</v>
      </c>
      <c r="B29" s="3" t="s">
        <v>27</v>
      </c>
      <c r="C29" s="3">
        <v>18</v>
      </c>
      <c r="D29" s="16">
        <v>22423</v>
      </c>
      <c r="E29" s="18">
        <f t="shared" si="6"/>
        <v>80.27471792356063</v>
      </c>
      <c r="F29" s="3">
        <v>5</v>
      </c>
      <c r="G29" s="16">
        <v>47059</v>
      </c>
      <c r="H29" s="18">
        <f t="shared" si="1"/>
        <v>10.624960156399414</v>
      </c>
      <c r="I29" s="3">
        <v>0</v>
      </c>
      <c r="J29" s="15">
        <v>105187</v>
      </c>
      <c r="K29" s="18">
        <f t="shared" si="2"/>
        <v>0</v>
      </c>
      <c r="L29" s="3">
        <v>6</v>
      </c>
      <c r="M29" s="15">
        <v>285368</v>
      </c>
      <c r="N29" s="18">
        <f t="shared" si="3"/>
        <v>2.1025482885256932</v>
      </c>
      <c r="O29" s="3">
        <v>17</v>
      </c>
      <c r="P29" s="15">
        <v>103406</v>
      </c>
      <c r="Q29" s="18">
        <f t="shared" si="4"/>
        <v>16.440051834516375</v>
      </c>
      <c r="R29" s="3">
        <v>63</v>
      </c>
      <c r="S29" s="15">
        <v>563443</v>
      </c>
      <c r="T29" s="18">
        <f t="shared" si="5"/>
        <v>11.181255246759655</v>
      </c>
    </row>
    <row r="30" spans="1:20" ht="15.6" x14ac:dyDescent="0.3">
      <c r="A30" s="3" t="s">
        <v>67</v>
      </c>
      <c r="B30" s="3" t="s">
        <v>28</v>
      </c>
      <c r="C30" s="3">
        <v>11</v>
      </c>
      <c r="D30" s="16">
        <v>22423</v>
      </c>
      <c r="E30" s="18">
        <f t="shared" si="6"/>
        <v>49.05677206439816</v>
      </c>
      <c r="F30" s="3">
        <v>7</v>
      </c>
      <c r="G30" s="16">
        <v>47059</v>
      </c>
      <c r="H30" s="18">
        <f t="shared" si="1"/>
        <v>14.874944218959179</v>
      </c>
      <c r="I30" s="3">
        <v>4</v>
      </c>
      <c r="J30" s="15">
        <v>105187</v>
      </c>
      <c r="K30" s="18">
        <f t="shared" si="2"/>
        <v>3.8027512905587191</v>
      </c>
      <c r="L30" s="3">
        <v>6</v>
      </c>
      <c r="M30" s="15">
        <v>285368</v>
      </c>
      <c r="N30" s="18">
        <f t="shared" si="3"/>
        <v>2.1025482885256932</v>
      </c>
      <c r="O30" s="3">
        <v>24</v>
      </c>
      <c r="P30" s="15">
        <v>103406</v>
      </c>
      <c r="Q30" s="18">
        <f t="shared" si="4"/>
        <v>23.209484942846643</v>
      </c>
      <c r="R30" s="3">
        <v>76</v>
      </c>
      <c r="S30" s="15">
        <v>563443</v>
      </c>
      <c r="T30" s="18">
        <f t="shared" si="5"/>
        <v>13.488498392916407</v>
      </c>
    </row>
    <row r="31" spans="1:20" ht="15.6" x14ac:dyDescent="0.3">
      <c r="A31" s="3" t="s">
        <v>67</v>
      </c>
      <c r="B31" s="3" t="s">
        <v>29</v>
      </c>
      <c r="C31" s="3">
        <v>21</v>
      </c>
      <c r="D31" s="16">
        <v>22423</v>
      </c>
      <c r="E31" s="18">
        <f t="shared" si="6"/>
        <v>93.653837577487394</v>
      </c>
      <c r="F31" s="3">
        <v>5</v>
      </c>
      <c r="G31" s="16">
        <v>47059</v>
      </c>
      <c r="H31" s="18">
        <f t="shared" si="1"/>
        <v>10.624960156399414</v>
      </c>
      <c r="I31" s="3">
        <v>2</v>
      </c>
      <c r="J31" s="15">
        <v>105187</v>
      </c>
      <c r="K31" s="18">
        <f t="shared" si="2"/>
        <v>1.9013756452793595</v>
      </c>
      <c r="L31" s="3">
        <v>11</v>
      </c>
      <c r="M31" s="15">
        <v>285368</v>
      </c>
      <c r="N31" s="18">
        <f t="shared" si="3"/>
        <v>3.8546718622971041</v>
      </c>
      <c r="O31" s="3">
        <v>14</v>
      </c>
      <c r="P31" s="15">
        <v>103406</v>
      </c>
      <c r="Q31" s="18">
        <f t="shared" si="4"/>
        <v>13.538866216660541</v>
      </c>
      <c r="R31" s="3">
        <v>67</v>
      </c>
      <c r="S31" s="15">
        <v>563443</v>
      </c>
      <c r="T31" s="18">
        <f t="shared" si="5"/>
        <v>11.891176214807887</v>
      </c>
    </row>
    <row r="32" spans="1:20" ht="15.6" x14ac:dyDescent="0.3">
      <c r="A32" s="3" t="s">
        <v>67</v>
      </c>
      <c r="B32" s="3" t="s">
        <v>30</v>
      </c>
      <c r="C32" s="3">
        <v>12</v>
      </c>
      <c r="D32" s="16">
        <v>22423</v>
      </c>
      <c r="E32" s="18">
        <f t="shared" si="6"/>
        <v>53.516478615707086</v>
      </c>
      <c r="F32" s="3">
        <v>5</v>
      </c>
      <c r="G32" s="16">
        <v>47059</v>
      </c>
      <c r="H32" s="18">
        <f t="shared" si="1"/>
        <v>10.624960156399414</v>
      </c>
      <c r="I32" s="3">
        <v>2</v>
      </c>
      <c r="J32" s="15">
        <v>105187</v>
      </c>
      <c r="K32" s="18">
        <f t="shared" si="2"/>
        <v>1.9013756452793595</v>
      </c>
      <c r="L32" s="3">
        <v>5</v>
      </c>
      <c r="M32" s="15">
        <v>285368</v>
      </c>
      <c r="N32" s="18">
        <f t="shared" si="3"/>
        <v>1.7521235737714109</v>
      </c>
      <c r="O32" s="3">
        <v>21</v>
      </c>
      <c r="P32" s="15">
        <v>103406</v>
      </c>
      <c r="Q32" s="18">
        <f t="shared" si="4"/>
        <v>20.308299324990813</v>
      </c>
      <c r="R32" s="3">
        <v>66</v>
      </c>
      <c r="S32" s="15">
        <v>563443</v>
      </c>
      <c r="T32" s="18">
        <f t="shared" si="5"/>
        <v>11.713695972795829</v>
      </c>
    </row>
    <row r="33" spans="1:20" ht="15.6" x14ac:dyDescent="0.3">
      <c r="A33" s="3" t="s">
        <v>67</v>
      </c>
      <c r="B33" s="3" t="s">
        <v>31</v>
      </c>
      <c r="C33" s="3">
        <v>9</v>
      </c>
      <c r="D33" s="16">
        <v>22423</v>
      </c>
      <c r="E33" s="18">
        <f t="shared" si="6"/>
        <v>40.137358961780315</v>
      </c>
      <c r="F33" s="3">
        <v>5</v>
      </c>
      <c r="G33" s="16">
        <v>47059</v>
      </c>
      <c r="H33" s="18">
        <f t="shared" si="1"/>
        <v>10.624960156399414</v>
      </c>
      <c r="I33" s="3">
        <v>2</v>
      </c>
      <c r="J33" s="15">
        <v>105187</v>
      </c>
      <c r="K33" s="18">
        <f t="shared" si="2"/>
        <v>1.9013756452793595</v>
      </c>
      <c r="L33" s="3">
        <v>3</v>
      </c>
      <c r="M33" s="15">
        <v>285368</v>
      </c>
      <c r="N33" s="18">
        <f t="shared" si="3"/>
        <v>1.0512741442628466</v>
      </c>
      <c r="O33" s="3">
        <v>20</v>
      </c>
      <c r="P33" s="15">
        <v>103406</v>
      </c>
      <c r="Q33" s="18">
        <f t="shared" si="4"/>
        <v>19.341237452372201</v>
      </c>
      <c r="R33" s="3">
        <v>59</v>
      </c>
      <c r="S33" s="15">
        <v>563443</v>
      </c>
      <c r="T33" s="18">
        <f t="shared" si="5"/>
        <v>10.471334278711423</v>
      </c>
    </row>
    <row r="34" spans="1:20" ht="15.6" x14ac:dyDescent="0.3">
      <c r="A34" s="3" t="s">
        <v>67</v>
      </c>
      <c r="B34" s="3" t="s">
        <v>32</v>
      </c>
      <c r="C34" s="3">
        <v>6</v>
      </c>
      <c r="D34" s="16">
        <v>22423</v>
      </c>
      <c r="E34" s="18">
        <f t="shared" si="6"/>
        <v>26.758239307853543</v>
      </c>
      <c r="F34" s="3">
        <v>8</v>
      </c>
      <c r="G34" s="16">
        <v>47059</v>
      </c>
      <c r="H34" s="18">
        <f t="shared" si="1"/>
        <v>16.999936250239063</v>
      </c>
      <c r="I34" s="3">
        <v>2</v>
      </c>
      <c r="J34" s="15">
        <v>105187</v>
      </c>
      <c r="K34" s="18">
        <f t="shared" si="2"/>
        <v>1.9013756452793595</v>
      </c>
      <c r="L34" s="3">
        <v>9</v>
      </c>
      <c r="M34" s="15">
        <v>285368</v>
      </c>
      <c r="N34" s="18">
        <f t="shared" si="3"/>
        <v>3.15382243278854</v>
      </c>
      <c r="O34" s="3">
        <v>25</v>
      </c>
      <c r="P34" s="15">
        <v>103406</v>
      </c>
      <c r="Q34" s="18">
        <f t="shared" si="4"/>
        <v>24.176546815465255</v>
      </c>
      <c r="R34" s="3">
        <v>75</v>
      </c>
      <c r="S34" s="15">
        <v>563443</v>
      </c>
      <c r="T34" s="18">
        <f t="shared" si="5"/>
        <v>13.311018150904351</v>
      </c>
    </row>
    <row r="35" spans="1:20" ht="15.6" x14ac:dyDescent="0.3">
      <c r="A35" s="3" t="s">
        <v>67</v>
      </c>
      <c r="B35" s="3" t="s">
        <v>33</v>
      </c>
      <c r="C35" s="3">
        <v>14</v>
      </c>
      <c r="D35" s="16">
        <v>22423</v>
      </c>
      <c r="E35" s="18">
        <f t="shared" si="6"/>
        <v>62.435891718324939</v>
      </c>
      <c r="F35" s="3">
        <v>6</v>
      </c>
      <c r="G35" s="16">
        <v>47059</v>
      </c>
      <c r="H35" s="18">
        <f t="shared" si="1"/>
        <v>12.749952187679297</v>
      </c>
      <c r="I35" s="3">
        <v>4</v>
      </c>
      <c r="J35" s="15">
        <v>105187</v>
      </c>
      <c r="K35" s="18">
        <f t="shared" si="2"/>
        <v>3.8027512905587191</v>
      </c>
      <c r="L35" s="3">
        <v>8</v>
      </c>
      <c r="M35" s="15">
        <v>285368</v>
      </c>
      <c r="N35" s="18">
        <f t="shared" si="3"/>
        <v>2.8033977180342573</v>
      </c>
      <c r="O35" s="3">
        <v>21</v>
      </c>
      <c r="P35" s="15">
        <v>103406</v>
      </c>
      <c r="Q35" s="18">
        <f t="shared" si="4"/>
        <v>20.308299324990813</v>
      </c>
      <c r="R35" s="3">
        <v>74</v>
      </c>
      <c r="S35" s="15">
        <v>563443</v>
      </c>
      <c r="T35" s="18">
        <f t="shared" si="5"/>
        <v>13.133537908892293</v>
      </c>
    </row>
    <row r="36" spans="1:20" ht="15.6" x14ac:dyDescent="0.3">
      <c r="A36" s="3" t="s">
        <v>67</v>
      </c>
      <c r="B36" s="3" t="s">
        <v>34</v>
      </c>
      <c r="C36" s="3">
        <v>8</v>
      </c>
      <c r="D36" s="16">
        <v>22423</v>
      </c>
      <c r="E36" s="18">
        <f t="shared" si="6"/>
        <v>35.677652410471389</v>
      </c>
      <c r="F36" s="3">
        <v>5</v>
      </c>
      <c r="G36" s="16">
        <v>47059</v>
      </c>
      <c r="H36" s="18">
        <f t="shared" si="1"/>
        <v>10.624960156399414</v>
      </c>
      <c r="I36" s="3">
        <v>0</v>
      </c>
      <c r="J36" s="15">
        <v>105187</v>
      </c>
      <c r="K36" s="18">
        <f t="shared" si="2"/>
        <v>0</v>
      </c>
      <c r="L36" s="3">
        <v>6</v>
      </c>
      <c r="M36" s="15">
        <v>285368</v>
      </c>
      <c r="N36" s="18">
        <f t="shared" si="3"/>
        <v>2.1025482885256932</v>
      </c>
      <c r="O36" s="3">
        <v>13</v>
      </c>
      <c r="P36" s="15">
        <v>103406</v>
      </c>
      <c r="Q36" s="18">
        <f t="shared" si="4"/>
        <v>12.571804344041931</v>
      </c>
      <c r="R36" s="3">
        <v>45</v>
      </c>
      <c r="S36" s="15">
        <v>563443</v>
      </c>
      <c r="T36" s="18">
        <f t="shared" si="5"/>
        <v>7.9866108905426101</v>
      </c>
    </row>
    <row r="37" spans="1:20" ht="15.6" x14ac:dyDescent="0.3">
      <c r="A37" s="3" t="s">
        <v>67</v>
      </c>
      <c r="B37" s="3" t="s">
        <v>35</v>
      </c>
      <c r="C37" s="3">
        <v>14</v>
      </c>
      <c r="D37" s="16">
        <v>22423</v>
      </c>
      <c r="E37" s="18">
        <f t="shared" si="6"/>
        <v>62.435891718324939</v>
      </c>
      <c r="F37" s="3">
        <v>9</v>
      </c>
      <c r="G37" s="16">
        <v>47059</v>
      </c>
      <c r="H37" s="18">
        <f t="shared" si="1"/>
        <v>19.124928281518944</v>
      </c>
      <c r="I37" s="3">
        <v>3</v>
      </c>
      <c r="J37" s="15">
        <v>105187</v>
      </c>
      <c r="K37" s="18">
        <f t="shared" si="2"/>
        <v>2.8520634679190393</v>
      </c>
      <c r="L37" s="3">
        <v>7</v>
      </c>
      <c r="M37" s="15">
        <v>285368</v>
      </c>
      <c r="N37" s="18">
        <f t="shared" si="3"/>
        <v>2.4529730032799755</v>
      </c>
      <c r="O37" s="3">
        <v>22</v>
      </c>
      <c r="P37" s="15">
        <v>103406</v>
      </c>
      <c r="Q37" s="18">
        <f t="shared" si="4"/>
        <v>21.275361197609421</v>
      </c>
      <c r="R37" s="3">
        <v>77</v>
      </c>
      <c r="S37" s="15">
        <v>563443</v>
      </c>
      <c r="T37" s="18">
        <f t="shared" si="5"/>
        <v>13.665978634928468</v>
      </c>
    </row>
    <row r="38" spans="1:20" ht="15.6" x14ac:dyDescent="0.3">
      <c r="A38" s="3" t="s">
        <v>67</v>
      </c>
      <c r="B38" s="3" t="s">
        <v>36</v>
      </c>
      <c r="C38" s="3">
        <v>11</v>
      </c>
      <c r="D38" s="16">
        <v>22423</v>
      </c>
      <c r="E38" s="18">
        <f t="shared" si="6"/>
        <v>49.05677206439816</v>
      </c>
      <c r="F38" s="3">
        <v>5</v>
      </c>
      <c r="G38" s="16">
        <v>47059</v>
      </c>
      <c r="H38" s="18">
        <f t="shared" si="1"/>
        <v>10.624960156399414</v>
      </c>
      <c r="I38" s="3">
        <v>4</v>
      </c>
      <c r="J38" s="15">
        <v>105187</v>
      </c>
      <c r="K38" s="18">
        <f t="shared" si="2"/>
        <v>3.8027512905587191</v>
      </c>
      <c r="L38" s="3">
        <v>6</v>
      </c>
      <c r="M38" s="15">
        <v>285368</v>
      </c>
      <c r="N38" s="18">
        <f t="shared" si="3"/>
        <v>2.1025482885256932</v>
      </c>
      <c r="O38" s="3">
        <v>16</v>
      </c>
      <c r="P38" s="15">
        <v>103406</v>
      </c>
      <c r="Q38" s="18">
        <f t="shared" si="4"/>
        <v>15.472989961897763</v>
      </c>
      <c r="R38" s="23">
        <v>58</v>
      </c>
      <c r="S38" s="15">
        <v>563443</v>
      </c>
      <c r="T38" s="18">
        <f t="shared" si="5"/>
        <v>10.293854036699365</v>
      </c>
    </row>
    <row r="39" spans="1:20" ht="15.6" x14ac:dyDescent="0.3">
      <c r="A39" s="3" t="s">
        <v>67</v>
      </c>
      <c r="B39" s="3" t="s">
        <v>37</v>
      </c>
      <c r="C39" s="3">
        <v>15</v>
      </c>
      <c r="D39" s="16">
        <v>22423</v>
      </c>
      <c r="E39" s="18">
        <f t="shared" si="6"/>
        <v>66.895598269633865</v>
      </c>
      <c r="F39" s="3">
        <v>9</v>
      </c>
      <c r="G39" s="16">
        <v>47059</v>
      </c>
      <c r="H39" s="18">
        <f t="shared" si="1"/>
        <v>19.124928281518944</v>
      </c>
      <c r="I39" s="3">
        <v>1</v>
      </c>
      <c r="J39" s="15">
        <v>105187</v>
      </c>
      <c r="K39" s="18">
        <f t="shared" si="2"/>
        <v>0.95068782263967977</v>
      </c>
      <c r="L39" s="3">
        <v>7</v>
      </c>
      <c r="M39" s="15">
        <v>285368</v>
      </c>
      <c r="N39" s="18">
        <f t="shared" si="3"/>
        <v>2.4529730032799755</v>
      </c>
      <c r="O39" s="3">
        <v>18</v>
      </c>
      <c r="P39" s="15">
        <v>103406</v>
      </c>
      <c r="Q39" s="18">
        <f t="shared" si="4"/>
        <v>17.407113707134982</v>
      </c>
      <c r="R39" s="23">
        <v>68</v>
      </c>
      <c r="S39" s="15">
        <v>563443</v>
      </c>
      <c r="T39" s="18">
        <f t="shared" si="5"/>
        <v>12.068656456819944</v>
      </c>
    </row>
    <row r="40" spans="1:20" ht="15.6" x14ac:dyDescent="0.3">
      <c r="A40" s="3" t="s">
        <v>67</v>
      </c>
      <c r="B40" s="3" t="s">
        <v>38</v>
      </c>
      <c r="C40" s="3">
        <v>13</v>
      </c>
      <c r="D40" s="16">
        <v>22423</v>
      </c>
      <c r="E40" s="18">
        <f t="shared" si="6"/>
        <v>57.976185167016013</v>
      </c>
      <c r="F40" s="3">
        <v>5</v>
      </c>
      <c r="G40" s="16">
        <v>47059</v>
      </c>
      <c r="H40" s="18">
        <f t="shared" si="1"/>
        <v>10.624960156399414</v>
      </c>
      <c r="I40" s="3">
        <v>1</v>
      </c>
      <c r="J40" s="15">
        <v>105187</v>
      </c>
      <c r="K40" s="18">
        <f t="shared" si="2"/>
        <v>0.95068782263967977</v>
      </c>
      <c r="L40" s="3">
        <v>9</v>
      </c>
      <c r="M40" s="15">
        <v>285368</v>
      </c>
      <c r="N40" s="18">
        <f t="shared" si="3"/>
        <v>3.15382243278854</v>
      </c>
      <c r="O40" s="3">
        <v>28</v>
      </c>
      <c r="P40" s="15">
        <v>103406</v>
      </c>
      <c r="Q40" s="18">
        <f t="shared" si="4"/>
        <v>27.077732433321081</v>
      </c>
      <c r="R40" s="23">
        <v>84</v>
      </c>
      <c r="S40" s="15">
        <v>563443</v>
      </c>
      <c r="T40" s="18">
        <f t="shared" si="5"/>
        <v>14.908340329012871</v>
      </c>
    </row>
    <row r="41" spans="1:20" ht="15.6" x14ac:dyDescent="0.3">
      <c r="A41" s="3" t="s">
        <v>67</v>
      </c>
      <c r="B41" s="3" t="s">
        <v>39</v>
      </c>
      <c r="C41" s="3">
        <v>15</v>
      </c>
      <c r="D41" s="16">
        <v>22423</v>
      </c>
      <c r="E41" s="18">
        <f t="shared" si="6"/>
        <v>66.895598269633865</v>
      </c>
      <c r="F41" s="3">
        <v>4</v>
      </c>
      <c r="G41" s="16">
        <v>47059</v>
      </c>
      <c r="H41" s="18">
        <f t="shared" si="1"/>
        <v>8.4999681251195316</v>
      </c>
      <c r="I41" s="3">
        <v>3</v>
      </c>
      <c r="J41" s="15">
        <v>105187</v>
      </c>
      <c r="K41" s="18">
        <f t="shared" si="2"/>
        <v>2.8520634679190393</v>
      </c>
      <c r="L41" s="3">
        <v>10</v>
      </c>
      <c r="M41" s="15">
        <v>285368</v>
      </c>
      <c r="N41" s="18">
        <f t="shared" si="3"/>
        <v>3.5042471475428218</v>
      </c>
      <c r="O41" s="3">
        <v>35</v>
      </c>
      <c r="P41" s="15">
        <v>103406</v>
      </c>
      <c r="Q41" s="18">
        <f t="shared" si="4"/>
        <v>33.847165541651357</v>
      </c>
      <c r="R41" s="23">
        <v>102</v>
      </c>
      <c r="S41" s="15">
        <v>563443</v>
      </c>
      <c r="T41" s="18">
        <f t="shared" si="5"/>
        <v>18.102984685229917</v>
      </c>
    </row>
    <row r="42" spans="1:20" ht="15.6" x14ac:dyDescent="0.3">
      <c r="A42" s="3" t="s">
        <v>67</v>
      </c>
      <c r="B42" s="3" t="s">
        <v>40</v>
      </c>
      <c r="C42" s="3">
        <v>11</v>
      </c>
      <c r="D42" s="16">
        <v>22423</v>
      </c>
      <c r="E42" s="18">
        <f t="shared" si="6"/>
        <v>49.05677206439816</v>
      </c>
      <c r="F42" s="3">
        <v>4</v>
      </c>
      <c r="G42" s="16">
        <v>47059</v>
      </c>
      <c r="H42" s="18">
        <f t="shared" si="1"/>
        <v>8.4999681251195316</v>
      </c>
      <c r="I42" s="3">
        <v>1</v>
      </c>
      <c r="J42" s="15">
        <v>105187</v>
      </c>
      <c r="K42" s="18">
        <f t="shared" si="2"/>
        <v>0.95068782263967977</v>
      </c>
      <c r="L42" s="3">
        <v>10</v>
      </c>
      <c r="M42" s="15">
        <v>285368</v>
      </c>
      <c r="N42" s="18">
        <f t="shared" si="3"/>
        <v>3.5042471475428218</v>
      </c>
      <c r="O42" s="3">
        <v>26</v>
      </c>
      <c r="P42" s="15">
        <v>103406</v>
      </c>
      <c r="Q42" s="18">
        <f t="shared" si="4"/>
        <v>25.143608688083862</v>
      </c>
      <c r="R42" s="23">
        <v>78</v>
      </c>
      <c r="S42" s="15">
        <v>563443</v>
      </c>
      <c r="T42" s="18">
        <f t="shared" si="5"/>
        <v>13.843458876940524</v>
      </c>
    </row>
    <row r="43" spans="1:20" ht="15.6" x14ac:dyDescent="0.3">
      <c r="A43" s="3" t="s">
        <v>67</v>
      </c>
      <c r="B43" s="3" t="s">
        <v>41</v>
      </c>
      <c r="C43" s="3">
        <v>13</v>
      </c>
      <c r="D43" s="16">
        <v>22423</v>
      </c>
      <c r="E43" s="18">
        <f t="shared" si="6"/>
        <v>57.976185167016013</v>
      </c>
      <c r="F43" s="3">
        <v>3</v>
      </c>
      <c r="G43" s="16">
        <v>47059</v>
      </c>
      <c r="H43" s="18">
        <f t="shared" si="1"/>
        <v>6.3749760938396483</v>
      </c>
      <c r="I43" s="3">
        <v>2</v>
      </c>
      <c r="J43" s="15">
        <v>105187</v>
      </c>
      <c r="K43" s="18">
        <f t="shared" si="2"/>
        <v>1.9013756452793595</v>
      </c>
      <c r="L43" s="3">
        <v>7</v>
      </c>
      <c r="M43" s="15">
        <v>285368</v>
      </c>
      <c r="N43" s="18">
        <f t="shared" si="3"/>
        <v>2.4529730032799755</v>
      </c>
      <c r="O43" s="3">
        <v>38</v>
      </c>
      <c r="P43" s="15">
        <v>103406</v>
      </c>
      <c r="Q43" s="18">
        <f t="shared" si="4"/>
        <v>36.748351159507187</v>
      </c>
      <c r="R43" s="23">
        <v>101</v>
      </c>
      <c r="S43" s="15">
        <v>563443</v>
      </c>
      <c r="T43" s="18">
        <f t="shared" si="5"/>
        <v>17.925504443217857</v>
      </c>
    </row>
    <row r="44" spans="1:20" ht="15.6" x14ac:dyDescent="0.3">
      <c r="A44" s="3" t="s">
        <v>67</v>
      </c>
      <c r="B44" s="3" t="s">
        <v>42</v>
      </c>
      <c r="C44" s="3">
        <v>10</v>
      </c>
      <c r="D44" s="16">
        <v>22423</v>
      </c>
      <c r="E44" s="18">
        <f t="shared" si="6"/>
        <v>44.597065513089234</v>
      </c>
      <c r="F44" s="3">
        <v>3</v>
      </c>
      <c r="G44" s="16">
        <v>47059</v>
      </c>
      <c r="H44" s="18">
        <f t="shared" si="1"/>
        <v>6.3749760938396483</v>
      </c>
      <c r="I44" s="3">
        <v>2</v>
      </c>
      <c r="J44" s="15">
        <v>105187</v>
      </c>
      <c r="K44" s="18">
        <f t="shared" si="2"/>
        <v>1.9013756452793595</v>
      </c>
      <c r="L44" s="3">
        <v>6</v>
      </c>
      <c r="M44" s="15">
        <v>285368</v>
      </c>
      <c r="N44" s="18">
        <f t="shared" si="3"/>
        <v>2.1025482885256932</v>
      </c>
      <c r="O44" s="3">
        <v>23</v>
      </c>
      <c r="P44" s="15">
        <v>103406</v>
      </c>
      <c r="Q44" s="18">
        <f t="shared" si="4"/>
        <v>22.242423070228035</v>
      </c>
      <c r="R44" s="23">
        <v>67</v>
      </c>
      <c r="S44" s="15">
        <v>563443</v>
      </c>
      <c r="T44" s="18">
        <f t="shared" si="5"/>
        <v>11.891176214807887</v>
      </c>
    </row>
    <row r="45" spans="1:20" ht="15.6" x14ac:dyDescent="0.3">
      <c r="A45" s="3" t="s">
        <v>67</v>
      </c>
      <c r="B45" s="3" t="s">
        <v>43</v>
      </c>
      <c r="C45" s="3">
        <v>8</v>
      </c>
      <c r="D45" s="16">
        <v>22423</v>
      </c>
      <c r="E45" s="18">
        <f t="shared" si="6"/>
        <v>35.677652410471389</v>
      </c>
      <c r="F45" s="3">
        <v>4</v>
      </c>
      <c r="G45" s="16">
        <v>47059</v>
      </c>
      <c r="H45" s="18">
        <f t="shared" si="1"/>
        <v>8.4999681251195316</v>
      </c>
      <c r="I45" s="3">
        <v>2</v>
      </c>
      <c r="J45" s="15">
        <v>105187</v>
      </c>
      <c r="K45" s="18">
        <f t="shared" si="2"/>
        <v>1.9013756452793595</v>
      </c>
      <c r="L45" s="3">
        <v>10</v>
      </c>
      <c r="M45" s="15">
        <v>285368</v>
      </c>
      <c r="N45" s="18">
        <f t="shared" si="3"/>
        <v>3.5042471475428218</v>
      </c>
      <c r="O45" s="3">
        <v>25</v>
      </c>
      <c r="P45" s="15">
        <v>103406</v>
      </c>
      <c r="Q45" s="18">
        <f t="shared" si="4"/>
        <v>24.176546815465255</v>
      </c>
      <c r="R45" s="23">
        <v>74</v>
      </c>
      <c r="S45" s="15">
        <v>563443</v>
      </c>
      <c r="T45" s="18">
        <f t="shared" si="5"/>
        <v>13.133537908892293</v>
      </c>
    </row>
    <row r="46" spans="1:20" ht="15.6" x14ac:dyDescent="0.3">
      <c r="A46" s="23" t="s">
        <v>67</v>
      </c>
      <c r="B46" s="23" t="s">
        <v>44</v>
      </c>
      <c r="C46" s="23">
        <v>11</v>
      </c>
      <c r="D46" s="16">
        <v>22423</v>
      </c>
      <c r="E46" s="18">
        <f t="shared" si="6"/>
        <v>49.05677206439816</v>
      </c>
      <c r="F46" s="23">
        <v>3</v>
      </c>
      <c r="G46" s="16">
        <v>47059</v>
      </c>
      <c r="H46" s="18">
        <f t="shared" si="1"/>
        <v>6.3749760938396483</v>
      </c>
      <c r="I46" s="23">
        <v>4</v>
      </c>
      <c r="J46" s="15">
        <v>105187</v>
      </c>
      <c r="K46" s="18">
        <f t="shared" si="2"/>
        <v>3.8027512905587191</v>
      </c>
      <c r="L46" s="23">
        <v>15</v>
      </c>
      <c r="M46" s="15">
        <v>285368</v>
      </c>
      <c r="N46" s="18">
        <f t="shared" si="3"/>
        <v>5.2563707213142328</v>
      </c>
      <c r="O46" s="23">
        <v>29</v>
      </c>
      <c r="P46" s="15">
        <v>103406</v>
      </c>
      <c r="Q46" s="18">
        <f t="shared" si="4"/>
        <v>28.044794305939693</v>
      </c>
      <c r="R46" s="23">
        <v>91</v>
      </c>
      <c r="S46" s="15">
        <v>563443</v>
      </c>
      <c r="T46" s="18">
        <f t="shared" si="5"/>
        <v>16.150702023097278</v>
      </c>
    </row>
    <row r="47" spans="1:20" ht="15.6" x14ac:dyDescent="0.3">
      <c r="A47" s="23" t="s">
        <v>67</v>
      </c>
      <c r="B47" s="23" t="s">
        <v>45</v>
      </c>
      <c r="C47" s="23">
        <v>11</v>
      </c>
      <c r="D47" s="16">
        <v>22423</v>
      </c>
      <c r="E47" s="18">
        <f t="shared" si="6"/>
        <v>49.05677206439816</v>
      </c>
      <c r="F47" s="23">
        <v>4</v>
      </c>
      <c r="G47" s="16">
        <v>47059</v>
      </c>
      <c r="H47" s="18">
        <f t="shared" si="1"/>
        <v>8.4999681251195316</v>
      </c>
      <c r="I47" s="23">
        <v>2</v>
      </c>
      <c r="J47" s="15">
        <v>105187</v>
      </c>
      <c r="K47" s="18">
        <f t="shared" si="2"/>
        <v>1.9013756452793595</v>
      </c>
      <c r="L47" s="23">
        <v>10</v>
      </c>
      <c r="M47" s="15">
        <v>285368</v>
      </c>
      <c r="N47" s="18">
        <f t="shared" si="3"/>
        <v>3.5042471475428218</v>
      </c>
      <c r="O47" s="23">
        <v>23</v>
      </c>
      <c r="P47" s="15">
        <v>103406</v>
      </c>
      <c r="Q47" s="18">
        <f t="shared" si="4"/>
        <v>22.242423070228035</v>
      </c>
      <c r="R47" s="23">
        <v>73</v>
      </c>
      <c r="S47" s="15">
        <v>563443</v>
      </c>
      <c r="T47" s="18">
        <f t="shared" si="5"/>
        <v>12.956057666880234</v>
      </c>
    </row>
    <row r="48" spans="1:20" ht="15.6" x14ac:dyDescent="0.3">
      <c r="A48" s="23" t="s">
        <v>67</v>
      </c>
      <c r="B48" s="23" t="s">
        <v>46</v>
      </c>
      <c r="C48" s="23">
        <v>14</v>
      </c>
      <c r="D48" s="16">
        <v>22423</v>
      </c>
      <c r="E48" s="18">
        <f t="shared" si="6"/>
        <v>62.435891718324939</v>
      </c>
      <c r="F48" s="23">
        <v>5</v>
      </c>
      <c r="G48" s="16">
        <v>47059</v>
      </c>
      <c r="H48" s="18">
        <f t="shared" si="1"/>
        <v>10.624960156399414</v>
      </c>
      <c r="I48" s="23">
        <v>1</v>
      </c>
      <c r="J48" s="15">
        <v>105187</v>
      </c>
      <c r="K48" s="18">
        <f t="shared" si="2"/>
        <v>0.95068782263967977</v>
      </c>
      <c r="L48" s="23">
        <v>8</v>
      </c>
      <c r="M48" s="15">
        <v>285368</v>
      </c>
      <c r="N48" s="18">
        <f t="shared" si="3"/>
        <v>2.8033977180342573</v>
      </c>
      <c r="O48" s="23">
        <v>24</v>
      </c>
      <c r="P48" s="15">
        <v>103406</v>
      </c>
      <c r="Q48" s="18">
        <f t="shared" si="4"/>
        <v>23.209484942846643</v>
      </c>
      <c r="R48" s="23">
        <v>76</v>
      </c>
      <c r="S48" s="15">
        <v>563443</v>
      </c>
      <c r="T48" s="18">
        <f t="shared" si="5"/>
        <v>13.488498392916407</v>
      </c>
    </row>
    <row r="49" spans="1:20" ht="15.6" x14ac:dyDescent="0.3">
      <c r="A49" s="23" t="s">
        <v>67</v>
      </c>
      <c r="B49" s="23" t="s">
        <v>47</v>
      </c>
      <c r="C49" s="23">
        <v>13</v>
      </c>
      <c r="D49" s="16">
        <v>22423</v>
      </c>
      <c r="E49" s="18">
        <f t="shared" si="6"/>
        <v>57.976185167016013</v>
      </c>
      <c r="F49" s="23">
        <v>3</v>
      </c>
      <c r="G49" s="16">
        <v>47059</v>
      </c>
      <c r="H49" s="18">
        <f t="shared" si="1"/>
        <v>6.3749760938396483</v>
      </c>
      <c r="I49" s="23">
        <v>2</v>
      </c>
      <c r="J49" s="15">
        <v>105187</v>
      </c>
      <c r="K49" s="18">
        <f t="shared" si="2"/>
        <v>1.9013756452793595</v>
      </c>
      <c r="L49" s="23">
        <v>11</v>
      </c>
      <c r="M49" s="15">
        <v>285368</v>
      </c>
      <c r="N49" s="18">
        <f t="shared" si="3"/>
        <v>3.8546718622971041</v>
      </c>
      <c r="O49" s="23">
        <v>43</v>
      </c>
      <c r="P49" s="15">
        <v>103406</v>
      </c>
      <c r="Q49" s="18">
        <f t="shared" si="4"/>
        <v>41.583660522600233</v>
      </c>
      <c r="R49" s="23">
        <v>115</v>
      </c>
      <c r="S49" s="15">
        <v>563443</v>
      </c>
      <c r="T49" s="18">
        <f t="shared" si="5"/>
        <v>20.410227831386671</v>
      </c>
    </row>
    <row r="50" spans="1:20" ht="15.6" x14ac:dyDescent="0.3">
      <c r="A50" s="23" t="s">
        <v>67</v>
      </c>
      <c r="B50" s="23" t="s">
        <v>48</v>
      </c>
      <c r="C50" s="23">
        <v>14</v>
      </c>
      <c r="D50" s="16">
        <v>22423</v>
      </c>
      <c r="E50" s="18">
        <f t="shared" si="6"/>
        <v>62.435891718324939</v>
      </c>
      <c r="F50" s="23">
        <v>4</v>
      </c>
      <c r="G50" s="16">
        <v>47059</v>
      </c>
      <c r="H50" s="18">
        <f t="shared" si="1"/>
        <v>8.4999681251195316</v>
      </c>
      <c r="I50" s="23">
        <v>4</v>
      </c>
      <c r="J50" s="15">
        <v>105187</v>
      </c>
      <c r="K50" s="18">
        <f t="shared" si="2"/>
        <v>3.8027512905587191</v>
      </c>
      <c r="L50" s="23">
        <v>10</v>
      </c>
      <c r="M50" s="15">
        <v>285368</v>
      </c>
      <c r="N50" s="18">
        <f t="shared" si="3"/>
        <v>3.5042471475428218</v>
      </c>
      <c r="O50" s="23">
        <v>27</v>
      </c>
      <c r="P50" s="15">
        <v>103406</v>
      </c>
      <c r="Q50" s="18">
        <f t="shared" si="4"/>
        <v>26.110670560702474</v>
      </c>
      <c r="R50" s="23">
        <v>86</v>
      </c>
      <c r="S50" s="15">
        <v>563443</v>
      </c>
      <c r="T50" s="18">
        <f t="shared" si="5"/>
        <v>15.263300813036988</v>
      </c>
    </row>
    <row r="51" spans="1:20" ht="15.6" x14ac:dyDescent="0.3">
      <c r="A51" s="23" t="s">
        <v>67</v>
      </c>
      <c r="B51" s="23" t="s">
        <v>49</v>
      </c>
      <c r="C51" s="23">
        <v>15</v>
      </c>
      <c r="D51" s="16">
        <v>22423</v>
      </c>
      <c r="E51" s="18">
        <f t="shared" si="6"/>
        <v>66.895598269633865</v>
      </c>
      <c r="F51" s="23">
        <v>4</v>
      </c>
      <c r="G51" s="16">
        <v>47059</v>
      </c>
      <c r="H51" s="18">
        <f t="shared" si="1"/>
        <v>8.4999681251195316</v>
      </c>
      <c r="I51" s="23">
        <v>1</v>
      </c>
      <c r="J51" s="15">
        <v>105187</v>
      </c>
      <c r="K51" s="18">
        <f t="shared" si="2"/>
        <v>0.95068782263967977</v>
      </c>
      <c r="L51" s="23">
        <v>9</v>
      </c>
      <c r="M51" s="15">
        <v>285368</v>
      </c>
      <c r="N51" s="18">
        <f t="shared" si="3"/>
        <v>3.15382243278854</v>
      </c>
      <c r="O51" s="23">
        <v>28</v>
      </c>
      <c r="P51" s="15">
        <v>103406</v>
      </c>
      <c r="Q51" s="18">
        <f t="shared" si="4"/>
        <v>27.077732433321081</v>
      </c>
      <c r="R51" s="23">
        <v>85</v>
      </c>
      <c r="S51" s="15">
        <v>563443</v>
      </c>
      <c r="T51" s="18">
        <f t="shared" si="5"/>
        <v>15.085820571024932</v>
      </c>
    </row>
    <row r="52" spans="1:20" ht="15.6" x14ac:dyDescent="0.3">
      <c r="A52" s="23" t="s">
        <v>67</v>
      </c>
      <c r="B52" s="23" t="s">
        <v>50</v>
      </c>
      <c r="C52" s="23">
        <v>13</v>
      </c>
      <c r="D52" s="16">
        <v>22423</v>
      </c>
      <c r="E52" s="18">
        <f t="shared" si="6"/>
        <v>57.976185167016013</v>
      </c>
      <c r="F52" s="23">
        <v>3</v>
      </c>
      <c r="G52" s="16">
        <v>47059</v>
      </c>
      <c r="H52" s="18">
        <f t="shared" si="1"/>
        <v>6.3749760938396483</v>
      </c>
      <c r="I52" s="23">
        <v>1</v>
      </c>
      <c r="J52" s="15">
        <v>105187</v>
      </c>
      <c r="K52" s="18">
        <f t="shared" si="2"/>
        <v>0.95068782263967977</v>
      </c>
      <c r="L52" s="23">
        <v>11</v>
      </c>
      <c r="M52" s="15">
        <v>285368</v>
      </c>
      <c r="N52" s="18">
        <f t="shared" si="3"/>
        <v>3.8546718622971041</v>
      </c>
      <c r="O52" s="23">
        <v>29</v>
      </c>
      <c r="P52" s="15">
        <v>103406</v>
      </c>
      <c r="Q52" s="18">
        <f t="shared" si="4"/>
        <v>28.044794305939693</v>
      </c>
      <c r="R52" s="23">
        <v>86</v>
      </c>
      <c r="S52" s="15">
        <v>563443</v>
      </c>
      <c r="T52" s="18">
        <f t="shared" si="5"/>
        <v>15.263300813036988</v>
      </c>
    </row>
    <row r="53" spans="1:20" ht="15.6" x14ac:dyDescent="0.3">
      <c r="A53" s="23" t="s">
        <v>67</v>
      </c>
      <c r="B53" s="23" t="s">
        <v>51</v>
      </c>
      <c r="C53" s="23">
        <v>13</v>
      </c>
      <c r="D53" s="16">
        <v>22423</v>
      </c>
      <c r="E53" s="18">
        <f t="shared" si="6"/>
        <v>57.976185167016013</v>
      </c>
      <c r="F53" s="23">
        <v>0</v>
      </c>
      <c r="G53" s="16">
        <v>47059</v>
      </c>
      <c r="H53" s="18">
        <f t="shared" si="1"/>
        <v>0</v>
      </c>
      <c r="I53" s="23">
        <v>3</v>
      </c>
      <c r="J53" s="15">
        <v>105187</v>
      </c>
      <c r="K53" s="18">
        <f t="shared" si="2"/>
        <v>2.8520634679190393</v>
      </c>
      <c r="L53" s="23">
        <v>7</v>
      </c>
      <c r="M53" s="15">
        <v>285368</v>
      </c>
      <c r="N53" s="18">
        <f t="shared" si="3"/>
        <v>2.4529730032799755</v>
      </c>
      <c r="O53" s="23">
        <v>30</v>
      </c>
      <c r="P53" s="15">
        <v>103406</v>
      </c>
      <c r="Q53" s="18">
        <f t="shared" si="4"/>
        <v>29.0118561785583</v>
      </c>
      <c r="R53" s="23">
        <v>83</v>
      </c>
      <c r="S53" s="15">
        <v>563443</v>
      </c>
      <c r="T53" s="18">
        <f t="shared" si="5"/>
        <v>14.730860087000815</v>
      </c>
    </row>
    <row r="54" spans="1:20" ht="15.6" x14ac:dyDescent="0.3">
      <c r="A54" s="23" t="s">
        <v>67</v>
      </c>
      <c r="B54" s="23" t="s">
        <v>52</v>
      </c>
      <c r="C54" s="23">
        <v>11</v>
      </c>
      <c r="D54" s="16">
        <v>22423</v>
      </c>
      <c r="E54" s="18">
        <f t="shared" si="6"/>
        <v>49.05677206439816</v>
      </c>
      <c r="F54" s="23">
        <v>6</v>
      </c>
      <c r="G54" s="16">
        <v>47059</v>
      </c>
      <c r="H54" s="18">
        <f t="shared" si="1"/>
        <v>12.749952187679297</v>
      </c>
      <c r="I54" s="23">
        <v>0</v>
      </c>
      <c r="J54" s="15">
        <v>105187</v>
      </c>
      <c r="K54" s="18">
        <f t="shared" si="2"/>
        <v>0</v>
      </c>
      <c r="L54" s="23">
        <v>6</v>
      </c>
      <c r="M54" s="15">
        <v>285368</v>
      </c>
      <c r="N54" s="18">
        <f t="shared" si="3"/>
        <v>2.1025482885256932</v>
      </c>
      <c r="O54" s="23">
        <v>13</v>
      </c>
      <c r="P54" s="15">
        <v>103406</v>
      </c>
      <c r="Q54" s="18">
        <f t="shared" si="4"/>
        <v>12.571804344041931</v>
      </c>
      <c r="R54" s="23">
        <v>49</v>
      </c>
      <c r="S54" s="15">
        <v>563443</v>
      </c>
      <c r="T54" s="18">
        <f t="shared" si="5"/>
        <v>8.6965318585908413</v>
      </c>
    </row>
    <row r="55" spans="1:20" ht="15.6" x14ac:dyDescent="0.3">
      <c r="A55" s="23" t="s">
        <v>67</v>
      </c>
      <c r="B55" s="23" t="s">
        <v>53</v>
      </c>
      <c r="C55" s="23">
        <v>14</v>
      </c>
      <c r="D55" s="16">
        <v>22423</v>
      </c>
      <c r="E55" s="18">
        <f t="shared" si="6"/>
        <v>62.435891718324939</v>
      </c>
      <c r="F55" s="23">
        <v>7</v>
      </c>
      <c r="G55" s="16">
        <v>47059</v>
      </c>
      <c r="H55" s="18">
        <f t="shared" si="1"/>
        <v>14.874944218959179</v>
      </c>
      <c r="I55" s="23">
        <v>1</v>
      </c>
      <c r="J55" s="15">
        <v>105187</v>
      </c>
      <c r="K55" s="18">
        <f t="shared" si="2"/>
        <v>0.95068782263967977</v>
      </c>
      <c r="L55" s="23">
        <v>3</v>
      </c>
      <c r="M55" s="15">
        <v>285368</v>
      </c>
      <c r="N55" s="18">
        <f t="shared" si="3"/>
        <v>1.0512741442628466</v>
      </c>
      <c r="O55" s="23">
        <v>16</v>
      </c>
      <c r="P55" s="15">
        <v>103406</v>
      </c>
      <c r="Q55" s="18">
        <f t="shared" si="4"/>
        <v>15.472989961897763</v>
      </c>
      <c r="R55" s="23">
        <v>57</v>
      </c>
      <c r="S55" s="15">
        <v>563443</v>
      </c>
      <c r="T55" s="18">
        <f t="shared" si="5"/>
        <v>10.116373794687306</v>
      </c>
    </row>
    <row r="56" spans="1:20" ht="15.6" x14ac:dyDescent="0.3">
      <c r="A56" s="23" t="s">
        <v>67</v>
      </c>
      <c r="B56" s="23" t="s">
        <v>54</v>
      </c>
      <c r="C56" s="23">
        <v>12</v>
      </c>
      <c r="D56" s="16">
        <v>22423</v>
      </c>
      <c r="E56" s="18">
        <f t="shared" si="6"/>
        <v>53.516478615707086</v>
      </c>
      <c r="F56" s="23">
        <v>5</v>
      </c>
      <c r="G56" s="16">
        <v>47059</v>
      </c>
      <c r="H56" s="18">
        <f t="shared" si="1"/>
        <v>10.624960156399414</v>
      </c>
      <c r="I56" s="23">
        <v>1</v>
      </c>
      <c r="J56" s="15">
        <v>105187</v>
      </c>
      <c r="K56" s="18">
        <f t="shared" si="2"/>
        <v>0.95068782263967977</v>
      </c>
      <c r="L56" s="23">
        <v>6</v>
      </c>
      <c r="M56" s="15">
        <v>285368</v>
      </c>
      <c r="N56" s="18">
        <f t="shared" si="3"/>
        <v>2.1025482885256932</v>
      </c>
      <c r="O56" s="23">
        <v>20</v>
      </c>
      <c r="P56" s="15">
        <v>103406</v>
      </c>
      <c r="Q56" s="18">
        <f t="shared" si="4"/>
        <v>19.341237452372201</v>
      </c>
      <c r="R56" s="23">
        <v>64</v>
      </c>
      <c r="S56" s="15">
        <v>563443</v>
      </c>
      <c r="T56" s="18">
        <f t="shared" si="5"/>
        <v>11.358735488771712</v>
      </c>
    </row>
    <row r="57" spans="1:20" ht="15.6" x14ac:dyDescent="0.3">
      <c r="A57" s="23" t="s">
        <v>67</v>
      </c>
      <c r="B57" s="23" t="s">
        <v>55</v>
      </c>
      <c r="C57" s="23">
        <v>20</v>
      </c>
      <c r="D57" s="16">
        <v>22423</v>
      </c>
      <c r="E57" s="18">
        <f t="shared" si="6"/>
        <v>89.194131026178468</v>
      </c>
      <c r="F57" s="23">
        <v>3</v>
      </c>
      <c r="G57" s="16">
        <v>47059</v>
      </c>
      <c r="H57" s="18">
        <f t="shared" si="1"/>
        <v>6.3749760938396483</v>
      </c>
      <c r="I57" s="23">
        <v>1</v>
      </c>
      <c r="J57" s="15">
        <v>105187</v>
      </c>
      <c r="K57" s="18">
        <f t="shared" si="2"/>
        <v>0.95068782263967977</v>
      </c>
      <c r="L57" s="23">
        <v>4</v>
      </c>
      <c r="M57" s="15">
        <v>285368</v>
      </c>
      <c r="N57" s="18">
        <f t="shared" si="3"/>
        <v>1.4016988590171287</v>
      </c>
      <c r="O57" s="23">
        <v>16</v>
      </c>
      <c r="P57" s="15">
        <v>103406</v>
      </c>
      <c r="Q57" s="18">
        <f t="shared" si="4"/>
        <v>15.472989961897763</v>
      </c>
      <c r="R57" s="23">
        <v>60</v>
      </c>
      <c r="S57" s="15">
        <v>563443</v>
      </c>
      <c r="T57" s="18">
        <f t="shared" si="5"/>
        <v>10.64881452072348</v>
      </c>
    </row>
    <row r="58" spans="1:20" ht="15.6" x14ac:dyDescent="0.3">
      <c r="A58" s="23" t="s">
        <v>67</v>
      </c>
      <c r="B58" s="23" t="s">
        <v>56</v>
      </c>
      <c r="C58" s="23">
        <v>14</v>
      </c>
      <c r="D58" s="16">
        <v>22423</v>
      </c>
      <c r="E58" s="18">
        <f t="shared" si="6"/>
        <v>62.435891718324939</v>
      </c>
      <c r="F58" s="23">
        <v>4</v>
      </c>
      <c r="G58" s="16">
        <v>47059</v>
      </c>
      <c r="H58" s="18">
        <f t="shared" si="1"/>
        <v>8.4999681251195316</v>
      </c>
      <c r="I58" s="23">
        <v>1</v>
      </c>
      <c r="J58" s="15">
        <v>105187</v>
      </c>
      <c r="K58" s="18">
        <f t="shared" si="2"/>
        <v>0.95068782263967977</v>
      </c>
      <c r="L58" s="23">
        <v>6</v>
      </c>
      <c r="M58" s="15">
        <v>285368</v>
      </c>
      <c r="N58" s="18">
        <f t="shared" si="3"/>
        <v>2.1025482885256932</v>
      </c>
      <c r="O58" s="23">
        <v>12</v>
      </c>
      <c r="P58" s="15">
        <v>103406</v>
      </c>
      <c r="Q58" s="18">
        <f t="shared" si="4"/>
        <v>11.604742471423322</v>
      </c>
      <c r="R58" s="23">
        <v>49</v>
      </c>
      <c r="S58" s="15">
        <v>563443</v>
      </c>
      <c r="T58" s="18">
        <f t="shared" si="5"/>
        <v>8.6965318585908413</v>
      </c>
    </row>
    <row r="59" spans="1:20" ht="15.6" x14ac:dyDescent="0.3">
      <c r="A59" s="23" t="s">
        <v>67</v>
      </c>
      <c r="B59" s="23" t="s">
        <v>57</v>
      </c>
      <c r="C59" s="23">
        <v>25</v>
      </c>
      <c r="D59" s="16">
        <v>22423</v>
      </c>
      <c r="E59" s="18">
        <f t="shared" si="6"/>
        <v>111.4926637827231</v>
      </c>
      <c r="F59" s="23">
        <v>6</v>
      </c>
      <c r="G59" s="16">
        <v>47059</v>
      </c>
      <c r="H59" s="18">
        <f t="shared" si="1"/>
        <v>12.749952187679297</v>
      </c>
      <c r="I59" s="23">
        <v>0</v>
      </c>
      <c r="J59" s="15">
        <v>105187</v>
      </c>
      <c r="K59" s="18">
        <f t="shared" si="2"/>
        <v>0</v>
      </c>
      <c r="L59" s="23">
        <v>3</v>
      </c>
      <c r="M59" s="15">
        <v>285368</v>
      </c>
      <c r="N59" s="18">
        <f t="shared" si="3"/>
        <v>1.0512741442628466</v>
      </c>
      <c r="O59" s="23">
        <v>15</v>
      </c>
      <c r="P59" s="15">
        <v>103406</v>
      </c>
      <c r="Q59" s="18">
        <f t="shared" si="4"/>
        <v>14.50592808927915</v>
      </c>
      <c r="R59" s="23">
        <v>64</v>
      </c>
      <c r="S59" s="15">
        <v>563443</v>
      </c>
      <c r="T59" s="18">
        <f t="shared" si="5"/>
        <v>11.358735488771712</v>
      </c>
    </row>
    <row r="60" spans="1:20" ht="15.6" x14ac:dyDescent="0.3">
      <c r="A60" s="23" t="s">
        <v>67</v>
      </c>
      <c r="B60" s="23" t="s">
        <v>58</v>
      </c>
      <c r="C60" s="23">
        <v>16</v>
      </c>
      <c r="D60" s="16">
        <v>22423</v>
      </c>
      <c r="E60" s="18">
        <f t="shared" si="6"/>
        <v>71.355304820942777</v>
      </c>
      <c r="F60" s="23">
        <v>5</v>
      </c>
      <c r="G60" s="16">
        <v>47059</v>
      </c>
      <c r="H60" s="18">
        <f t="shared" si="1"/>
        <v>10.624960156399414</v>
      </c>
      <c r="I60" s="23">
        <v>5</v>
      </c>
      <c r="J60" s="15">
        <v>105187</v>
      </c>
      <c r="K60" s="18">
        <f t="shared" si="2"/>
        <v>4.7534391131983984</v>
      </c>
      <c r="L60" s="23">
        <v>3</v>
      </c>
      <c r="M60" s="15">
        <v>285368</v>
      </c>
      <c r="N60" s="18">
        <f t="shared" si="3"/>
        <v>1.0512741442628466</v>
      </c>
      <c r="O60" s="23">
        <v>8</v>
      </c>
      <c r="P60" s="15">
        <v>103406</v>
      </c>
      <c r="Q60" s="18">
        <f t="shared" si="4"/>
        <v>7.7364949809488817</v>
      </c>
      <c r="R60" s="23">
        <v>45</v>
      </c>
      <c r="S60" s="15">
        <v>563443</v>
      </c>
      <c r="T60" s="18">
        <f t="shared" si="5"/>
        <v>7.9866108905426101</v>
      </c>
    </row>
    <row r="61" spans="1:20" ht="15.6" x14ac:dyDescent="0.3">
      <c r="A61" s="23" t="s">
        <v>67</v>
      </c>
      <c r="B61" s="23" t="s">
        <v>59</v>
      </c>
      <c r="C61" s="23">
        <v>32</v>
      </c>
      <c r="D61" s="16">
        <v>22423</v>
      </c>
      <c r="E61" s="18">
        <f t="shared" si="6"/>
        <v>142.71060964188555</v>
      </c>
      <c r="F61" s="23">
        <v>7</v>
      </c>
      <c r="G61" s="16">
        <v>47059</v>
      </c>
      <c r="H61" s="18">
        <f t="shared" si="1"/>
        <v>14.874944218959179</v>
      </c>
      <c r="I61" s="23">
        <v>0</v>
      </c>
      <c r="J61" s="15">
        <v>105187</v>
      </c>
      <c r="K61" s="18">
        <f t="shared" si="2"/>
        <v>0</v>
      </c>
      <c r="L61" s="23">
        <v>2</v>
      </c>
      <c r="M61" s="15">
        <v>285368</v>
      </c>
      <c r="N61" s="18">
        <f t="shared" si="3"/>
        <v>0.70084942950856433</v>
      </c>
      <c r="O61" s="23">
        <v>9</v>
      </c>
      <c r="P61" s="15">
        <v>103406</v>
      </c>
      <c r="Q61" s="18">
        <f t="shared" si="4"/>
        <v>8.7035568535674912</v>
      </c>
      <c r="R61" s="23">
        <v>59</v>
      </c>
      <c r="S61" s="15">
        <v>563443</v>
      </c>
      <c r="T61" s="18">
        <f t="shared" si="5"/>
        <v>10.471334278711423</v>
      </c>
    </row>
    <row r="62" spans="1:20" ht="15.6" x14ac:dyDescent="0.3">
      <c r="A62" s="23" t="s">
        <v>67</v>
      </c>
      <c r="B62" s="23" t="s">
        <v>60</v>
      </c>
      <c r="C62" s="23">
        <v>23</v>
      </c>
      <c r="D62" s="16">
        <v>22423</v>
      </c>
      <c r="E62" s="18">
        <f t="shared" si="6"/>
        <v>102.57325068010525</v>
      </c>
      <c r="F62" s="23">
        <v>7</v>
      </c>
      <c r="G62" s="16">
        <v>47059</v>
      </c>
      <c r="H62" s="18">
        <f t="shared" si="1"/>
        <v>14.874944218959179</v>
      </c>
      <c r="I62" s="23">
        <v>0</v>
      </c>
      <c r="J62" s="15">
        <v>105187</v>
      </c>
      <c r="K62" s="18">
        <f t="shared" si="2"/>
        <v>0</v>
      </c>
      <c r="L62" s="23">
        <v>6</v>
      </c>
      <c r="M62" s="15">
        <v>285368</v>
      </c>
      <c r="N62" s="18">
        <f t="shared" si="3"/>
        <v>2.1025482885256932</v>
      </c>
      <c r="O62" s="23">
        <v>14</v>
      </c>
      <c r="P62" s="15">
        <v>103406</v>
      </c>
      <c r="Q62" s="18">
        <f t="shared" si="4"/>
        <v>13.538866216660541</v>
      </c>
      <c r="R62" s="23">
        <v>64</v>
      </c>
      <c r="S62" s="15">
        <v>563443</v>
      </c>
      <c r="T62" s="18">
        <f t="shared" si="5"/>
        <v>11.358735488771712</v>
      </c>
    </row>
    <row r="63" spans="1:20" ht="15.6" x14ac:dyDescent="0.3">
      <c r="A63" s="23" t="s">
        <v>67</v>
      </c>
      <c r="B63" s="23" t="s">
        <v>61</v>
      </c>
      <c r="C63" s="23">
        <v>41</v>
      </c>
      <c r="D63" s="16">
        <v>22423</v>
      </c>
      <c r="E63" s="18">
        <f t="shared" si="6"/>
        <v>182.84796860366586</v>
      </c>
      <c r="F63" s="23">
        <v>7</v>
      </c>
      <c r="G63" s="16">
        <v>47059</v>
      </c>
      <c r="H63" s="18">
        <f t="shared" si="1"/>
        <v>14.874944218959179</v>
      </c>
      <c r="I63" s="23">
        <v>3</v>
      </c>
      <c r="J63" s="15">
        <v>105187</v>
      </c>
      <c r="K63" s="18">
        <f t="shared" si="2"/>
        <v>2.8520634679190393</v>
      </c>
      <c r="L63" s="23">
        <v>9</v>
      </c>
      <c r="M63" s="15">
        <v>285368</v>
      </c>
      <c r="N63" s="18">
        <f t="shared" si="3"/>
        <v>3.15382243278854</v>
      </c>
      <c r="O63" s="23">
        <v>19</v>
      </c>
      <c r="P63" s="15">
        <v>103406</v>
      </c>
      <c r="Q63" s="18">
        <f t="shared" si="4"/>
        <v>18.374175579753594</v>
      </c>
      <c r="R63" s="23">
        <v>98</v>
      </c>
      <c r="S63" s="15">
        <v>563443</v>
      </c>
      <c r="T63" s="18">
        <f t="shared" si="5"/>
        <v>17.393063717181683</v>
      </c>
    </row>
    <row r="64" spans="1:20" ht="15.6" x14ac:dyDescent="0.3">
      <c r="A64" s="23" t="s">
        <v>67</v>
      </c>
      <c r="B64" s="23" t="s">
        <v>62</v>
      </c>
      <c r="C64" s="23">
        <v>33</v>
      </c>
      <c r="D64" s="16">
        <v>22423</v>
      </c>
      <c r="E64" s="18">
        <f t="shared" si="6"/>
        <v>147.17031619319448</v>
      </c>
      <c r="F64" s="23">
        <v>7</v>
      </c>
      <c r="G64" s="16">
        <v>47059</v>
      </c>
      <c r="H64" s="18">
        <f t="shared" si="1"/>
        <v>14.874944218959179</v>
      </c>
      <c r="I64" s="23">
        <v>1</v>
      </c>
      <c r="J64" s="15">
        <v>105187</v>
      </c>
      <c r="K64" s="18">
        <f t="shared" si="2"/>
        <v>0.95068782263967977</v>
      </c>
      <c r="L64" s="23">
        <v>9</v>
      </c>
      <c r="M64" s="15">
        <v>285368</v>
      </c>
      <c r="N64" s="18">
        <f t="shared" si="3"/>
        <v>3.15382243278854</v>
      </c>
      <c r="O64" s="23">
        <v>25</v>
      </c>
      <c r="P64" s="15">
        <v>103406</v>
      </c>
      <c r="Q64" s="18">
        <f t="shared" si="4"/>
        <v>24.176546815465255</v>
      </c>
      <c r="R64" s="23">
        <v>100</v>
      </c>
      <c r="S64" s="15">
        <v>563443</v>
      </c>
      <c r="T64" s="18">
        <f t="shared" si="5"/>
        <v>17.748024201205801</v>
      </c>
    </row>
    <row r="65" spans="1:20" ht="15.6" x14ac:dyDescent="0.3">
      <c r="A65" s="23" t="s">
        <v>67</v>
      </c>
      <c r="B65" s="23" t="s">
        <v>63</v>
      </c>
      <c r="C65" s="23">
        <v>29</v>
      </c>
      <c r="D65" s="16">
        <v>22423</v>
      </c>
      <c r="E65" s="18">
        <f t="shared" si="6"/>
        <v>129.3314899879588</v>
      </c>
      <c r="F65" s="23">
        <v>0</v>
      </c>
      <c r="G65" s="16">
        <v>47059</v>
      </c>
      <c r="H65" s="18">
        <f t="shared" si="1"/>
        <v>0</v>
      </c>
      <c r="I65" s="23">
        <v>0</v>
      </c>
      <c r="J65" s="15">
        <v>105187</v>
      </c>
      <c r="K65" s="18">
        <f t="shared" si="2"/>
        <v>0</v>
      </c>
      <c r="L65" s="23">
        <v>12</v>
      </c>
      <c r="M65" s="15">
        <v>285368</v>
      </c>
      <c r="N65" s="18">
        <f t="shared" si="3"/>
        <v>4.2050965770513864</v>
      </c>
      <c r="O65" s="23">
        <v>36</v>
      </c>
      <c r="P65" s="15">
        <v>103406</v>
      </c>
      <c r="Q65" s="18">
        <f t="shared" si="4"/>
        <v>34.814227414269965</v>
      </c>
      <c r="R65" s="23">
        <v>113</v>
      </c>
      <c r="S65" s="15">
        <v>563443</v>
      </c>
      <c r="T65" s="18">
        <f t="shared" si="5"/>
        <v>20.055267347362555</v>
      </c>
    </row>
    <row r="66" spans="1:20" ht="15.6" x14ac:dyDescent="0.3">
      <c r="A66" s="23" t="s">
        <v>67</v>
      </c>
      <c r="B66" s="23" t="s">
        <v>64</v>
      </c>
      <c r="C66" s="23">
        <v>28</v>
      </c>
      <c r="D66" s="16">
        <v>22423</v>
      </c>
      <c r="E66" s="18">
        <f t="shared" si="6"/>
        <v>124.87178343664988</v>
      </c>
      <c r="F66" s="23">
        <v>6</v>
      </c>
      <c r="G66" s="16">
        <v>47059</v>
      </c>
      <c r="H66" s="18">
        <f t="shared" ref="H66:H118" si="7">F66/G66*100000</f>
        <v>12.749952187679297</v>
      </c>
      <c r="I66" s="23">
        <v>3</v>
      </c>
      <c r="J66" s="15">
        <v>105187</v>
      </c>
      <c r="K66" s="18">
        <f t="shared" ref="K66:K118" si="8">I66/J66*100000</f>
        <v>2.8520634679190393</v>
      </c>
      <c r="L66" s="23">
        <v>18</v>
      </c>
      <c r="M66" s="15">
        <v>285368</v>
      </c>
      <c r="N66" s="18">
        <f t="shared" ref="N66:N118" si="9">L66/M66*100000</f>
        <v>6.30764486557708</v>
      </c>
      <c r="O66" s="23">
        <v>40</v>
      </c>
      <c r="P66" s="15">
        <v>103406</v>
      </c>
      <c r="Q66" s="18">
        <f t="shared" ref="Q66:Q118" si="10">O66/P66*100000</f>
        <v>38.682474904744403</v>
      </c>
      <c r="R66" s="23">
        <v>135</v>
      </c>
      <c r="S66" s="15">
        <v>563443</v>
      </c>
      <c r="T66" s="18">
        <f t="shared" ref="T66:T118" si="11">R66/S66*100000</f>
        <v>23.959832671627833</v>
      </c>
    </row>
    <row r="67" spans="1:20" ht="15.6" x14ac:dyDescent="0.3">
      <c r="A67" s="23" t="s">
        <v>67</v>
      </c>
      <c r="B67" s="23" t="s">
        <v>100</v>
      </c>
      <c r="C67" s="23">
        <v>25</v>
      </c>
      <c r="D67" s="23">
        <v>22469</v>
      </c>
      <c r="E67" s="18">
        <f t="shared" si="6"/>
        <v>111.26440874093194</v>
      </c>
      <c r="F67" s="23">
        <v>4</v>
      </c>
      <c r="G67" s="23">
        <v>47158</v>
      </c>
      <c r="H67" s="18">
        <f t="shared" si="7"/>
        <v>8.4821239238305264</v>
      </c>
      <c r="I67" s="23">
        <v>1</v>
      </c>
      <c r="J67" s="23">
        <v>104681</v>
      </c>
      <c r="K67" s="18">
        <f t="shared" si="8"/>
        <v>0.95528319370277326</v>
      </c>
      <c r="L67" s="23">
        <v>18</v>
      </c>
      <c r="M67" s="23">
        <v>294033</v>
      </c>
      <c r="N67" s="18">
        <f t="shared" si="9"/>
        <v>6.1217618430584322</v>
      </c>
      <c r="O67" s="23">
        <v>52</v>
      </c>
      <c r="P67" s="23">
        <v>105909</v>
      </c>
      <c r="Q67" s="18">
        <f t="shared" si="10"/>
        <v>49.098754591205655</v>
      </c>
      <c r="R67" s="23">
        <v>100</v>
      </c>
      <c r="S67" s="23">
        <v>574250</v>
      </c>
      <c r="T67" s="18">
        <f t="shared" si="11"/>
        <v>17.414018284719198</v>
      </c>
    </row>
    <row r="68" spans="1:20" ht="15.6" x14ac:dyDescent="0.3">
      <c r="A68" s="23" t="s">
        <v>67</v>
      </c>
      <c r="B68" s="23" t="s">
        <v>101</v>
      </c>
      <c r="C68" s="23">
        <v>15</v>
      </c>
      <c r="D68" s="23">
        <v>22469</v>
      </c>
      <c r="E68" s="18">
        <f t="shared" si="6"/>
        <v>66.758645244559176</v>
      </c>
      <c r="F68" s="23">
        <v>6</v>
      </c>
      <c r="G68" s="23">
        <v>47158</v>
      </c>
      <c r="H68" s="18">
        <f t="shared" si="7"/>
        <v>12.723185885745792</v>
      </c>
      <c r="I68" s="23">
        <v>2</v>
      </c>
      <c r="J68" s="23">
        <v>104681</v>
      </c>
      <c r="K68" s="18">
        <f t="shared" si="8"/>
        <v>1.9105663874055465</v>
      </c>
      <c r="L68" s="23">
        <v>12</v>
      </c>
      <c r="M68" s="23">
        <v>294033</v>
      </c>
      <c r="N68" s="18">
        <f t="shared" si="9"/>
        <v>4.0811745620389548</v>
      </c>
      <c r="O68" s="23">
        <v>51</v>
      </c>
      <c r="P68" s="23">
        <v>105909</v>
      </c>
      <c r="Q68" s="18">
        <f t="shared" si="10"/>
        <v>48.154547772144007</v>
      </c>
      <c r="R68" s="23">
        <v>86</v>
      </c>
      <c r="S68" s="23">
        <v>574250</v>
      </c>
      <c r="T68" s="18">
        <f t="shared" si="11"/>
        <v>14.976055724858512</v>
      </c>
    </row>
    <row r="69" spans="1:20" ht="15.6" x14ac:dyDescent="0.3">
      <c r="A69" s="23" t="s">
        <v>67</v>
      </c>
      <c r="B69" s="23" t="s">
        <v>102</v>
      </c>
      <c r="C69" s="23">
        <v>23</v>
      </c>
      <c r="D69" s="23">
        <v>22469</v>
      </c>
      <c r="E69" s="18">
        <f t="shared" si="6"/>
        <v>102.36325604165738</v>
      </c>
      <c r="F69" s="23">
        <v>3</v>
      </c>
      <c r="G69" s="23">
        <v>47158</v>
      </c>
      <c r="H69" s="18">
        <f t="shared" si="7"/>
        <v>6.3615929428728961</v>
      </c>
      <c r="I69" s="23">
        <v>1</v>
      </c>
      <c r="J69" s="23">
        <v>104681</v>
      </c>
      <c r="K69" s="18">
        <f t="shared" si="8"/>
        <v>0.95528319370277326</v>
      </c>
      <c r="L69" s="23">
        <v>11</v>
      </c>
      <c r="M69" s="23">
        <v>294033</v>
      </c>
      <c r="N69" s="18">
        <f t="shared" si="9"/>
        <v>3.7410766818690417</v>
      </c>
      <c r="O69" s="23">
        <v>28</v>
      </c>
      <c r="P69" s="23">
        <v>105909</v>
      </c>
      <c r="Q69" s="18">
        <f t="shared" si="10"/>
        <v>26.437790933726124</v>
      </c>
      <c r="R69" s="23">
        <v>66</v>
      </c>
      <c r="S69" s="23">
        <v>574250</v>
      </c>
      <c r="T69" s="18">
        <f t="shared" si="11"/>
        <v>11.493252067914671</v>
      </c>
    </row>
    <row r="70" spans="1:20" ht="15.6" x14ac:dyDescent="0.3">
      <c r="A70" s="23" t="s">
        <v>67</v>
      </c>
      <c r="B70" s="23" t="s">
        <v>103</v>
      </c>
      <c r="C70" s="23">
        <v>21</v>
      </c>
      <c r="D70" s="23">
        <v>22469</v>
      </c>
      <c r="E70" s="18">
        <f t="shared" si="6"/>
        <v>93.462103342382846</v>
      </c>
      <c r="F70" s="23">
        <v>9</v>
      </c>
      <c r="G70" s="23">
        <v>47158</v>
      </c>
      <c r="H70" s="18">
        <f t="shared" si="7"/>
        <v>19.084778828618685</v>
      </c>
      <c r="I70" s="23">
        <v>0</v>
      </c>
      <c r="J70" s="23">
        <v>104681</v>
      </c>
      <c r="K70" s="18">
        <f t="shared" si="8"/>
        <v>0</v>
      </c>
      <c r="L70" s="23">
        <v>17</v>
      </c>
      <c r="M70" s="23">
        <v>294033</v>
      </c>
      <c r="N70" s="18">
        <f t="shared" si="9"/>
        <v>5.7816639628885191</v>
      </c>
      <c r="O70" s="23">
        <v>41</v>
      </c>
      <c r="P70" s="23">
        <v>105909</v>
      </c>
      <c r="Q70" s="18">
        <f t="shared" si="10"/>
        <v>38.712479581527539</v>
      </c>
      <c r="R70" s="23">
        <v>88</v>
      </c>
      <c r="S70" s="23">
        <v>574250</v>
      </c>
      <c r="T70" s="18">
        <f t="shared" si="11"/>
        <v>15.324336090552894</v>
      </c>
    </row>
    <row r="71" spans="1:20" ht="15.6" x14ac:dyDescent="0.3">
      <c r="A71" s="23" t="s">
        <v>67</v>
      </c>
      <c r="B71" s="23" t="s">
        <v>104</v>
      </c>
      <c r="C71" s="23">
        <v>26</v>
      </c>
      <c r="D71" s="23">
        <v>22469</v>
      </c>
      <c r="E71" s="18">
        <f t="shared" si="6"/>
        <v>115.71498509056924</v>
      </c>
      <c r="F71" s="23">
        <v>11</v>
      </c>
      <c r="G71" s="23">
        <v>47158</v>
      </c>
      <c r="H71" s="18">
        <f t="shared" si="7"/>
        <v>23.325840790533949</v>
      </c>
      <c r="I71" s="23">
        <v>1</v>
      </c>
      <c r="J71" s="23">
        <v>104681</v>
      </c>
      <c r="K71" s="18">
        <f t="shared" si="8"/>
        <v>0.95528319370277326</v>
      </c>
      <c r="L71" s="23">
        <v>7</v>
      </c>
      <c r="M71" s="23">
        <v>294033</v>
      </c>
      <c r="N71" s="18">
        <f t="shared" si="9"/>
        <v>2.3806851611893904</v>
      </c>
      <c r="O71" s="23">
        <v>27</v>
      </c>
      <c r="P71" s="23">
        <v>105909</v>
      </c>
      <c r="Q71" s="18">
        <f t="shared" si="10"/>
        <v>25.493584114664475</v>
      </c>
      <c r="R71" s="23">
        <v>72</v>
      </c>
      <c r="S71" s="23">
        <v>574250</v>
      </c>
      <c r="T71" s="18">
        <f t="shared" si="11"/>
        <v>12.538093164997825</v>
      </c>
    </row>
    <row r="72" spans="1:20" ht="15.6" x14ac:dyDescent="0.3">
      <c r="A72" s="23" t="s">
        <v>67</v>
      </c>
      <c r="B72" s="23" t="s">
        <v>105</v>
      </c>
      <c r="C72" s="23">
        <v>15</v>
      </c>
      <c r="D72" s="23">
        <v>22469</v>
      </c>
      <c r="E72" s="18">
        <f t="shared" si="6"/>
        <v>66.758645244559176</v>
      </c>
      <c r="F72" s="23">
        <v>5</v>
      </c>
      <c r="G72" s="23">
        <v>47158</v>
      </c>
      <c r="H72" s="18">
        <f t="shared" si="7"/>
        <v>10.602654904788158</v>
      </c>
      <c r="I72" s="23">
        <v>3</v>
      </c>
      <c r="J72" s="23">
        <v>104681</v>
      </c>
      <c r="K72" s="18">
        <f t="shared" si="8"/>
        <v>2.8658495811083196</v>
      </c>
      <c r="L72" s="23">
        <v>11</v>
      </c>
      <c r="M72" s="23">
        <v>294033</v>
      </c>
      <c r="N72" s="18">
        <f t="shared" si="9"/>
        <v>3.7410766818690417</v>
      </c>
      <c r="O72" s="23">
        <v>27</v>
      </c>
      <c r="P72" s="23">
        <v>105909</v>
      </c>
      <c r="Q72" s="18">
        <f t="shared" si="10"/>
        <v>25.493584114664475</v>
      </c>
      <c r="R72" s="23">
        <v>61</v>
      </c>
      <c r="S72" s="23">
        <v>574250</v>
      </c>
      <c r="T72" s="18">
        <f t="shared" si="11"/>
        <v>10.62255115367871</v>
      </c>
    </row>
    <row r="73" spans="1:20" ht="15.6" x14ac:dyDescent="0.3">
      <c r="A73" s="23" t="s">
        <v>67</v>
      </c>
      <c r="B73" s="23" t="s">
        <v>106</v>
      </c>
      <c r="C73" s="23">
        <v>20</v>
      </c>
      <c r="D73" s="23">
        <v>22469</v>
      </c>
      <c r="E73" s="18">
        <f t="shared" si="6"/>
        <v>89.011526992745559</v>
      </c>
      <c r="F73" s="23">
        <v>4</v>
      </c>
      <c r="G73" s="23">
        <v>47158</v>
      </c>
      <c r="H73" s="18">
        <f t="shared" si="7"/>
        <v>8.4821239238305264</v>
      </c>
      <c r="I73" s="23">
        <v>1</v>
      </c>
      <c r="J73" s="23">
        <v>104681</v>
      </c>
      <c r="K73" s="18">
        <f t="shared" si="8"/>
        <v>0.95528319370277326</v>
      </c>
      <c r="L73" s="23">
        <v>5</v>
      </c>
      <c r="M73" s="23">
        <v>294033</v>
      </c>
      <c r="N73" s="18">
        <f t="shared" si="9"/>
        <v>1.7004894008495646</v>
      </c>
      <c r="O73" s="23">
        <v>18</v>
      </c>
      <c r="P73" s="23">
        <v>105909</v>
      </c>
      <c r="Q73" s="18">
        <f t="shared" si="10"/>
        <v>16.995722743109653</v>
      </c>
      <c r="R73" s="23">
        <v>48</v>
      </c>
      <c r="S73" s="23">
        <v>574250</v>
      </c>
      <c r="T73" s="18">
        <f t="shared" si="11"/>
        <v>8.358728776665215</v>
      </c>
    </row>
    <row r="74" spans="1:20" ht="15.6" x14ac:dyDescent="0.3">
      <c r="A74" s="23" t="s">
        <v>67</v>
      </c>
      <c r="B74" s="23" t="s">
        <v>107</v>
      </c>
      <c r="C74" s="23">
        <v>23</v>
      </c>
      <c r="D74" s="23">
        <v>22469</v>
      </c>
      <c r="E74" s="18">
        <f t="shared" si="6"/>
        <v>102.36325604165738</v>
      </c>
      <c r="F74" s="23">
        <v>5</v>
      </c>
      <c r="G74" s="23">
        <v>47158</v>
      </c>
      <c r="H74" s="18">
        <f t="shared" si="7"/>
        <v>10.602654904788158</v>
      </c>
      <c r="I74" s="23">
        <v>2</v>
      </c>
      <c r="J74" s="23">
        <v>104681</v>
      </c>
      <c r="K74" s="18">
        <f t="shared" si="8"/>
        <v>1.9105663874055465</v>
      </c>
      <c r="L74" s="23">
        <v>5</v>
      </c>
      <c r="M74" s="23">
        <v>294033</v>
      </c>
      <c r="N74" s="18">
        <f t="shared" si="9"/>
        <v>1.7004894008495646</v>
      </c>
      <c r="O74" s="23">
        <v>21</v>
      </c>
      <c r="P74" s="23">
        <v>105909</v>
      </c>
      <c r="Q74" s="18">
        <f t="shared" si="10"/>
        <v>19.828343200294594</v>
      </c>
      <c r="R74" s="23">
        <v>56</v>
      </c>
      <c r="S74" s="23">
        <v>574250</v>
      </c>
      <c r="T74" s="18">
        <f t="shared" si="11"/>
        <v>9.7518502394427511</v>
      </c>
    </row>
    <row r="75" spans="1:20" ht="15.6" x14ac:dyDescent="0.3">
      <c r="A75" s="23" t="s">
        <v>67</v>
      </c>
      <c r="B75" s="23" t="s">
        <v>108</v>
      </c>
      <c r="C75" s="23">
        <v>20</v>
      </c>
      <c r="D75" s="23">
        <v>22469</v>
      </c>
      <c r="E75" s="18">
        <f t="shared" si="6"/>
        <v>89.011526992745559</v>
      </c>
      <c r="F75" s="23">
        <v>7</v>
      </c>
      <c r="G75" s="23">
        <v>47158</v>
      </c>
      <c r="H75" s="18">
        <f t="shared" si="7"/>
        <v>14.843716866703421</v>
      </c>
      <c r="I75" s="23">
        <v>2</v>
      </c>
      <c r="J75" s="23">
        <v>104681</v>
      </c>
      <c r="K75" s="18">
        <f t="shared" si="8"/>
        <v>1.9105663874055465</v>
      </c>
      <c r="L75" s="23">
        <v>9</v>
      </c>
      <c r="M75" s="23">
        <v>294033</v>
      </c>
      <c r="N75" s="18">
        <f t="shared" si="9"/>
        <v>3.0608809215292161</v>
      </c>
      <c r="O75" s="23">
        <v>20</v>
      </c>
      <c r="P75" s="23">
        <v>105909</v>
      </c>
      <c r="Q75" s="18">
        <f t="shared" si="10"/>
        <v>18.884136381232945</v>
      </c>
      <c r="R75" s="23">
        <v>58</v>
      </c>
      <c r="S75" s="23">
        <v>574250</v>
      </c>
      <c r="T75" s="18">
        <f t="shared" si="11"/>
        <v>10.100130605137135</v>
      </c>
    </row>
    <row r="76" spans="1:20" ht="15.6" x14ac:dyDescent="0.3">
      <c r="A76" s="23" t="s">
        <v>67</v>
      </c>
      <c r="B76" s="23" t="s">
        <v>109</v>
      </c>
      <c r="C76" s="23">
        <v>10</v>
      </c>
      <c r="D76" s="23">
        <v>22469</v>
      </c>
      <c r="E76" s="18">
        <f t="shared" si="6"/>
        <v>44.505763496372779</v>
      </c>
      <c r="F76" s="23">
        <v>10</v>
      </c>
      <c r="G76" s="23">
        <v>47158</v>
      </c>
      <c r="H76" s="18">
        <f t="shared" si="7"/>
        <v>21.205309809576317</v>
      </c>
      <c r="I76" s="23">
        <v>1</v>
      </c>
      <c r="J76" s="23">
        <v>104681</v>
      </c>
      <c r="K76" s="18">
        <f t="shared" si="8"/>
        <v>0.95528319370277326</v>
      </c>
      <c r="L76" s="23">
        <v>7</v>
      </c>
      <c r="M76" s="23">
        <v>294033</v>
      </c>
      <c r="N76" s="18">
        <f t="shared" si="9"/>
        <v>2.3806851611893904</v>
      </c>
      <c r="O76" s="23">
        <v>43</v>
      </c>
      <c r="P76" s="23">
        <v>105909</v>
      </c>
      <c r="Q76" s="18">
        <f t="shared" si="10"/>
        <v>40.600893219650835</v>
      </c>
      <c r="R76" s="23">
        <v>71</v>
      </c>
      <c r="S76" s="23">
        <v>574250</v>
      </c>
      <c r="T76" s="18">
        <f t="shared" si="11"/>
        <v>12.363952982150632</v>
      </c>
    </row>
    <row r="77" spans="1:20" ht="15.6" x14ac:dyDescent="0.3">
      <c r="A77" s="23" t="s">
        <v>67</v>
      </c>
      <c r="B77" s="23" t="s">
        <v>110</v>
      </c>
      <c r="C77" s="23">
        <v>19</v>
      </c>
      <c r="D77" s="23">
        <v>22469</v>
      </c>
      <c r="E77" s="18">
        <f t="shared" si="6"/>
        <v>84.560950643108285</v>
      </c>
      <c r="F77" s="23">
        <v>5</v>
      </c>
      <c r="G77" s="23">
        <v>47158</v>
      </c>
      <c r="H77" s="18">
        <f t="shared" si="7"/>
        <v>10.602654904788158</v>
      </c>
      <c r="I77" s="23">
        <v>2</v>
      </c>
      <c r="J77" s="23">
        <v>104681</v>
      </c>
      <c r="K77" s="18">
        <f t="shared" si="8"/>
        <v>1.9105663874055465</v>
      </c>
      <c r="L77" s="23">
        <v>7</v>
      </c>
      <c r="M77" s="23">
        <v>294033</v>
      </c>
      <c r="N77" s="18">
        <f t="shared" si="9"/>
        <v>2.3806851611893904</v>
      </c>
      <c r="O77" s="23">
        <v>23</v>
      </c>
      <c r="P77" s="23">
        <v>105909</v>
      </c>
      <c r="Q77" s="18">
        <f t="shared" si="10"/>
        <v>21.716756838417886</v>
      </c>
      <c r="R77" s="23">
        <v>56</v>
      </c>
      <c r="S77" s="23">
        <v>574250</v>
      </c>
      <c r="T77" s="18">
        <f t="shared" si="11"/>
        <v>9.7518502394427511</v>
      </c>
    </row>
    <row r="78" spans="1:20" ht="15.6" x14ac:dyDescent="0.3">
      <c r="A78" s="23" t="s">
        <v>67</v>
      </c>
      <c r="B78" s="23" t="s">
        <v>111</v>
      </c>
      <c r="C78" s="23">
        <v>15</v>
      </c>
      <c r="D78" s="23">
        <v>22469</v>
      </c>
      <c r="E78" s="18">
        <f t="shared" si="6"/>
        <v>66.758645244559176</v>
      </c>
      <c r="F78" s="23">
        <v>4</v>
      </c>
      <c r="G78" s="23">
        <v>47158</v>
      </c>
      <c r="H78" s="18">
        <f t="shared" si="7"/>
        <v>8.4821239238305264</v>
      </c>
      <c r="I78" s="23">
        <v>1</v>
      </c>
      <c r="J78" s="23">
        <v>104681</v>
      </c>
      <c r="K78" s="18">
        <f t="shared" si="8"/>
        <v>0.95528319370277326</v>
      </c>
      <c r="L78" s="23">
        <v>7</v>
      </c>
      <c r="M78" s="23">
        <v>294033</v>
      </c>
      <c r="N78" s="18">
        <f t="shared" si="9"/>
        <v>2.3806851611893904</v>
      </c>
      <c r="O78" s="23">
        <v>28</v>
      </c>
      <c r="P78" s="23">
        <v>105909</v>
      </c>
      <c r="Q78" s="18">
        <f t="shared" si="10"/>
        <v>26.437790933726124</v>
      </c>
      <c r="R78" s="23">
        <v>55</v>
      </c>
      <c r="S78" s="23">
        <v>574250</v>
      </c>
      <c r="T78" s="18">
        <f t="shared" si="11"/>
        <v>9.5777100565955582</v>
      </c>
    </row>
    <row r="79" spans="1:20" ht="15.6" x14ac:dyDescent="0.3">
      <c r="A79" s="23" t="s">
        <v>67</v>
      </c>
      <c r="B79" s="23" t="s">
        <v>112</v>
      </c>
      <c r="C79" s="23">
        <v>15</v>
      </c>
      <c r="D79" s="23">
        <v>22469</v>
      </c>
      <c r="E79" s="18">
        <f t="shared" si="6"/>
        <v>66.758645244559176</v>
      </c>
      <c r="F79" s="23">
        <v>4</v>
      </c>
      <c r="G79" s="23">
        <v>47158</v>
      </c>
      <c r="H79" s="18">
        <f t="shared" si="7"/>
        <v>8.4821239238305264</v>
      </c>
      <c r="I79" s="23">
        <v>2</v>
      </c>
      <c r="J79" s="23">
        <v>104681</v>
      </c>
      <c r="K79" s="18">
        <f t="shared" si="8"/>
        <v>1.9105663874055465</v>
      </c>
      <c r="L79" s="23">
        <v>5</v>
      </c>
      <c r="M79" s="23">
        <v>294033</v>
      </c>
      <c r="N79" s="18">
        <f t="shared" si="9"/>
        <v>1.7004894008495646</v>
      </c>
      <c r="O79" s="23">
        <v>29</v>
      </c>
      <c r="P79" s="23">
        <v>105909</v>
      </c>
      <c r="Q79" s="18">
        <f t="shared" si="10"/>
        <v>27.381997752787772</v>
      </c>
      <c r="R79" s="23">
        <v>55</v>
      </c>
      <c r="S79" s="23">
        <v>574250</v>
      </c>
      <c r="T79" s="18">
        <f t="shared" si="11"/>
        <v>9.5777100565955582</v>
      </c>
    </row>
    <row r="80" spans="1:20" ht="15.6" x14ac:dyDescent="0.3">
      <c r="A80" s="23" t="s">
        <v>67</v>
      </c>
      <c r="B80" s="23" t="s">
        <v>113</v>
      </c>
      <c r="C80" s="23">
        <v>18</v>
      </c>
      <c r="D80" s="23">
        <v>22469</v>
      </c>
      <c r="E80" s="18">
        <f t="shared" ref="E80:E118" si="12">C80/D80*100000</f>
        <v>80.110374293470997</v>
      </c>
      <c r="F80" s="23">
        <v>5</v>
      </c>
      <c r="G80" s="23">
        <v>47158</v>
      </c>
      <c r="H80" s="18">
        <f t="shared" si="7"/>
        <v>10.602654904788158</v>
      </c>
      <c r="I80" s="23">
        <v>2</v>
      </c>
      <c r="J80" s="23">
        <v>104681</v>
      </c>
      <c r="K80" s="18">
        <f t="shared" si="8"/>
        <v>1.9105663874055465</v>
      </c>
      <c r="L80" s="23">
        <v>8</v>
      </c>
      <c r="M80" s="23">
        <v>294033</v>
      </c>
      <c r="N80" s="18">
        <f t="shared" si="9"/>
        <v>2.720783041359303</v>
      </c>
      <c r="O80" s="23">
        <v>31</v>
      </c>
      <c r="P80" s="23">
        <v>105909</v>
      </c>
      <c r="Q80" s="18">
        <f t="shared" si="10"/>
        <v>29.270411390911061</v>
      </c>
      <c r="R80" s="23">
        <v>64</v>
      </c>
      <c r="S80" s="23">
        <v>574250</v>
      </c>
      <c r="T80" s="18">
        <f t="shared" si="11"/>
        <v>11.144971702220287</v>
      </c>
    </row>
    <row r="81" spans="1:20" ht="15.6" x14ac:dyDescent="0.3">
      <c r="A81" s="23" t="s">
        <v>67</v>
      </c>
      <c r="B81" s="23" t="s">
        <v>114</v>
      </c>
      <c r="C81" s="23">
        <v>20</v>
      </c>
      <c r="D81" s="23">
        <v>22469</v>
      </c>
      <c r="E81" s="18">
        <f t="shared" si="12"/>
        <v>89.011526992745559</v>
      </c>
      <c r="F81" s="23">
        <v>7</v>
      </c>
      <c r="G81" s="23">
        <v>47158</v>
      </c>
      <c r="H81" s="18">
        <f t="shared" si="7"/>
        <v>14.843716866703421</v>
      </c>
      <c r="I81" s="23">
        <v>3</v>
      </c>
      <c r="J81" s="23">
        <v>104681</v>
      </c>
      <c r="K81" s="18">
        <f t="shared" si="8"/>
        <v>2.8658495811083196</v>
      </c>
      <c r="L81" s="23">
        <v>4</v>
      </c>
      <c r="M81" s="23">
        <v>294033</v>
      </c>
      <c r="N81" s="18">
        <f t="shared" si="9"/>
        <v>1.3603915206796515</v>
      </c>
      <c r="O81" s="23">
        <v>27</v>
      </c>
      <c r="P81" s="23">
        <v>105909</v>
      </c>
      <c r="Q81" s="18">
        <f t="shared" si="10"/>
        <v>25.493584114664475</v>
      </c>
      <c r="R81" s="23">
        <v>61</v>
      </c>
      <c r="S81" s="23">
        <v>574250</v>
      </c>
      <c r="T81" s="18">
        <f t="shared" si="11"/>
        <v>10.62255115367871</v>
      </c>
    </row>
    <row r="82" spans="1:20" ht="15.6" x14ac:dyDescent="0.3">
      <c r="A82" s="23" t="s">
        <v>67</v>
      </c>
      <c r="B82" s="23" t="s">
        <v>115</v>
      </c>
      <c r="C82" s="23">
        <v>20</v>
      </c>
      <c r="D82" s="23">
        <v>22469</v>
      </c>
      <c r="E82" s="18">
        <f t="shared" si="12"/>
        <v>89.011526992745559</v>
      </c>
      <c r="F82" s="23">
        <v>9</v>
      </c>
      <c r="G82" s="23">
        <v>47158</v>
      </c>
      <c r="H82" s="18">
        <f t="shared" si="7"/>
        <v>19.084778828618685</v>
      </c>
      <c r="I82" s="23">
        <v>2</v>
      </c>
      <c r="J82" s="23">
        <v>104681</v>
      </c>
      <c r="K82" s="18">
        <f t="shared" si="8"/>
        <v>1.9105663874055465</v>
      </c>
      <c r="L82" s="23">
        <v>7</v>
      </c>
      <c r="M82" s="23">
        <v>294033</v>
      </c>
      <c r="N82" s="18">
        <f t="shared" si="9"/>
        <v>2.3806851611893904</v>
      </c>
      <c r="O82" s="23">
        <v>25</v>
      </c>
      <c r="P82" s="23">
        <v>105909</v>
      </c>
      <c r="Q82" s="18">
        <f t="shared" si="10"/>
        <v>23.605170476541179</v>
      </c>
      <c r="R82" s="23">
        <v>63</v>
      </c>
      <c r="S82" s="23">
        <v>574250</v>
      </c>
      <c r="T82" s="18">
        <f t="shared" si="11"/>
        <v>10.970831519373096</v>
      </c>
    </row>
    <row r="83" spans="1:20" ht="15.6" x14ac:dyDescent="0.3">
      <c r="A83" s="23" t="s">
        <v>67</v>
      </c>
      <c r="B83" s="23" t="s">
        <v>116</v>
      </c>
      <c r="C83" s="23">
        <v>19</v>
      </c>
      <c r="D83" s="23">
        <v>22469</v>
      </c>
      <c r="E83" s="18">
        <f t="shared" si="12"/>
        <v>84.560950643108285</v>
      </c>
      <c r="F83" s="23">
        <v>3</v>
      </c>
      <c r="G83" s="23">
        <v>47158</v>
      </c>
      <c r="H83" s="18">
        <f t="shared" si="7"/>
        <v>6.3615929428728961</v>
      </c>
      <c r="I83" s="23">
        <v>1</v>
      </c>
      <c r="J83" s="23">
        <v>104681</v>
      </c>
      <c r="K83" s="18">
        <f t="shared" si="8"/>
        <v>0.95528319370277326</v>
      </c>
      <c r="L83" s="23">
        <v>8</v>
      </c>
      <c r="M83" s="23">
        <v>294033</v>
      </c>
      <c r="N83" s="18">
        <f t="shared" si="9"/>
        <v>2.720783041359303</v>
      </c>
      <c r="O83" s="23">
        <v>28</v>
      </c>
      <c r="P83" s="23">
        <v>105909</v>
      </c>
      <c r="Q83" s="18">
        <f t="shared" si="10"/>
        <v>26.437790933726124</v>
      </c>
      <c r="R83" s="23">
        <v>59</v>
      </c>
      <c r="S83" s="23">
        <v>574250</v>
      </c>
      <c r="T83" s="18">
        <f t="shared" si="11"/>
        <v>10.274270787984326</v>
      </c>
    </row>
    <row r="84" spans="1:20" ht="15.6" x14ac:dyDescent="0.3">
      <c r="A84" s="23" t="s">
        <v>67</v>
      </c>
      <c r="B84" s="23" t="s">
        <v>117</v>
      </c>
      <c r="C84" s="23">
        <v>16</v>
      </c>
      <c r="D84" s="23">
        <v>22469</v>
      </c>
      <c r="E84" s="18">
        <f t="shared" si="12"/>
        <v>71.20922159419645</v>
      </c>
      <c r="F84" s="23">
        <v>6</v>
      </c>
      <c r="G84" s="23">
        <v>47158</v>
      </c>
      <c r="H84" s="18">
        <f t="shared" si="7"/>
        <v>12.723185885745792</v>
      </c>
      <c r="I84" s="23">
        <v>1</v>
      </c>
      <c r="J84" s="23">
        <v>104681</v>
      </c>
      <c r="K84" s="18">
        <f t="shared" si="8"/>
        <v>0.95528319370277326</v>
      </c>
      <c r="L84" s="23">
        <v>11</v>
      </c>
      <c r="M84" s="23">
        <v>294033</v>
      </c>
      <c r="N84" s="18">
        <f t="shared" si="9"/>
        <v>3.7410766818690417</v>
      </c>
      <c r="O84" s="23">
        <v>17</v>
      </c>
      <c r="P84" s="23">
        <v>105909</v>
      </c>
      <c r="Q84" s="18">
        <f t="shared" si="10"/>
        <v>16.051515924048005</v>
      </c>
      <c r="R84" s="23">
        <v>51</v>
      </c>
      <c r="S84" s="23">
        <v>574250</v>
      </c>
      <c r="T84" s="18">
        <f t="shared" si="11"/>
        <v>8.8811493252067919</v>
      </c>
    </row>
    <row r="85" spans="1:20" ht="15.6" x14ac:dyDescent="0.3">
      <c r="A85" s="23" t="s">
        <v>67</v>
      </c>
      <c r="B85" s="23" t="s">
        <v>118</v>
      </c>
      <c r="C85" s="23">
        <v>10</v>
      </c>
      <c r="D85" s="23">
        <v>22469</v>
      </c>
      <c r="E85" s="18">
        <f t="shared" si="12"/>
        <v>44.505763496372779</v>
      </c>
      <c r="F85" s="23">
        <v>4</v>
      </c>
      <c r="G85" s="23">
        <v>47158</v>
      </c>
      <c r="H85" s="18">
        <f t="shared" si="7"/>
        <v>8.4821239238305264</v>
      </c>
      <c r="I85" s="23">
        <v>2</v>
      </c>
      <c r="J85" s="23">
        <v>104681</v>
      </c>
      <c r="K85" s="18">
        <f t="shared" si="8"/>
        <v>1.9105663874055465</v>
      </c>
      <c r="L85" s="23">
        <v>3</v>
      </c>
      <c r="M85" s="23">
        <v>294033</v>
      </c>
      <c r="N85" s="18">
        <f t="shared" si="9"/>
        <v>1.0202936405097387</v>
      </c>
      <c r="O85" s="23">
        <v>30</v>
      </c>
      <c r="P85" s="23">
        <v>105909</v>
      </c>
      <c r="Q85" s="18">
        <f t="shared" si="10"/>
        <v>28.32620457184942</v>
      </c>
      <c r="R85" s="23">
        <v>49</v>
      </c>
      <c r="S85" s="23">
        <v>574250</v>
      </c>
      <c r="T85" s="18">
        <f t="shared" si="11"/>
        <v>8.5328689595124079</v>
      </c>
    </row>
    <row r="86" spans="1:20" ht="15.6" x14ac:dyDescent="0.3">
      <c r="A86" s="23" t="s">
        <v>67</v>
      </c>
      <c r="B86" s="23" t="s">
        <v>119</v>
      </c>
      <c r="C86" s="23">
        <v>8</v>
      </c>
      <c r="D86" s="23">
        <v>22469</v>
      </c>
      <c r="E86" s="18">
        <f t="shared" si="12"/>
        <v>35.604610797098225</v>
      </c>
      <c r="F86" s="23">
        <v>6</v>
      </c>
      <c r="G86" s="23">
        <v>47158</v>
      </c>
      <c r="H86" s="18">
        <f t="shared" si="7"/>
        <v>12.723185885745792</v>
      </c>
      <c r="I86" s="23">
        <v>0</v>
      </c>
      <c r="J86" s="23">
        <v>104681</v>
      </c>
      <c r="K86" s="18">
        <f t="shared" si="8"/>
        <v>0</v>
      </c>
      <c r="L86" s="23">
        <v>7</v>
      </c>
      <c r="M86" s="23">
        <v>294033</v>
      </c>
      <c r="N86" s="18">
        <f t="shared" si="9"/>
        <v>2.3806851611893904</v>
      </c>
      <c r="O86" s="23">
        <v>12</v>
      </c>
      <c r="P86" s="23">
        <v>105909</v>
      </c>
      <c r="Q86" s="18">
        <f t="shared" si="10"/>
        <v>11.330481828739767</v>
      </c>
      <c r="R86" s="23">
        <v>33</v>
      </c>
      <c r="S86" s="23">
        <v>574250</v>
      </c>
      <c r="T86" s="18">
        <f t="shared" si="11"/>
        <v>5.7466260339573356</v>
      </c>
    </row>
    <row r="87" spans="1:20" ht="15.6" x14ac:dyDescent="0.3">
      <c r="A87" s="23" t="s">
        <v>67</v>
      </c>
      <c r="B87" s="23" t="s">
        <v>120</v>
      </c>
      <c r="C87" s="23">
        <v>17</v>
      </c>
      <c r="D87" s="23">
        <v>22469</v>
      </c>
      <c r="E87" s="18">
        <f t="shared" si="12"/>
        <v>75.659797943833738</v>
      </c>
      <c r="F87" s="23">
        <v>1</v>
      </c>
      <c r="G87" s="23">
        <v>47158</v>
      </c>
      <c r="H87" s="18">
        <f t="shared" si="7"/>
        <v>2.1205309809576316</v>
      </c>
      <c r="I87" s="23">
        <v>3</v>
      </c>
      <c r="J87" s="23">
        <v>104681</v>
      </c>
      <c r="K87" s="18">
        <f t="shared" si="8"/>
        <v>2.8658495811083196</v>
      </c>
      <c r="L87" s="23">
        <v>3</v>
      </c>
      <c r="M87" s="23">
        <v>294033</v>
      </c>
      <c r="N87" s="18">
        <f t="shared" si="9"/>
        <v>1.0202936405097387</v>
      </c>
      <c r="O87" s="23">
        <v>10</v>
      </c>
      <c r="P87" s="23">
        <v>105909</v>
      </c>
      <c r="Q87" s="18">
        <f t="shared" si="10"/>
        <v>9.4420681906164727</v>
      </c>
      <c r="R87" s="23">
        <v>34</v>
      </c>
      <c r="S87" s="23">
        <v>574250</v>
      </c>
      <c r="T87" s="18">
        <f t="shared" si="11"/>
        <v>5.9207662168045276</v>
      </c>
    </row>
    <row r="88" spans="1:20" ht="15.6" x14ac:dyDescent="0.3">
      <c r="A88" s="23" t="s">
        <v>67</v>
      </c>
      <c r="B88" s="23" t="s">
        <v>121</v>
      </c>
      <c r="C88" s="23">
        <v>16</v>
      </c>
      <c r="D88" s="23">
        <v>22469</v>
      </c>
      <c r="E88" s="18">
        <f t="shared" si="12"/>
        <v>71.20922159419645</v>
      </c>
      <c r="F88" s="23">
        <v>4</v>
      </c>
      <c r="G88" s="23">
        <v>47158</v>
      </c>
      <c r="H88" s="18">
        <f t="shared" si="7"/>
        <v>8.4821239238305264</v>
      </c>
      <c r="I88" s="23">
        <v>2</v>
      </c>
      <c r="J88" s="23">
        <v>104681</v>
      </c>
      <c r="K88" s="18">
        <f t="shared" si="8"/>
        <v>1.9105663874055465</v>
      </c>
      <c r="L88" s="23">
        <v>6</v>
      </c>
      <c r="M88" s="23">
        <v>294033</v>
      </c>
      <c r="N88" s="18">
        <f t="shared" si="9"/>
        <v>2.0405872810194774</v>
      </c>
      <c r="O88" s="23">
        <v>18</v>
      </c>
      <c r="P88" s="23">
        <v>105909</v>
      </c>
      <c r="Q88" s="18">
        <f t="shared" si="10"/>
        <v>16.995722743109653</v>
      </c>
      <c r="R88" s="23">
        <v>46</v>
      </c>
      <c r="S88" s="23">
        <v>574250</v>
      </c>
      <c r="T88" s="18">
        <f t="shared" si="11"/>
        <v>8.0104484109708309</v>
      </c>
    </row>
    <row r="89" spans="1:20" ht="15.6" x14ac:dyDescent="0.3">
      <c r="A89" s="23" t="s">
        <v>67</v>
      </c>
      <c r="B89" s="23" t="s">
        <v>122</v>
      </c>
      <c r="C89" s="23">
        <v>8</v>
      </c>
      <c r="D89" s="23">
        <v>22469</v>
      </c>
      <c r="E89" s="18">
        <f t="shared" si="12"/>
        <v>35.604610797098225</v>
      </c>
      <c r="F89" s="23">
        <v>3</v>
      </c>
      <c r="G89" s="23">
        <v>47158</v>
      </c>
      <c r="H89" s="18">
        <f t="shared" si="7"/>
        <v>6.3615929428728961</v>
      </c>
      <c r="I89" s="23">
        <v>0</v>
      </c>
      <c r="J89" s="23">
        <v>104681</v>
      </c>
      <c r="K89" s="18">
        <f t="shared" si="8"/>
        <v>0</v>
      </c>
      <c r="L89" s="23">
        <v>12</v>
      </c>
      <c r="M89" s="23">
        <v>294033</v>
      </c>
      <c r="N89" s="18">
        <f t="shared" si="9"/>
        <v>4.0811745620389548</v>
      </c>
      <c r="O89" s="23">
        <v>18</v>
      </c>
      <c r="P89" s="23">
        <v>105909</v>
      </c>
      <c r="Q89" s="18">
        <f t="shared" si="10"/>
        <v>16.995722743109653</v>
      </c>
      <c r="R89" s="23">
        <v>41</v>
      </c>
      <c r="S89" s="23">
        <v>574250</v>
      </c>
      <c r="T89" s="18">
        <f t="shared" si="11"/>
        <v>7.1397474967348717</v>
      </c>
    </row>
    <row r="90" spans="1:20" ht="15.6" x14ac:dyDescent="0.3">
      <c r="A90" s="23" t="s">
        <v>67</v>
      </c>
      <c r="B90" s="23" t="s">
        <v>123</v>
      </c>
      <c r="C90" s="23">
        <v>13</v>
      </c>
      <c r="D90" s="23">
        <v>22469</v>
      </c>
      <c r="E90" s="18">
        <f t="shared" si="12"/>
        <v>57.857492545284622</v>
      </c>
      <c r="F90" s="23">
        <v>3</v>
      </c>
      <c r="G90" s="23">
        <v>47158</v>
      </c>
      <c r="H90" s="18">
        <f t="shared" si="7"/>
        <v>6.3615929428728961</v>
      </c>
      <c r="I90" s="23">
        <v>1</v>
      </c>
      <c r="J90" s="23">
        <v>104681</v>
      </c>
      <c r="K90" s="18">
        <f t="shared" si="8"/>
        <v>0.95528319370277326</v>
      </c>
      <c r="L90" s="23">
        <v>8</v>
      </c>
      <c r="M90" s="23">
        <v>294033</v>
      </c>
      <c r="N90" s="18">
        <f t="shared" si="9"/>
        <v>2.720783041359303</v>
      </c>
      <c r="O90" s="23">
        <v>27</v>
      </c>
      <c r="P90" s="23">
        <v>105909</v>
      </c>
      <c r="Q90" s="18">
        <f t="shared" si="10"/>
        <v>25.493584114664475</v>
      </c>
      <c r="R90" s="23">
        <v>52</v>
      </c>
      <c r="S90" s="23">
        <v>574250</v>
      </c>
      <c r="T90" s="18">
        <f t="shared" si="11"/>
        <v>9.055289508053983</v>
      </c>
    </row>
    <row r="91" spans="1:20" ht="15.6" x14ac:dyDescent="0.3">
      <c r="A91" s="23" t="s">
        <v>67</v>
      </c>
      <c r="B91" s="23" t="s">
        <v>124</v>
      </c>
      <c r="C91" s="23">
        <v>22</v>
      </c>
      <c r="D91" s="23">
        <v>22469</v>
      </c>
      <c r="E91" s="18">
        <f t="shared" si="12"/>
        <v>97.91267969202012</v>
      </c>
      <c r="F91" s="23">
        <v>5</v>
      </c>
      <c r="G91" s="23">
        <v>47158</v>
      </c>
      <c r="H91" s="18">
        <f t="shared" si="7"/>
        <v>10.602654904788158</v>
      </c>
      <c r="I91" s="23">
        <v>0</v>
      </c>
      <c r="J91" s="23">
        <v>104681</v>
      </c>
      <c r="K91" s="18">
        <f t="shared" si="8"/>
        <v>0</v>
      </c>
      <c r="L91" s="23">
        <v>11</v>
      </c>
      <c r="M91" s="23">
        <v>294033</v>
      </c>
      <c r="N91" s="18">
        <f t="shared" si="9"/>
        <v>3.7410766818690417</v>
      </c>
      <c r="O91" s="23">
        <v>15</v>
      </c>
      <c r="P91" s="23">
        <v>105909</v>
      </c>
      <c r="Q91" s="18">
        <f t="shared" si="10"/>
        <v>14.16310228592471</v>
      </c>
      <c r="R91" s="23">
        <v>53</v>
      </c>
      <c r="S91" s="23">
        <v>574250</v>
      </c>
      <c r="T91" s="18">
        <f t="shared" si="11"/>
        <v>9.2294296909011742</v>
      </c>
    </row>
    <row r="92" spans="1:20" ht="15.6" x14ac:dyDescent="0.3">
      <c r="A92" s="23" t="s">
        <v>67</v>
      </c>
      <c r="B92" s="23" t="s">
        <v>125</v>
      </c>
      <c r="C92" s="23">
        <v>11</v>
      </c>
      <c r="D92" s="23">
        <v>22469</v>
      </c>
      <c r="E92" s="18">
        <f t="shared" si="12"/>
        <v>48.95633984601006</v>
      </c>
      <c r="F92" s="23">
        <v>2</v>
      </c>
      <c r="G92" s="23">
        <v>47158</v>
      </c>
      <c r="H92" s="18">
        <f t="shared" si="7"/>
        <v>4.2410619619152632</v>
      </c>
      <c r="I92" s="23">
        <v>0</v>
      </c>
      <c r="J92" s="23">
        <v>104681</v>
      </c>
      <c r="K92" s="18">
        <f t="shared" si="8"/>
        <v>0</v>
      </c>
      <c r="L92" s="23">
        <v>3</v>
      </c>
      <c r="M92" s="23">
        <v>294033</v>
      </c>
      <c r="N92" s="18">
        <f t="shared" si="9"/>
        <v>1.0202936405097387</v>
      </c>
      <c r="O92" s="23">
        <v>17</v>
      </c>
      <c r="P92" s="23">
        <v>105909</v>
      </c>
      <c r="Q92" s="18">
        <f t="shared" si="10"/>
        <v>16.051515924048005</v>
      </c>
      <c r="R92" s="23">
        <v>33</v>
      </c>
      <c r="S92" s="23">
        <v>574250</v>
      </c>
      <c r="T92" s="18">
        <f t="shared" si="11"/>
        <v>5.7466260339573356</v>
      </c>
    </row>
    <row r="93" spans="1:20" ht="15.6" x14ac:dyDescent="0.3">
      <c r="A93" s="23" t="s">
        <v>67</v>
      </c>
      <c r="B93" s="23" t="s">
        <v>126</v>
      </c>
      <c r="C93" s="23">
        <v>16</v>
      </c>
      <c r="D93" s="23">
        <v>22469</v>
      </c>
      <c r="E93" s="18">
        <f t="shared" si="12"/>
        <v>71.20922159419645</v>
      </c>
      <c r="F93" s="23">
        <v>2</v>
      </c>
      <c r="G93" s="23">
        <v>47158</v>
      </c>
      <c r="H93" s="18">
        <f t="shared" si="7"/>
        <v>4.2410619619152632</v>
      </c>
      <c r="I93" s="23">
        <v>1</v>
      </c>
      <c r="J93" s="23">
        <v>104681</v>
      </c>
      <c r="K93" s="18">
        <f t="shared" si="8"/>
        <v>0.95528319370277326</v>
      </c>
      <c r="L93" s="23">
        <v>6</v>
      </c>
      <c r="M93" s="23">
        <v>294033</v>
      </c>
      <c r="N93" s="18">
        <f t="shared" si="9"/>
        <v>2.0405872810194774</v>
      </c>
      <c r="O93" s="23">
        <v>26</v>
      </c>
      <c r="P93" s="23">
        <v>105909</v>
      </c>
      <c r="Q93" s="18">
        <f t="shared" si="10"/>
        <v>24.549377295602827</v>
      </c>
      <c r="R93" s="23">
        <v>51</v>
      </c>
      <c r="S93" s="23">
        <v>574250</v>
      </c>
      <c r="T93" s="18">
        <f t="shared" si="11"/>
        <v>8.8811493252067919</v>
      </c>
    </row>
    <row r="94" spans="1:20" ht="15.6" x14ac:dyDescent="0.3">
      <c r="A94" s="23" t="s">
        <v>67</v>
      </c>
      <c r="B94" s="23" t="s">
        <v>127</v>
      </c>
      <c r="C94" s="23">
        <v>20</v>
      </c>
      <c r="D94" s="23">
        <v>22469</v>
      </c>
      <c r="E94" s="18">
        <f t="shared" si="12"/>
        <v>89.011526992745559</v>
      </c>
      <c r="F94" s="23">
        <v>1</v>
      </c>
      <c r="G94" s="23">
        <v>47158</v>
      </c>
      <c r="H94" s="18">
        <f t="shared" si="7"/>
        <v>2.1205309809576316</v>
      </c>
      <c r="I94" s="23">
        <v>0</v>
      </c>
      <c r="J94" s="23">
        <v>104681</v>
      </c>
      <c r="K94" s="18">
        <f t="shared" si="8"/>
        <v>0</v>
      </c>
      <c r="L94" s="23">
        <v>6</v>
      </c>
      <c r="M94" s="23">
        <v>294033</v>
      </c>
      <c r="N94" s="18">
        <f t="shared" si="9"/>
        <v>2.0405872810194774</v>
      </c>
      <c r="O94" s="23">
        <v>24</v>
      </c>
      <c r="P94" s="23">
        <v>105909</v>
      </c>
      <c r="Q94" s="18">
        <f t="shared" si="10"/>
        <v>22.660963657479535</v>
      </c>
      <c r="R94" s="23">
        <v>51</v>
      </c>
      <c r="S94" s="23">
        <v>574250</v>
      </c>
      <c r="T94" s="18">
        <f t="shared" si="11"/>
        <v>8.8811493252067919</v>
      </c>
    </row>
    <row r="95" spans="1:20" ht="15.6" x14ac:dyDescent="0.3">
      <c r="A95" s="23" t="s">
        <v>67</v>
      </c>
      <c r="B95" s="23" t="s">
        <v>128</v>
      </c>
      <c r="C95" s="23">
        <v>17</v>
      </c>
      <c r="D95" s="23">
        <v>22469</v>
      </c>
      <c r="E95" s="18">
        <f t="shared" si="12"/>
        <v>75.659797943833738</v>
      </c>
      <c r="F95" s="23">
        <v>2</v>
      </c>
      <c r="G95" s="23">
        <v>47158</v>
      </c>
      <c r="H95" s="18">
        <f t="shared" si="7"/>
        <v>4.2410619619152632</v>
      </c>
      <c r="I95" s="23">
        <v>4</v>
      </c>
      <c r="J95" s="23">
        <v>104681</v>
      </c>
      <c r="K95" s="18">
        <f t="shared" si="8"/>
        <v>3.821132774811093</v>
      </c>
      <c r="L95" s="23">
        <v>10</v>
      </c>
      <c r="M95" s="23">
        <v>294033</v>
      </c>
      <c r="N95" s="18">
        <f t="shared" si="9"/>
        <v>3.4009788016991291</v>
      </c>
      <c r="O95" s="23">
        <v>23</v>
      </c>
      <c r="P95" s="23">
        <v>105909</v>
      </c>
      <c r="Q95" s="18">
        <f t="shared" si="10"/>
        <v>21.716756838417886</v>
      </c>
      <c r="R95" s="23">
        <v>56</v>
      </c>
      <c r="S95" s="23">
        <v>574250</v>
      </c>
      <c r="T95" s="18">
        <f t="shared" si="11"/>
        <v>9.7518502394427511</v>
      </c>
    </row>
    <row r="96" spans="1:20" ht="15.6" x14ac:dyDescent="0.3">
      <c r="A96" s="23" t="s">
        <v>67</v>
      </c>
      <c r="B96" s="23" t="s">
        <v>129</v>
      </c>
      <c r="C96" s="23">
        <v>16</v>
      </c>
      <c r="D96" s="23">
        <v>22469</v>
      </c>
      <c r="E96" s="18">
        <f t="shared" si="12"/>
        <v>71.20922159419645</v>
      </c>
      <c r="F96" s="23">
        <v>3</v>
      </c>
      <c r="G96" s="23">
        <v>47158</v>
      </c>
      <c r="H96" s="18">
        <f t="shared" si="7"/>
        <v>6.3615929428728961</v>
      </c>
      <c r="I96" s="23">
        <v>0</v>
      </c>
      <c r="J96" s="23">
        <v>104681</v>
      </c>
      <c r="K96" s="18">
        <f t="shared" si="8"/>
        <v>0</v>
      </c>
      <c r="L96" s="23">
        <v>10</v>
      </c>
      <c r="M96" s="23">
        <v>294033</v>
      </c>
      <c r="N96" s="18">
        <f t="shared" si="9"/>
        <v>3.4009788016991291</v>
      </c>
      <c r="O96" s="23">
        <v>22</v>
      </c>
      <c r="P96" s="23">
        <v>105909</v>
      </c>
      <c r="Q96" s="18">
        <f t="shared" si="10"/>
        <v>20.772550019356238</v>
      </c>
      <c r="R96" s="23">
        <v>51</v>
      </c>
      <c r="S96" s="23">
        <v>574250</v>
      </c>
      <c r="T96" s="18">
        <f t="shared" si="11"/>
        <v>8.8811493252067919</v>
      </c>
    </row>
    <row r="97" spans="1:20" ht="15.6" x14ac:dyDescent="0.3">
      <c r="A97" s="23" t="s">
        <v>67</v>
      </c>
      <c r="B97" s="23" t="s">
        <v>130</v>
      </c>
      <c r="C97" s="23">
        <v>12</v>
      </c>
      <c r="D97" s="23">
        <v>22469</v>
      </c>
      <c r="E97" s="18">
        <f t="shared" si="12"/>
        <v>53.406916195647341</v>
      </c>
      <c r="F97" s="23">
        <v>2</v>
      </c>
      <c r="G97" s="23">
        <v>47158</v>
      </c>
      <c r="H97" s="18">
        <f t="shared" si="7"/>
        <v>4.2410619619152632</v>
      </c>
      <c r="I97" s="23">
        <v>0</v>
      </c>
      <c r="J97" s="23">
        <v>104681</v>
      </c>
      <c r="K97" s="18">
        <f t="shared" si="8"/>
        <v>0</v>
      </c>
      <c r="L97" s="23">
        <v>3</v>
      </c>
      <c r="M97" s="23">
        <v>294033</v>
      </c>
      <c r="N97" s="18">
        <f t="shared" si="9"/>
        <v>1.0202936405097387</v>
      </c>
      <c r="O97" s="23">
        <v>34</v>
      </c>
      <c r="P97" s="23">
        <v>105909</v>
      </c>
      <c r="Q97" s="18">
        <f t="shared" si="10"/>
        <v>32.103031848096009</v>
      </c>
      <c r="R97" s="23">
        <v>51</v>
      </c>
      <c r="S97" s="23">
        <v>574250</v>
      </c>
      <c r="T97" s="18">
        <f t="shared" si="11"/>
        <v>8.8811493252067919</v>
      </c>
    </row>
    <row r="98" spans="1:20" ht="15.6" x14ac:dyDescent="0.3">
      <c r="A98" s="23" t="s">
        <v>67</v>
      </c>
      <c r="B98" s="23" t="s">
        <v>131</v>
      </c>
      <c r="C98" s="23">
        <v>17</v>
      </c>
      <c r="D98" s="23">
        <v>22469</v>
      </c>
      <c r="E98" s="18">
        <f t="shared" si="12"/>
        <v>75.659797943833738</v>
      </c>
      <c r="F98" s="23">
        <v>6</v>
      </c>
      <c r="G98" s="23">
        <v>47158</v>
      </c>
      <c r="H98" s="18">
        <f t="shared" si="7"/>
        <v>12.723185885745792</v>
      </c>
      <c r="I98" s="23">
        <v>1</v>
      </c>
      <c r="J98" s="23">
        <v>104681</v>
      </c>
      <c r="K98" s="18">
        <f t="shared" si="8"/>
        <v>0.95528319370277326</v>
      </c>
      <c r="L98" s="23">
        <v>5</v>
      </c>
      <c r="M98" s="23">
        <v>294033</v>
      </c>
      <c r="N98" s="18">
        <f t="shared" si="9"/>
        <v>1.7004894008495646</v>
      </c>
      <c r="O98" s="23">
        <v>29</v>
      </c>
      <c r="P98" s="23">
        <v>105909</v>
      </c>
      <c r="Q98" s="18">
        <f t="shared" si="10"/>
        <v>27.381997752787772</v>
      </c>
      <c r="R98" s="23">
        <v>58</v>
      </c>
      <c r="S98" s="23">
        <v>574250</v>
      </c>
      <c r="T98" s="18">
        <f t="shared" si="11"/>
        <v>10.100130605137135</v>
      </c>
    </row>
    <row r="99" spans="1:20" ht="15.6" x14ac:dyDescent="0.3">
      <c r="A99" s="23" t="s">
        <v>67</v>
      </c>
      <c r="B99" s="23" t="s">
        <v>132</v>
      </c>
      <c r="C99" s="23">
        <v>14</v>
      </c>
      <c r="D99" s="23">
        <v>22469</v>
      </c>
      <c r="E99" s="18">
        <f t="shared" si="12"/>
        <v>62.308068894921888</v>
      </c>
      <c r="F99" s="23">
        <v>2</v>
      </c>
      <c r="G99" s="23">
        <v>47158</v>
      </c>
      <c r="H99" s="18">
        <f t="shared" si="7"/>
        <v>4.2410619619152632</v>
      </c>
      <c r="I99" s="23">
        <v>1</v>
      </c>
      <c r="J99" s="23">
        <v>104681</v>
      </c>
      <c r="K99" s="18">
        <f t="shared" si="8"/>
        <v>0.95528319370277326</v>
      </c>
      <c r="L99" s="23">
        <v>11</v>
      </c>
      <c r="M99" s="23">
        <v>294033</v>
      </c>
      <c r="N99" s="18">
        <f t="shared" si="9"/>
        <v>3.7410766818690417</v>
      </c>
      <c r="O99" s="23">
        <v>15</v>
      </c>
      <c r="P99" s="23">
        <v>105909</v>
      </c>
      <c r="Q99" s="18">
        <f t="shared" si="10"/>
        <v>14.16310228592471</v>
      </c>
      <c r="R99" s="23">
        <v>43</v>
      </c>
      <c r="S99" s="23">
        <v>574250</v>
      </c>
      <c r="T99" s="18">
        <f t="shared" si="11"/>
        <v>7.4880278624292558</v>
      </c>
    </row>
    <row r="100" spans="1:20" ht="15.6" x14ac:dyDescent="0.3">
      <c r="A100" s="23" t="s">
        <v>67</v>
      </c>
      <c r="B100" s="23" t="s">
        <v>133</v>
      </c>
      <c r="C100" s="23">
        <v>5</v>
      </c>
      <c r="D100" s="23">
        <v>22469</v>
      </c>
      <c r="E100" s="18">
        <f t="shared" si="12"/>
        <v>22.25288174818639</v>
      </c>
      <c r="F100" s="23">
        <v>2</v>
      </c>
      <c r="G100" s="23">
        <v>47158</v>
      </c>
      <c r="H100" s="18">
        <f t="shared" si="7"/>
        <v>4.2410619619152632</v>
      </c>
      <c r="I100" s="23">
        <v>2</v>
      </c>
      <c r="J100" s="23">
        <v>104681</v>
      </c>
      <c r="K100" s="18">
        <f t="shared" si="8"/>
        <v>1.9105663874055465</v>
      </c>
      <c r="L100" s="23">
        <v>6</v>
      </c>
      <c r="M100" s="23">
        <v>294033</v>
      </c>
      <c r="N100" s="18">
        <f t="shared" si="9"/>
        <v>2.0405872810194774</v>
      </c>
      <c r="O100" s="23">
        <v>22</v>
      </c>
      <c r="P100" s="23">
        <v>105909</v>
      </c>
      <c r="Q100" s="18">
        <f t="shared" si="10"/>
        <v>20.772550019356238</v>
      </c>
      <c r="R100" s="23">
        <v>37</v>
      </c>
      <c r="S100" s="23">
        <v>574250</v>
      </c>
      <c r="T100" s="18">
        <f t="shared" si="11"/>
        <v>6.4431867653461037</v>
      </c>
    </row>
    <row r="101" spans="1:20" ht="15.6" x14ac:dyDescent="0.3">
      <c r="A101" s="23" t="s">
        <v>67</v>
      </c>
      <c r="B101" s="23" t="s">
        <v>134</v>
      </c>
      <c r="C101" s="23">
        <v>9</v>
      </c>
      <c r="D101" s="23">
        <v>22469</v>
      </c>
      <c r="E101" s="18">
        <f t="shared" si="12"/>
        <v>40.055187146735499</v>
      </c>
      <c r="F101" s="23">
        <v>0</v>
      </c>
      <c r="G101" s="23">
        <v>47158</v>
      </c>
      <c r="H101" s="18">
        <f t="shared" si="7"/>
        <v>0</v>
      </c>
      <c r="I101" s="23">
        <v>1</v>
      </c>
      <c r="J101" s="23">
        <v>104681</v>
      </c>
      <c r="K101" s="18">
        <f t="shared" si="8"/>
        <v>0.95528319370277326</v>
      </c>
      <c r="L101" s="23">
        <v>9</v>
      </c>
      <c r="M101" s="23">
        <v>294033</v>
      </c>
      <c r="N101" s="18">
        <f t="shared" si="9"/>
        <v>3.0608809215292161</v>
      </c>
      <c r="O101" s="23">
        <v>23</v>
      </c>
      <c r="P101" s="23">
        <v>105909</v>
      </c>
      <c r="Q101" s="18">
        <f t="shared" si="10"/>
        <v>21.716756838417886</v>
      </c>
      <c r="R101" s="23">
        <v>42</v>
      </c>
      <c r="S101" s="23">
        <v>574250</v>
      </c>
      <c r="T101" s="18">
        <f t="shared" si="11"/>
        <v>7.3138876795820629</v>
      </c>
    </row>
    <row r="102" spans="1:20" ht="15.6" x14ac:dyDescent="0.3">
      <c r="A102" s="23" t="s">
        <v>67</v>
      </c>
      <c r="B102" s="23" t="s">
        <v>135</v>
      </c>
      <c r="C102" s="23">
        <v>13</v>
      </c>
      <c r="D102" s="23">
        <v>22469</v>
      </c>
      <c r="E102" s="18">
        <f t="shared" si="12"/>
        <v>57.857492545284622</v>
      </c>
      <c r="F102" s="23">
        <v>4</v>
      </c>
      <c r="G102" s="23">
        <v>47158</v>
      </c>
      <c r="H102" s="18">
        <f t="shared" si="7"/>
        <v>8.4821239238305264</v>
      </c>
      <c r="I102" s="23">
        <v>1</v>
      </c>
      <c r="J102" s="23">
        <v>104681</v>
      </c>
      <c r="K102" s="18">
        <f t="shared" si="8"/>
        <v>0.95528319370277326</v>
      </c>
      <c r="L102" s="23">
        <v>9</v>
      </c>
      <c r="M102" s="23">
        <v>294033</v>
      </c>
      <c r="N102" s="18">
        <f t="shared" si="9"/>
        <v>3.0608809215292161</v>
      </c>
      <c r="O102" s="23">
        <v>21</v>
      </c>
      <c r="P102" s="23">
        <v>105909</v>
      </c>
      <c r="Q102" s="18">
        <f t="shared" si="10"/>
        <v>19.828343200294594</v>
      </c>
      <c r="R102" s="23">
        <v>48</v>
      </c>
      <c r="S102" s="23">
        <v>574250</v>
      </c>
      <c r="T102" s="18">
        <f t="shared" si="11"/>
        <v>8.358728776665215</v>
      </c>
    </row>
    <row r="103" spans="1:20" ht="15.6" x14ac:dyDescent="0.3">
      <c r="A103" s="23" t="s">
        <v>67</v>
      </c>
      <c r="B103" s="23" t="s">
        <v>136</v>
      </c>
      <c r="C103" s="23">
        <v>13</v>
      </c>
      <c r="D103" s="23">
        <v>22469</v>
      </c>
      <c r="E103" s="18">
        <f t="shared" si="12"/>
        <v>57.857492545284622</v>
      </c>
      <c r="F103" s="23">
        <v>1</v>
      </c>
      <c r="G103" s="23">
        <v>47158</v>
      </c>
      <c r="H103" s="18">
        <f t="shared" si="7"/>
        <v>2.1205309809576316</v>
      </c>
      <c r="I103" s="23">
        <v>2</v>
      </c>
      <c r="J103" s="23">
        <v>104681</v>
      </c>
      <c r="K103" s="18">
        <f t="shared" si="8"/>
        <v>1.9105663874055465</v>
      </c>
      <c r="L103" s="23">
        <v>5</v>
      </c>
      <c r="M103" s="23">
        <v>294033</v>
      </c>
      <c r="N103" s="18">
        <f t="shared" si="9"/>
        <v>1.7004894008495646</v>
      </c>
      <c r="O103" s="23">
        <v>17</v>
      </c>
      <c r="P103" s="23">
        <v>105909</v>
      </c>
      <c r="Q103" s="18">
        <f t="shared" si="10"/>
        <v>16.051515924048005</v>
      </c>
      <c r="R103" s="23">
        <v>38</v>
      </c>
      <c r="S103" s="23">
        <v>574250</v>
      </c>
      <c r="T103" s="18">
        <f t="shared" si="11"/>
        <v>6.6173269481932966</v>
      </c>
    </row>
    <row r="104" spans="1:20" ht="15.6" x14ac:dyDescent="0.3">
      <c r="A104" s="23" t="s">
        <v>67</v>
      </c>
      <c r="B104" s="23" t="s">
        <v>137</v>
      </c>
      <c r="C104" s="23">
        <v>9</v>
      </c>
      <c r="D104" s="23">
        <v>22469</v>
      </c>
      <c r="E104" s="18">
        <f t="shared" si="12"/>
        <v>40.055187146735499</v>
      </c>
      <c r="F104" s="23">
        <v>1</v>
      </c>
      <c r="G104" s="23">
        <v>47158</v>
      </c>
      <c r="H104" s="18">
        <f t="shared" si="7"/>
        <v>2.1205309809576316</v>
      </c>
      <c r="I104" s="23">
        <v>2</v>
      </c>
      <c r="J104" s="23">
        <v>104681</v>
      </c>
      <c r="K104" s="18">
        <f t="shared" si="8"/>
        <v>1.9105663874055465</v>
      </c>
      <c r="L104" s="23">
        <v>2</v>
      </c>
      <c r="M104" s="23">
        <v>294033</v>
      </c>
      <c r="N104" s="18">
        <f t="shared" si="9"/>
        <v>0.68019576033982576</v>
      </c>
      <c r="O104" s="23">
        <v>14</v>
      </c>
      <c r="P104" s="23">
        <v>105909</v>
      </c>
      <c r="Q104" s="18">
        <f>O104/P104*100000</f>
        <v>13.218895466863062</v>
      </c>
      <c r="R104" s="23">
        <v>28</v>
      </c>
      <c r="S104" s="23">
        <v>574250</v>
      </c>
      <c r="T104" s="18">
        <f t="shared" si="11"/>
        <v>4.8759251197213755</v>
      </c>
    </row>
    <row r="105" spans="1:20" ht="15.6" x14ac:dyDescent="0.3">
      <c r="A105" s="23" t="s">
        <v>67</v>
      </c>
      <c r="B105" s="23" t="s">
        <v>138</v>
      </c>
      <c r="C105" s="23">
        <v>9</v>
      </c>
      <c r="D105" s="23">
        <v>22469</v>
      </c>
      <c r="E105" s="18">
        <f t="shared" si="12"/>
        <v>40.055187146735499</v>
      </c>
      <c r="F105" s="23">
        <v>2</v>
      </c>
      <c r="G105" s="23">
        <v>47158</v>
      </c>
      <c r="H105" s="18">
        <f t="shared" si="7"/>
        <v>4.2410619619152632</v>
      </c>
      <c r="I105" s="23">
        <v>0</v>
      </c>
      <c r="J105" s="23">
        <v>104681</v>
      </c>
      <c r="K105" s="18">
        <f t="shared" si="8"/>
        <v>0</v>
      </c>
      <c r="L105" s="23">
        <v>2</v>
      </c>
      <c r="M105" s="23">
        <v>294033</v>
      </c>
      <c r="N105" s="18">
        <f t="shared" si="9"/>
        <v>0.68019576033982576</v>
      </c>
      <c r="O105" s="23">
        <v>29</v>
      </c>
      <c r="P105" s="23">
        <v>105909</v>
      </c>
      <c r="Q105" s="18">
        <f t="shared" si="10"/>
        <v>27.381997752787772</v>
      </c>
      <c r="R105" s="23">
        <v>42</v>
      </c>
      <c r="S105" s="23">
        <v>574250</v>
      </c>
      <c r="T105" s="18">
        <f t="shared" si="11"/>
        <v>7.3138876795820629</v>
      </c>
    </row>
    <row r="106" spans="1:20" ht="15.6" x14ac:dyDescent="0.3">
      <c r="A106" s="23" t="s">
        <v>67</v>
      </c>
      <c r="B106" s="23" t="s">
        <v>139</v>
      </c>
      <c r="C106" s="23">
        <v>11</v>
      </c>
      <c r="D106" s="23">
        <v>22469</v>
      </c>
      <c r="E106" s="18">
        <f t="shared" si="12"/>
        <v>48.95633984601006</v>
      </c>
      <c r="F106" s="23">
        <v>0</v>
      </c>
      <c r="G106" s="23">
        <v>47158</v>
      </c>
      <c r="H106" s="18">
        <f t="shared" si="7"/>
        <v>0</v>
      </c>
      <c r="I106" s="23">
        <v>2</v>
      </c>
      <c r="J106" s="23">
        <v>104681</v>
      </c>
      <c r="K106" s="18">
        <f t="shared" si="8"/>
        <v>1.9105663874055465</v>
      </c>
      <c r="L106" s="23">
        <v>5</v>
      </c>
      <c r="M106" s="23">
        <v>294033</v>
      </c>
      <c r="N106" s="18">
        <f t="shared" si="9"/>
        <v>1.7004894008495646</v>
      </c>
      <c r="O106" s="23">
        <v>15</v>
      </c>
      <c r="P106" s="23">
        <v>105909</v>
      </c>
      <c r="Q106" s="18">
        <f t="shared" si="10"/>
        <v>14.16310228592471</v>
      </c>
      <c r="R106" s="23">
        <v>33</v>
      </c>
      <c r="S106" s="23">
        <v>574250</v>
      </c>
      <c r="T106" s="18">
        <f t="shared" si="11"/>
        <v>5.7466260339573356</v>
      </c>
    </row>
    <row r="107" spans="1:20" ht="15.6" x14ac:dyDescent="0.3">
      <c r="A107" s="23" t="s">
        <v>67</v>
      </c>
      <c r="B107" s="23" t="s">
        <v>140</v>
      </c>
      <c r="C107" s="23">
        <v>23</v>
      </c>
      <c r="D107" s="23">
        <v>22469</v>
      </c>
      <c r="E107" s="18">
        <f t="shared" si="12"/>
        <v>102.36325604165738</v>
      </c>
      <c r="F107" s="23">
        <v>7</v>
      </c>
      <c r="G107" s="23">
        <v>47158</v>
      </c>
      <c r="H107" s="18">
        <f t="shared" si="7"/>
        <v>14.843716866703421</v>
      </c>
      <c r="I107" s="23">
        <v>1</v>
      </c>
      <c r="J107" s="23">
        <v>104681</v>
      </c>
      <c r="K107" s="18">
        <f t="shared" si="8"/>
        <v>0.95528319370277326</v>
      </c>
      <c r="L107" s="23">
        <v>8</v>
      </c>
      <c r="M107" s="23">
        <v>294033</v>
      </c>
      <c r="N107" s="18">
        <f t="shared" si="9"/>
        <v>2.720783041359303</v>
      </c>
      <c r="O107" s="23">
        <v>26</v>
      </c>
      <c r="P107" s="23">
        <v>105909</v>
      </c>
      <c r="Q107" s="18">
        <f t="shared" si="10"/>
        <v>24.549377295602827</v>
      </c>
      <c r="R107" s="23">
        <v>65</v>
      </c>
      <c r="S107" s="23">
        <v>574250</v>
      </c>
      <c r="T107" s="18">
        <f t="shared" si="11"/>
        <v>11.31911188506748</v>
      </c>
    </row>
    <row r="108" spans="1:20" ht="15.6" x14ac:dyDescent="0.3">
      <c r="A108" s="23" t="s">
        <v>67</v>
      </c>
      <c r="B108" s="23" t="s">
        <v>141</v>
      </c>
      <c r="C108" s="23">
        <v>11</v>
      </c>
      <c r="D108" s="23">
        <v>22469</v>
      </c>
      <c r="E108" s="18">
        <f t="shared" si="12"/>
        <v>48.95633984601006</v>
      </c>
      <c r="F108" s="23">
        <v>5</v>
      </c>
      <c r="G108" s="23">
        <v>47158</v>
      </c>
      <c r="H108" s="18">
        <f t="shared" si="7"/>
        <v>10.602654904788158</v>
      </c>
      <c r="I108" s="23">
        <v>1</v>
      </c>
      <c r="J108" s="23">
        <v>104681</v>
      </c>
      <c r="K108" s="18">
        <f t="shared" si="8"/>
        <v>0.95528319370277326</v>
      </c>
      <c r="L108" s="23">
        <v>4</v>
      </c>
      <c r="M108" s="23">
        <v>294033</v>
      </c>
      <c r="N108" s="18">
        <f t="shared" si="9"/>
        <v>1.3603915206796515</v>
      </c>
      <c r="O108" s="23">
        <v>13</v>
      </c>
      <c r="P108" s="23">
        <v>105909</v>
      </c>
      <c r="Q108" s="18">
        <f t="shared" si="10"/>
        <v>12.274688647801414</v>
      </c>
      <c r="R108" s="23">
        <v>34</v>
      </c>
      <c r="S108" s="23">
        <v>574250</v>
      </c>
      <c r="T108" s="18">
        <f t="shared" si="11"/>
        <v>5.9207662168045276</v>
      </c>
    </row>
    <row r="109" spans="1:20" ht="15.6" x14ac:dyDescent="0.3">
      <c r="A109" s="23" t="s">
        <v>67</v>
      </c>
      <c r="B109" s="23" t="s">
        <v>142</v>
      </c>
      <c r="C109" s="23">
        <v>13</v>
      </c>
      <c r="D109" s="23">
        <v>22469</v>
      </c>
      <c r="E109" s="18">
        <f t="shared" si="12"/>
        <v>57.857492545284622</v>
      </c>
      <c r="F109" s="23">
        <v>1</v>
      </c>
      <c r="G109" s="23">
        <v>47158</v>
      </c>
      <c r="H109" s="18">
        <f t="shared" si="7"/>
        <v>2.1205309809576316</v>
      </c>
      <c r="I109" s="23">
        <v>1</v>
      </c>
      <c r="J109" s="23">
        <v>104681</v>
      </c>
      <c r="K109" s="18">
        <f t="shared" si="8"/>
        <v>0.95528319370277326</v>
      </c>
      <c r="L109" s="23">
        <v>2</v>
      </c>
      <c r="M109" s="23">
        <v>294033</v>
      </c>
      <c r="N109" s="18">
        <f t="shared" si="9"/>
        <v>0.68019576033982576</v>
      </c>
      <c r="O109" s="23">
        <v>19</v>
      </c>
      <c r="P109" s="23">
        <v>105909</v>
      </c>
      <c r="Q109" s="18">
        <f t="shared" si="10"/>
        <v>17.939929562171297</v>
      </c>
      <c r="R109" s="23">
        <v>36</v>
      </c>
      <c r="S109" s="23">
        <v>574250</v>
      </c>
      <c r="T109" s="18">
        <f t="shared" si="11"/>
        <v>6.2690465824989126</v>
      </c>
    </row>
    <row r="110" spans="1:20" ht="15.6" x14ac:dyDescent="0.3">
      <c r="A110" s="23" t="s">
        <v>67</v>
      </c>
      <c r="B110" s="23" t="s">
        <v>143</v>
      </c>
      <c r="C110" s="23">
        <v>8</v>
      </c>
      <c r="D110" s="23">
        <v>22469</v>
      </c>
      <c r="E110" s="18">
        <f t="shared" si="12"/>
        <v>35.604610797098225</v>
      </c>
      <c r="F110" s="23">
        <v>2</v>
      </c>
      <c r="G110" s="23">
        <v>47158</v>
      </c>
      <c r="H110" s="18">
        <f t="shared" si="7"/>
        <v>4.2410619619152632</v>
      </c>
      <c r="I110" s="23">
        <v>1</v>
      </c>
      <c r="J110" s="23">
        <v>104681</v>
      </c>
      <c r="K110" s="18">
        <f t="shared" si="8"/>
        <v>0.95528319370277326</v>
      </c>
      <c r="L110" s="23">
        <v>6</v>
      </c>
      <c r="M110" s="23">
        <v>294033</v>
      </c>
      <c r="N110" s="18">
        <f t="shared" si="9"/>
        <v>2.0405872810194774</v>
      </c>
      <c r="O110" s="23">
        <v>17</v>
      </c>
      <c r="P110" s="23">
        <v>105909</v>
      </c>
      <c r="Q110" s="18">
        <f t="shared" si="10"/>
        <v>16.051515924048005</v>
      </c>
      <c r="R110" s="23">
        <v>34</v>
      </c>
      <c r="S110" s="23">
        <v>574250</v>
      </c>
      <c r="T110" s="18">
        <f t="shared" si="11"/>
        <v>5.9207662168045276</v>
      </c>
    </row>
    <row r="111" spans="1:20" ht="15.6" x14ac:dyDescent="0.3">
      <c r="A111" s="23" t="s">
        <v>67</v>
      </c>
      <c r="B111" s="23" t="s">
        <v>144</v>
      </c>
      <c r="C111" s="23">
        <v>7</v>
      </c>
      <c r="D111" s="23">
        <v>22469</v>
      </c>
      <c r="E111" s="18">
        <f t="shared" si="12"/>
        <v>31.154034447460944</v>
      </c>
      <c r="F111" s="23">
        <v>2</v>
      </c>
      <c r="G111" s="23">
        <v>47158</v>
      </c>
      <c r="H111" s="18">
        <f t="shared" si="7"/>
        <v>4.2410619619152632</v>
      </c>
      <c r="I111" s="23">
        <v>1</v>
      </c>
      <c r="J111" s="23">
        <v>104681</v>
      </c>
      <c r="K111" s="18">
        <f t="shared" si="8"/>
        <v>0.95528319370277326</v>
      </c>
      <c r="L111" s="23">
        <v>2</v>
      </c>
      <c r="M111" s="23">
        <v>294033</v>
      </c>
      <c r="N111" s="18">
        <f t="shared" si="9"/>
        <v>0.68019576033982576</v>
      </c>
      <c r="O111" s="23">
        <v>23</v>
      </c>
      <c r="P111" s="23">
        <v>105909</v>
      </c>
      <c r="Q111" s="18">
        <f t="shared" si="10"/>
        <v>21.716756838417886</v>
      </c>
      <c r="R111" s="23">
        <v>35</v>
      </c>
      <c r="S111" s="23">
        <v>574250</v>
      </c>
      <c r="T111" s="18">
        <f t="shared" si="11"/>
        <v>6.0949063996517197</v>
      </c>
    </row>
    <row r="112" spans="1:20" ht="15.6" x14ac:dyDescent="0.3">
      <c r="A112" s="23" t="s">
        <v>67</v>
      </c>
      <c r="B112" s="23" t="s">
        <v>145</v>
      </c>
      <c r="C112" s="23">
        <v>12</v>
      </c>
      <c r="D112" s="23">
        <v>22469</v>
      </c>
      <c r="E112" s="18">
        <f t="shared" si="12"/>
        <v>53.406916195647341</v>
      </c>
      <c r="F112" s="23">
        <v>3</v>
      </c>
      <c r="G112" s="23">
        <v>47158</v>
      </c>
      <c r="H112" s="18">
        <f t="shared" si="7"/>
        <v>6.3615929428728961</v>
      </c>
      <c r="I112" s="23">
        <v>0</v>
      </c>
      <c r="J112" s="23">
        <v>104681</v>
      </c>
      <c r="K112" s="18">
        <f t="shared" si="8"/>
        <v>0</v>
      </c>
      <c r="L112" s="23">
        <v>3</v>
      </c>
      <c r="M112" s="23">
        <v>294033</v>
      </c>
      <c r="N112" s="18">
        <f t="shared" si="9"/>
        <v>1.0202936405097387</v>
      </c>
      <c r="O112" s="23">
        <v>15</v>
      </c>
      <c r="P112" s="23">
        <v>105909</v>
      </c>
      <c r="Q112" s="18">
        <f t="shared" si="10"/>
        <v>14.16310228592471</v>
      </c>
      <c r="R112" s="23">
        <v>33</v>
      </c>
      <c r="S112" s="23">
        <v>574250</v>
      </c>
      <c r="T112" s="18">
        <f t="shared" si="11"/>
        <v>5.7466260339573356</v>
      </c>
    </row>
    <row r="113" spans="1:20" ht="15.6" x14ac:dyDescent="0.3">
      <c r="A113" s="23" t="s">
        <v>67</v>
      </c>
      <c r="B113" s="23" t="s">
        <v>146</v>
      </c>
      <c r="C113" s="23">
        <v>13</v>
      </c>
      <c r="D113" s="23">
        <v>22469</v>
      </c>
      <c r="E113" s="18">
        <f t="shared" si="12"/>
        <v>57.857492545284622</v>
      </c>
      <c r="F113" s="23">
        <v>5</v>
      </c>
      <c r="G113" s="23">
        <v>47158</v>
      </c>
      <c r="H113" s="18">
        <f t="shared" si="7"/>
        <v>10.602654904788158</v>
      </c>
      <c r="I113" s="23">
        <v>1</v>
      </c>
      <c r="J113" s="23">
        <v>104681</v>
      </c>
      <c r="K113" s="18">
        <f t="shared" si="8"/>
        <v>0.95528319370277326</v>
      </c>
      <c r="L113" s="23">
        <v>7</v>
      </c>
      <c r="M113" s="23">
        <v>294033</v>
      </c>
      <c r="N113" s="18">
        <f t="shared" si="9"/>
        <v>2.3806851611893904</v>
      </c>
      <c r="O113" s="23">
        <v>22</v>
      </c>
      <c r="P113" s="23">
        <v>105909</v>
      </c>
      <c r="Q113" s="18">
        <f t="shared" si="10"/>
        <v>20.772550019356238</v>
      </c>
      <c r="R113" s="23">
        <v>48</v>
      </c>
      <c r="S113" s="23">
        <v>574250</v>
      </c>
      <c r="T113" s="18">
        <f t="shared" si="11"/>
        <v>8.358728776665215</v>
      </c>
    </row>
    <row r="114" spans="1:20" ht="15.6" x14ac:dyDescent="0.3">
      <c r="A114" s="23" t="s">
        <v>67</v>
      </c>
      <c r="B114" s="23" t="s">
        <v>147</v>
      </c>
      <c r="C114" s="23">
        <v>12</v>
      </c>
      <c r="D114" s="23">
        <v>22469</v>
      </c>
      <c r="E114" s="18">
        <f t="shared" si="12"/>
        <v>53.406916195647341</v>
      </c>
      <c r="F114" s="23">
        <v>4</v>
      </c>
      <c r="G114" s="23">
        <v>47158</v>
      </c>
      <c r="H114" s="18">
        <f t="shared" si="7"/>
        <v>8.4821239238305264</v>
      </c>
      <c r="I114" s="23">
        <v>1</v>
      </c>
      <c r="J114" s="23">
        <v>104681</v>
      </c>
      <c r="K114" s="18">
        <f t="shared" si="8"/>
        <v>0.95528319370277326</v>
      </c>
      <c r="L114" s="23">
        <v>6</v>
      </c>
      <c r="M114" s="23">
        <v>294033</v>
      </c>
      <c r="N114" s="18">
        <f t="shared" si="9"/>
        <v>2.0405872810194774</v>
      </c>
      <c r="O114" s="23">
        <v>20</v>
      </c>
      <c r="P114" s="23">
        <v>105909</v>
      </c>
      <c r="Q114" s="18">
        <f t="shared" si="10"/>
        <v>18.884136381232945</v>
      </c>
      <c r="R114" s="23">
        <v>43</v>
      </c>
      <c r="S114" s="23">
        <v>574250</v>
      </c>
      <c r="T114" s="18">
        <f t="shared" si="11"/>
        <v>7.4880278624292558</v>
      </c>
    </row>
    <row r="115" spans="1:20" ht="15.6" x14ac:dyDescent="0.3">
      <c r="A115" s="23" t="s">
        <v>67</v>
      </c>
      <c r="B115" s="23" t="s">
        <v>148</v>
      </c>
      <c r="C115" s="23">
        <v>17</v>
      </c>
      <c r="D115" s="23">
        <v>22469</v>
      </c>
      <c r="E115" s="18">
        <f t="shared" si="12"/>
        <v>75.659797943833738</v>
      </c>
      <c r="F115" s="23">
        <v>9</v>
      </c>
      <c r="G115" s="23">
        <v>47158</v>
      </c>
      <c r="H115" s="18">
        <f t="shared" si="7"/>
        <v>19.084778828618685</v>
      </c>
      <c r="I115" s="23">
        <v>3</v>
      </c>
      <c r="J115" s="23">
        <v>104681</v>
      </c>
      <c r="K115" s="18">
        <f t="shared" si="8"/>
        <v>2.8658495811083196</v>
      </c>
      <c r="L115" s="23">
        <v>4</v>
      </c>
      <c r="M115" s="23">
        <v>294033</v>
      </c>
      <c r="N115" s="18">
        <f t="shared" si="9"/>
        <v>1.3603915206796515</v>
      </c>
      <c r="O115" s="23">
        <v>26</v>
      </c>
      <c r="P115" s="23">
        <v>105909</v>
      </c>
      <c r="Q115" s="18">
        <f t="shared" si="10"/>
        <v>24.549377295602827</v>
      </c>
      <c r="R115" s="23">
        <v>59</v>
      </c>
      <c r="S115" s="23">
        <v>574250</v>
      </c>
      <c r="T115" s="18">
        <f t="shared" si="11"/>
        <v>10.274270787984326</v>
      </c>
    </row>
    <row r="116" spans="1:20" ht="15.6" x14ac:dyDescent="0.3">
      <c r="A116" s="23" t="s">
        <v>67</v>
      </c>
      <c r="B116" s="23" t="s">
        <v>149</v>
      </c>
      <c r="C116" s="23">
        <v>29</v>
      </c>
      <c r="D116" s="23">
        <v>22469</v>
      </c>
      <c r="E116" s="18">
        <f t="shared" si="12"/>
        <v>129.06671413948106</v>
      </c>
      <c r="F116" s="23">
        <v>4</v>
      </c>
      <c r="G116" s="23">
        <v>47158</v>
      </c>
      <c r="H116" s="18">
        <f t="shared" si="7"/>
        <v>8.4821239238305264</v>
      </c>
      <c r="I116" s="23">
        <v>2</v>
      </c>
      <c r="J116" s="23">
        <v>104681</v>
      </c>
      <c r="K116" s="18">
        <f t="shared" si="8"/>
        <v>1.9105663874055465</v>
      </c>
      <c r="L116" s="23">
        <v>7</v>
      </c>
      <c r="M116" s="23">
        <v>294033</v>
      </c>
      <c r="N116" s="18">
        <f t="shared" si="9"/>
        <v>2.3806851611893904</v>
      </c>
      <c r="O116" s="23">
        <v>40</v>
      </c>
      <c r="P116" s="23">
        <v>105909</v>
      </c>
      <c r="Q116" s="18">
        <f t="shared" si="10"/>
        <v>37.768272762465891</v>
      </c>
      <c r="R116" s="23">
        <v>82</v>
      </c>
      <c r="S116" s="23">
        <v>574250</v>
      </c>
      <c r="T116" s="18">
        <f t="shared" si="11"/>
        <v>14.279494993469743</v>
      </c>
    </row>
    <row r="117" spans="1:20" ht="15.6" x14ac:dyDescent="0.3">
      <c r="A117" s="23" t="s">
        <v>67</v>
      </c>
      <c r="B117" s="23" t="s">
        <v>150</v>
      </c>
      <c r="C117" s="23">
        <v>28</v>
      </c>
      <c r="D117" s="23">
        <v>22469</v>
      </c>
      <c r="E117" s="18">
        <f t="shared" si="12"/>
        <v>124.61613778984378</v>
      </c>
      <c r="F117" s="23">
        <v>2</v>
      </c>
      <c r="G117" s="23">
        <v>47158</v>
      </c>
      <c r="H117" s="18">
        <f t="shared" si="7"/>
        <v>4.2410619619152632</v>
      </c>
      <c r="I117" s="23">
        <v>0</v>
      </c>
      <c r="J117" s="23">
        <v>104681</v>
      </c>
      <c r="K117" s="18">
        <f t="shared" si="8"/>
        <v>0</v>
      </c>
      <c r="L117" s="23">
        <v>17</v>
      </c>
      <c r="M117" s="23">
        <v>294033</v>
      </c>
      <c r="N117" s="18">
        <f t="shared" si="9"/>
        <v>5.7816639628885191</v>
      </c>
      <c r="O117" s="23">
        <v>54</v>
      </c>
      <c r="P117" s="23">
        <v>105909</v>
      </c>
      <c r="Q117" s="18">
        <f t="shared" si="10"/>
        <v>50.987168229328951</v>
      </c>
      <c r="R117" s="23">
        <v>101</v>
      </c>
      <c r="S117" s="23">
        <v>574250</v>
      </c>
      <c r="T117" s="18">
        <f t="shared" si="11"/>
        <v>17.588158467566391</v>
      </c>
    </row>
    <row r="118" spans="1:20" ht="15.6" x14ac:dyDescent="0.3">
      <c r="A118" s="23" t="s">
        <v>67</v>
      </c>
      <c r="B118" s="23" t="s">
        <v>151</v>
      </c>
      <c r="C118" s="23">
        <v>27</v>
      </c>
      <c r="D118" s="23">
        <v>22469</v>
      </c>
      <c r="E118" s="18">
        <f t="shared" si="12"/>
        <v>120.1655614402065</v>
      </c>
      <c r="F118" s="23">
        <v>1</v>
      </c>
      <c r="G118" s="23">
        <v>47158</v>
      </c>
      <c r="H118" s="18">
        <f t="shared" si="7"/>
        <v>2.1205309809576316</v>
      </c>
      <c r="I118" s="23">
        <v>1</v>
      </c>
      <c r="J118" s="23">
        <v>104681</v>
      </c>
      <c r="K118" s="18">
        <f t="shared" si="8"/>
        <v>0.95528319370277326</v>
      </c>
      <c r="L118" s="23">
        <v>8</v>
      </c>
      <c r="M118" s="23">
        <v>294033</v>
      </c>
      <c r="N118" s="18">
        <f t="shared" si="9"/>
        <v>2.720783041359303</v>
      </c>
      <c r="O118" s="23">
        <v>67</v>
      </c>
      <c r="P118" s="23">
        <v>105909</v>
      </c>
      <c r="Q118" s="18">
        <f t="shared" si="10"/>
        <v>63.261856877130363</v>
      </c>
      <c r="R118" s="23">
        <v>104</v>
      </c>
      <c r="S118" s="23">
        <v>574250</v>
      </c>
      <c r="T118" s="18">
        <f t="shared" si="11"/>
        <v>18.110579016107966</v>
      </c>
    </row>
  </sheetData>
  <autoFilter ref="A1:U1" xr:uid="{FB65E59F-EA70-468F-B9C0-5EEA216F0F6D}"/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H118"/>
  <sheetViews>
    <sheetView workbookViewId="0">
      <pane xSplit="2" ySplit="1" topLeftCell="C82" activePane="bottomRight" state="frozen"/>
      <selection pane="topRight" activeCell="B1" sqref="B1"/>
      <selection pane="bottomLeft" activeCell="A3" sqref="A3"/>
      <selection pane="bottomRight" activeCell="F19" sqref="F19"/>
    </sheetView>
  </sheetViews>
  <sheetFormatPr defaultColWidth="8.88671875" defaultRowHeight="14.4" x14ac:dyDescent="0.3"/>
  <cols>
    <col min="1" max="1" width="8.88671875" style="2"/>
    <col min="2" max="2" width="11.6640625" style="2" customWidth="1"/>
    <col min="3" max="3" width="16.44140625" style="2" customWidth="1"/>
    <col min="4" max="4" width="15.5546875" style="2" customWidth="1"/>
    <col min="5" max="5" width="16.5546875" style="2" customWidth="1"/>
    <col min="6" max="6" width="15.6640625" style="2" customWidth="1"/>
    <col min="7" max="7" width="14.44140625" style="2" customWidth="1"/>
    <col min="8" max="8" width="19.5546875" style="2" customWidth="1"/>
    <col min="9" max="16384" width="8.88671875" style="2"/>
  </cols>
  <sheetData>
    <row r="1" spans="1:8" x14ac:dyDescent="0.3">
      <c r="A1" s="8" t="s">
        <v>66</v>
      </c>
      <c r="B1" s="5" t="s">
        <v>65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155</v>
      </c>
      <c r="H1" s="1" t="s">
        <v>75</v>
      </c>
    </row>
    <row r="2" spans="1:8" x14ac:dyDescent="0.3">
      <c r="A2" s="2" t="s">
        <v>67</v>
      </c>
      <c r="B2" s="3" t="s">
        <v>0</v>
      </c>
      <c r="C2" s="4">
        <v>7.69</v>
      </c>
      <c r="D2" s="4">
        <v>0</v>
      </c>
      <c r="E2" s="4">
        <v>0</v>
      </c>
      <c r="F2" s="4">
        <v>0</v>
      </c>
      <c r="G2" s="4">
        <v>18.18</v>
      </c>
      <c r="H2" s="4">
        <v>10.34</v>
      </c>
    </row>
    <row r="3" spans="1:8" x14ac:dyDescent="0.3">
      <c r="A3" s="2" t="s">
        <v>67</v>
      </c>
      <c r="B3" s="3" t="s">
        <v>1</v>
      </c>
      <c r="C3" s="4">
        <v>16.670000000000002</v>
      </c>
      <c r="D3" s="4">
        <v>0</v>
      </c>
      <c r="E3" s="4"/>
      <c r="F3" s="4">
        <v>0</v>
      </c>
      <c r="G3" s="4">
        <v>0</v>
      </c>
      <c r="H3" s="4">
        <v>5.71</v>
      </c>
    </row>
    <row r="4" spans="1:8" x14ac:dyDescent="0.3">
      <c r="A4" s="2" t="s">
        <v>67</v>
      </c>
      <c r="B4" s="3" t="s">
        <v>2</v>
      </c>
      <c r="C4" s="4">
        <v>0</v>
      </c>
      <c r="D4" s="4">
        <v>0</v>
      </c>
      <c r="E4" s="4">
        <v>0</v>
      </c>
      <c r="F4" s="4">
        <v>0</v>
      </c>
      <c r="G4" s="4">
        <v>18.75</v>
      </c>
      <c r="H4" s="4">
        <v>7.5</v>
      </c>
    </row>
    <row r="5" spans="1:8" x14ac:dyDescent="0.3">
      <c r="A5" s="2" t="s">
        <v>67</v>
      </c>
      <c r="B5" s="3" t="s">
        <v>3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2.33</v>
      </c>
    </row>
    <row r="6" spans="1:8" x14ac:dyDescent="0.3">
      <c r="A6" s="2" t="s">
        <v>67</v>
      </c>
      <c r="B6" s="3" t="s">
        <v>4</v>
      </c>
      <c r="C6" s="4">
        <v>0</v>
      </c>
      <c r="D6" s="4">
        <v>0</v>
      </c>
      <c r="E6" s="4"/>
      <c r="F6" s="4">
        <v>0</v>
      </c>
      <c r="G6" s="4">
        <v>8.33</v>
      </c>
      <c r="H6" s="4">
        <v>2.5</v>
      </c>
    </row>
    <row r="7" spans="1:8" x14ac:dyDescent="0.3">
      <c r="A7" s="2" t="s">
        <v>67</v>
      </c>
      <c r="B7" s="3" t="s">
        <v>5</v>
      </c>
      <c r="C7" s="4">
        <v>7.14</v>
      </c>
      <c r="D7" s="4">
        <v>0</v>
      </c>
      <c r="E7" s="4"/>
      <c r="F7" s="4">
        <v>0</v>
      </c>
      <c r="G7" s="4">
        <v>5.88</v>
      </c>
      <c r="H7" s="4">
        <v>5.41</v>
      </c>
    </row>
    <row r="8" spans="1:8" x14ac:dyDescent="0.3">
      <c r="A8" s="2" t="s">
        <v>67</v>
      </c>
      <c r="B8" s="3" t="s">
        <v>6</v>
      </c>
      <c r="C8" s="4">
        <v>0</v>
      </c>
      <c r="D8" s="4">
        <v>0</v>
      </c>
      <c r="E8" s="4"/>
      <c r="F8" s="4">
        <v>0</v>
      </c>
      <c r="G8" s="4">
        <v>0</v>
      </c>
      <c r="H8" s="4">
        <v>0</v>
      </c>
    </row>
    <row r="9" spans="1:8" x14ac:dyDescent="0.3">
      <c r="A9" s="2" t="s">
        <v>67</v>
      </c>
      <c r="B9" s="3" t="s">
        <v>7</v>
      </c>
      <c r="C9" s="4">
        <v>0</v>
      </c>
      <c r="D9" s="4">
        <v>0</v>
      </c>
      <c r="E9" s="4">
        <v>0</v>
      </c>
      <c r="F9" s="4">
        <v>0</v>
      </c>
      <c r="G9" s="4">
        <v>12.5</v>
      </c>
      <c r="H9" s="4">
        <v>5.71</v>
      </c>
    </row>
    <row r="10" spans="1:8" x14ac:dyDescent="0.3">
      <c r="A10" s="2" t="s">
        <v>67</v>
      </c>
      <c r="B10" s="19" t="s">
        <v>8</v>
      </c>
      <c r="C10" s="20">
        <v>0</v>
      </c>
      <c r="D10" s="20">
        <v>0</v>
      </c>
      <c r="E10" s="20">
        <v>0</v>
      </c>
      <c r="F10" s="20">
        <v>0</v>
      </c>
      <c r="G10" s="20">
        <v>6.67</v>
      </c>
      <c r="H10" s="20">
        <v>2.78</v>
      </c>
    </row>
    <row r="11" spans="1:8" x14ac:dyDescent="0.3">
      <c r="A11" s="3" t="s">
        <v>67</v>
      </c>
      <c r="B11" s="3" t="s">
        <v>9</v>
      </c>
      <c r="C11" s="4">
        <v>4.17</v>
      </c>
      <c r="D11" s="4">
        <v>0</v>
      </c>
      <c r="E11" s="4">
        <v>0</v>
      </c>
      <c r="F11" s="4">
        <v>0</v>
      </c>
      <c r="G11" s="4">
        <v>23.81</v>
      </c>
      <c r="H11" s="4">
        <v>11.76</v>
      </c>
    </row>
    <row r="12" spans="1:8" x14ac:dyDescent="0.3">
      <c r="A12" s="3" t="s">
        <v>67</v>
      </c>
      <c r="B12" s="3" t="s">
        <v>10</v>
      </c>
      <c r="C12" s="4">
        <v>0</v>
      </c>
      <c r="D12" s="4">
        <v>0</v>
      </c>
      <c r="E12" s="4">
        <v>0</v>
      </c>
      <c r="F12" s="4">
        <v>0</v>
      </c>
      <c r="G12" s="4">
        <v>7.14</v>
      </c>
      <c r="H12" s="4">
        <v>3.39</v>
      </c>
    </row>
    <row r="13" spans="1:8" x14ac:dyDescent="0.3">
      <c r="A13" s="3" t="s">
        <v>67</v>
      </c>
      <c r="B13" s="3" t="s">
        <v>11</v>
      </c>
      <c r="C13" s="4">
        <v>5.26</v>
      </c>
      <c r="D13" s="4">
        <v>0</v>
      </c>
      <c r="E13" s="4">
        <v>0</v>
      </c>
      <c r="F13" s="4">
        <v>0</v>
      </c>
      <c r="G13" s="4">
        <v>7.41</v>
      </c>
      <c r="H13" s="4">
        <v>5.26</v>
      </c>
    </row>
    <row r="14" spans="1:8" x14ac:dyDescent="0.3">
      <c r="A14" s="3" t="s">
        <v>67</v>
      </c>
      <c r="B14" s="3" t="s">
        <v>12</v>
      </c>
      <c r="C14" s="4">
        <v>0</v>
      </c>
      <c r="D14" s="4">
        <v>0</v>
      </c>
      <c r="E14" s="4"/>
      <c r="F14" s="4">
        <v>0</v>
      </c>
      <c r="G14" s="4">
        <v>13.33</v>
      </c>
      <c r="H14" s="4">
        <v>7.27</v>
      </c>
    </row>
    <row r="15" spans="1:8" x14ac:dyDescent="0.3">
      <c r="A15" s="3" t="s">
        <v>67</v>
      </c>
      <c r="B15" s="3" t="s">
        <v>13</v>
      </c>
      <c r="C15" s="4">
        <v>9.09</v>
      </c>
      <c r="D15" s="4">
        <v>0</v>
      </c>
      <c r="E15" s="4"/>
      <c r="F15" s="4">
        <v>7.69</v>
      </c>
      <c r="G15" s="4">
        <v>10.34</v>
      </c>
      <c r="H15" s="4">
        <v>8.93</v>
      </c>
    </row>
    <row r="16" spans="1:8" x14ac:dyDescent="0.3">
      <c r="A16" s="3" t="s">
        <v>67</v>
      </c>
      <c r="B16" s="3" t="s">
        <v>14</v>
      </c>
      <c r="C16" s="4">
        <v>8.33</v>
      </c>
      <c r="D16" s="4">
        <v>0</v>
      </c>
      <c r="E16" s="4">
        <v>0</v>
      </c>
      <c r="F16" s="4">
        <v>0</v>
      </c>
      <c r="G16" s="4">
        <v>6.45</v>
      </c>
      <c r="H16" s="4">
        <v>5.36</v>
      </c>
    </row>
    <row r="17" spans="1:8" x14ac:dyDescent="0.3">
      <c r="A17" s="3" t="s">
        <v>67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4">
        <v>3.45</v>
      </c>
      <c r="H17" s="4">
        <v>6.78</v>
      </c>
    </row>
    <row r="18" spans="1:8" x14ac:dyDescent="0.3">
      <c r="A18" s="3" t="s">
        <v>67</v>
      </c>
      <c r="B18" s="3" t="s">
        <v>16</v>
      </c>
      <c r="C18" s="4">
        <v>0</v>
      </c>
      <c r="D18" s="4">
        <v>0</v>
      </c>
      <c r="E18" s="4">
        <v>0</v>
      </c>
      <c r="F18" s="4">
        <v>0</v>
      </c>
      <c r="G18" s="4">
        <v>9.52</v>
      </c>
      <c r="H18" s="4">
        <v>3.33</v>
      </c>
    </row>
    <row r="19" spans="1:8" x14ac:dyDescent="0.3">
      <c r="A19" s="3" t="s">
        <v>67</v>
      </c>
      <c r="B19" s="3" t="s">
        <v>17</v>
      </c>
      <c r="C19" s="4">
        <v>0</v>
      </c>
      <c r="D19" s="4">
        <v>0</v>
      </c>
      <c r="E19" s="4"/>
      <c r="F19" s="4">
        <v>0</v>
      </c>
      <c r="G19" s="4">
        <v>17.649999999999999</v>
      </c>
      <c r="H19" s="4">
        <v>7.89</v>
      </c>
    </row>
    <row r="20" spans="1:8" x14ac:dyDescent="0.3">
      <c r="A20" s="3" t="s">
        <v>67</v>
      </c>
      <c r="B20" s="3" t="s">
        <v>18</v>
      </c>
      <c r="C20" s="4">
        <v>0</v>
      </c>
      <c r="D20" s="4">
        <v>0</v>
      </c>
      <c r="E20" s="4">
        <v>0</v>
      </c>
      <c r="F20" s="4">
        <v>12.5</v>
      </c>
      <c r="G20" s="4">
        <v>3.7</v>
      </c>
      <c r="H20" s="4">
        <v>3.17</v>
      </c>
    </row>
    <row r="21" spans="1:8" x14ac:dyDescent="0.3">
      <c r="A21" s="3" t="s">
        <v>67</v>
      </c>
      <c r="B21" s="3" t="s">
        <v>19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s="3" t="s">
        <v>67</v>
      </c>
      <c r="B22" s="3" t="s">
        <v>20</v>
      </c>
      <c r="C22" s="4">
        <v>0</v>
      </c>
      <c r="D22" s="4">
        <v>0</v>
      </c>
      <c r="E22" s="4">
        <v>0</v>
      </c>
      <c r="F22" s="4">
        <v>50</v>
      </c>
      <c r="G22" s="4">
        <v>0</v>
      </c>
      <c r="H22" s="4">
        <v>2.04</v>
      </c>
    </row>
    <row r="23" spans="1:8" x14ac:dyDescent="0.3">
      <c r="A23" s="3" t="s">
        <v>67</v>
      </c>
      <c r="B23" s="3" t="s">
        <v>21</v>
      </c>
      <c r="C23" s="4">
        <v>0</v>
      </c>
      <c r="D23" s="4">
        <v>0</v>
      </c>
      <c r="E23" s="4"/>
      <c r="F23" s="4">
        <v>0</v>
      </c>
      <c r="G23" s="4">
        <v>0</v>
      </c>
      <c r="H23" s="4">
        <v>0</v>
      </c>
    </row>
    <row r="24" spans="1:8" x14ac:dyDescent="0.3">
      <c r="A24" s="3" t="s">
        <v>67</v>
      </c>
      <c r="B24" s="3" t="s">
        <v>22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3" t="s">
        <v>67</v>
      </c>
      <c r="B25" s="3" t="s">
        <v>23</v>
      </c>
      <c r="C25" s="4">
        <v>0</v>
      </c>
      <c r="D25" s="4">
        <v>0</v>
      </c>
      <c r="E25" s="4"/>
      <c r="F25" s="4">
        <v>0</v>
      </c>
      <c r="G25" s="4">
        <v>0</v>
      </c>
      <c r="H25" s="4">
        <v>0</v>
      </c>
    </row>
    <row r="26" spans="1:8" x14ac:dyDescent="0.3">
      <c r="A26" s="3" t="s">
        <v>67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3" t="s">
        <v>67</v>
      </c>
      <c r="B27" s="3" t="s">
        <v>25</v>
      </c>
      <c r="C27" s="4">
        <v>0</v>
      </c>
      <c r="D27" s="4">
        <v>0</v>
      </c>
      <c r="E27" s="4"/>
      <c r="F27" s="4">
        <v>0</v>
      </c>
      <c r="G27" s="4">
        <v>0</v>
      </c>
      <c r="H27" s="4">
        <v>0</v>
      </c>
    </row>
    <row r="28" spans="1:8" x14ac:dyDescent="0.3">
      <c r="A28" s="3" t="s">
        <v>67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4.3499999999999996</v>
      </c>
      <c r="H28" s="4">
        <v>1.61</v>
      </c>
    </row>
    <row r="29" spans="1:8" x14ac:dyDescent="0.3">
      <c r="A29" s="3" t="s">
        <v>67</v>
      </c>
      <c r="B29" s="3" t="s">
        <v>27</v>
      </c>
      <c r="C29" s="4">
        <v>0</v>
      </c>
      <c r="D29" s="4">
        <v>0</v>
      </c>
      <c r="E29" s="4"/>
      <c r="F29" s="4">
        <v>0</v>
      </c>
      <c r="G29" s="4">
        <v>6.67</v>
      </c>
      <c r="H29" s="4">
        <v>2.56</v>
      </c>
    </row>
    <row r="30" spans="1:8" x14ac:dyDescent="0.3">
      <c r="A30" s="3" t="s">
        <v>67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5.26</v>
      </c>
      <c r="H30" s="4">
        <v>2.27</v>
      </c>
    </row>
    <row r="31" spans="1:8" x14ac:dyDescent="0.3">
      <c r="A31" s="3" t="s">
        <v>67</v>
      </c>
      <c r="B31" s="3" t="s">
        <v>29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s="3" t="s">
        <v>67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3" t="s">
        <v>67</v>
      </c>
      <c r="B33" s="3" t="s">
        <v>31</v>
      </c>
      <c r="C33" s="4">
        <v>11.11</v>
      </c>
      <c r="D33" s="4">
        <v>0</v>
      </c>
      <c r="E33" s="4">
        <v>0</v>
      </c>
      <c r="F33" s="4">
        <v>0</v>
      </c>
      <c r="G33" s="4">
        <v>0</v>
      </c>
      <c r="H33" s="4">
        <v>2.78</v>
      </c>
    </row>
    <row r="34" spans="1:8" x14ac:dyDescent="0.3">
      <c r="A34" s="3" t="s">
        <v>67</v>
      </c>
      <c r="B34" s="3" t="s">
        <v>32</v>
      </c>
      <c r="C34" s="4">
        <v>0</v>
      </c>
      <c r="D34" s="4">
        <v>0</v>
      </c>
      <c r="E34" s="4">
        <v>0</v>
      </c>
      <c r="F34" s="4">
        <v>11.11</v>
      </c>
      <c r="G34" s="4">
        <v>10</v>
      </c>
      <c r="H34" s="4">
        <v>6.67</v>
      </c>
    </row>
    <row r="35" spans="1:8" x14ac:dyDescent="0.3">
      <c r="A35" s="3" t="s">
        <v>67</v>
      </c>
      <c r="B35" s="3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6.25</v>
      </c>
      <c r="H35" s="4">
        <v>2.13</v>
      </c>
    </row>
    <row r="36" spans="1:8" x14ac:dyDescent="0.3">
      <c r="A36" s="3" t="s">
        <v>67</v>
      </c>
      <c r="B36" s="3" t="s">
        <v>34</v>
      </c>
      <c r="C36" s="4">
        <v>14.29</v>
      </c>
      <c r="D36" s="4">
        <v>0</v>
      </c>
      <c r="E36" s="4"/>
      <c r="F36" s="4">
        <v>33.33</v>
      </c>
      <c r="G36" s="4">
        <v>27.27</v>
      </c>
      <c r="H36" s="4">
        <v>20.69</v>
      </c>
    </row>
    <row r="37" spans="1:8" x14ac:dyDescent="0.3">
      <c r="A37" s="3" t="s">
        <v>67</v>
      </c>
      <c r="B37" s="3" t="s">
        <v>35</v>
      </c>
      <c r="C37" s="4">
        <v>7.69</v>
      </c>
      <c r="D37" s="4">
        <v>11.11</v>
      </c>
      <c r="E37" s="4">
        <v>0</v>
      </c>
      <c r="F37" s="4">
        <v>0</v>
      </c>
      <c r="G37" s="4">
        <v>21.05</v>
      </c>
      <c r="H37" s="4">
        <v>11.76</v>
      </c>
    </row>
    <row r="38" spans="1:8" x14ac:dyDescent="0.3">
      <c r="A38" s="3" t="s">
        <v>67</v>
      </c>
      <c r="B38" s="3" t="s">
        <v>36</v>
      </c>
      <c r="C38" s="4">
        <v>10</v>
      </c>
      <c r="D38" s="4">
        <v>0</v>
      </c>
      <c r="E38" s="4">
        <v>0</v>
      </c>
      <c r="F38" s="4">
        <v>0</v>
      </c>
      <c r="G38" s="4">
        <v>30.77</v>
      </c>
      <c r="H38" s="4">
        <v>13.89</v>
      </c>
    </row>
    <row r="39" spans="1:8" x14ac:dyDescent="0.3">
      <c r="A39" s="3" t="s">
        <v>67</v>
      </c>
      <c r="B39" s="3" t="s">
        <v>37</v>
      </c>
      <c r="C39" s="4">
        <v>46.15</v>
      </c>
      <c r="D39" s="4">
        <v>0</v>
      </c>
      <c r="E39" s="4">
        <v>0</v>
      </c>
      <c r="F39" s="4">
        <v>33.33</v>
      </c>
      <c r="G39" s="4">
        <v>20</v>
      </c>
      <c r="H39" s="4">
        <v>26.19</v>
      </c>
    </row>
    <row r="40" spans="1:8" x14ac:dyDescent="0.3">
      <c r="A40" s="3" t="s">
        <v>67</v>
      </c>
      <c r="B40" s="3" t="s">
        <v>38</v>
      </c>
      <c r="C40" s="4">
        <v>30.77</v>
      </c>
      <c r="D40" s="4">
        <v>20</v>
      </c>
      <c r="E40" s="4">
        <v>100</v>
      </c>
      <c r="F40" s="4">
        <v>0</v>
      </c>
      <c r="G40" s="4">
        <v>44.44</v>
      </c>
      <c r="H40" s="4">
        <v>31.82</v>
      </c>
    </row>
    <row r="41" spans="1:8" x14ac:dyDescent="0.3">
      <c r="A41" s="3" t="s">
        <v>67</v>
      </c>
      <c r="B41" s="3" t="s">
        <v>39</v>
      </c>
      <c r="C41" s="4">
        <v>57.14</v>
      </c>
      <c r="D41" s="4">
        <v>0</v>
      </c>
      <c r="E41" s="4">
        <v>33.33</v>
      </c>
      <c r="F41" s="4">
        <v>11.11</v>
      </c>
      <c r="G41" s="4">
        <v>30.77</v>
      </c>
      <c r="H41" s="4">
        <v>32.729999999999997</v>
      </c>
    </row>
    <row r="42" spans="1:8" x14ac:dyDescent="0.3">
      <c r="A42" s="3" t="s">
        <v>67</v>
      </c>
      <c r="B42" s="3" t="s">
        <v>40</v>
      </c>
      <c r="C42" s="4">
        <v>54.55</v>
      </c>
      <c r="D42" s="4">
        <v>25</v>
      </c>
      <c r="E42" s="4"/>
      <c r="F42" s="4">
        <v>22.22</v>
      </c>
      <c r="G42" s="4">
        <v>27.27</v>
      </c>
      <c r="H42" s="4">
        <v>32.61</v>
      </c>
    </row>
    <row r="43" spans="1:8" x14ac:dyDescent="0.3">
      <c r="A43" s="3" t="s">
        <v>67</v>
      </c>
      <c r="B43" s="3" t="s">
        <v>41</v>
      </c>
      <c r="C43" s="4">
        <v>15.38</v>
      </c>
      <c r="D43" s="4">
        <v>0</v>
      </c>
      <c r="E43" s="4">
        <v>0</v>
      </c>
      <c r="F43" s="4">
        <v>0</v>
      </c>
      <c r="G43" s="4">
        <v>40</v>
      </c>
      <c r="H43" s="4">
        <v>25.93</v>
      </c>
    </row>
    <row r="44" spans="1:8" x14ac:dyDescent="0.3">
      <c r="A44" s="3" t="s">
        <v>67</v>
      </c>
      <c r="B44" s="3" t="s">
        <v>42</v>
      </c>
      <c r="C44" s="4">
        <v>40</v>
      </c>
      <c r="D44" s="4">
        <v>0</v>
      </c>
      <c r="E44" s="4">
        <v>0</v>
      </c>
      <c r="F44" s="4">
        <v>25</v>
      </c>
      <c r="G44" s="4">
        <v>21.05</v>
      </c>
      <c r="H44" s="4">
        <v>23.68</v>
      </c>
    </row>
    <row r="45" spans="1:8" x14ac:dyDescent="0.3">
      <c r="A45" s="3" t="s">
        <v>67</v>
      </c>
      <c r="B45" s="3" t="s">
        <v>43</v>
      </c>
      <c r="C45" s="4">
        <v>0</v>
      </c>
      <c r="D45" s="4">
        <v>0</v>
      </c>
      <c r="E45" s="4">
        <v>0</v>
      </c>
      <c r="F45" s="4">
        <v>0</v>
      </c>
      <c r="G45" s="4">
        <v>26.32</v>
      </c>
      <c r="H45" s="4">
        <v>12.2</v>
      </c>
    </row>
    <row r="46" spans="1:8" x14ac:dyDescent="0.3">
      <c r="A46" s="3" t="s">
        <v>67</v>
      </c>
      <c r="B46" s="3" t="s">
        <v>44</v>
      </c>
      <c r="C46" s="4">
        <v>10</v>
      </c>
      <c r="D46" s="4">
        <v>0</v>
      </c>
      <c r="E46" s="4">
        <v>25</v>
      </c>
      <c r="F46" s="4">
        <v>8.33</v>
      </c>
      <c r="G46" s="4">
        <v>0</v>
      </c>
      <c r="H46" s="4">
        <v>5.45</v>
      </c>
    </row>
    <row r="47" spans="1:8" x14ac:dyDescent="0.3">
      <c r="A47" s="3" t="s">
        <v>67</v>
      </c>
      <c r="B47" s="3" t="s">
        <v>45</v>
      </c>
      <c r="C47" s="4">
        <v>11.11</v>
      </c>
      <c r="D47" s="4">
        <v>0</v>
      </c>
      <c r="E47" s="4">
        <v>0</v>
      </c>
      <c r="F47" s="4">
        <v>11.11</v>
      </c>
      <c r="G47" s="4">
        <v>4.76</v>
      </c>
      <c r="H47" s="4">
        <v>6.82</v>
      </c>
    </row>
    <row r="48" spans="1:8" x14ac:dyDescent="0.3">
      <c r="A48" s="3" t="s">
        <v>67</v>
      </c>
      <c r="B48" s="3" t="s">
        <v>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3" t="s">
        <v>67</v>
      </c>
      <c r="B49" s="3" t="s">
        <v>47</v>
      </c>
      <c r="C49" s="4">
        <v>8.33</v>
      </c>
      <c r="D49" s="4">
        <v>0</v>
      </c>
      <c r="E49" s="4">
        <v>0</v>
      </c>
      <c r="F49" s="4">
        <v>22.22</v>
      </c>
      <c r="G49" s="4">
        <v>10.81</v>
      </c>
      <c r="H49" s="4">
        <v>11.11</v>
      </c>
    </row>
    <row r="50" spans="1:8" x14ac:dyDescent="0.3">
      <c r="A50" s="3" t="s">
        <v>67</v>
      </c>
      <c r="B50" s="3" t="s">
        <v>48</v>
      </c>
      <c r="C50" s="4">
        <v>7.69</v>
      </c>
      <c r="D50" s="4">
        <v>0</v>
      </c>
      <c r="E50" s="4">
        <v>25</v>
      </c>
      <c r="F50" s="4">
        <v>0</v>
      </c>
      <c r="G50" s="4">
        <v>3.85</v>
      </c>
      <c r="H50" s="4">
        <v>5.56</v>
      </c>
    </row>
    <row r="51" spans="1:8" x14ac:dyDescent="0.3">
      <c r="A51" s="3" t="s">
        <v>67</v>
      </c>
      <c r="B51" s="3" t="s">
        <v>49</v>
      </c>
      <c r="C51" s="4">
        <v>0</v>
      </c>
      <c r="D51" s="4">
        <v>0</v>
      </c>
      <c r="E51" s="4">
        <v>0</v>
      </c>
      <c r="F51" s="4">
        <v>0</v>
      </c>
      <c r="G51" s="4">
        <v>8</v>
      </c>
      <c r="H51" s="4">
        <v>4</v>
      </c>
    </row>
    <row r="52" spans="1:8" x14ac:dyDescent="0.3">
      <c r="A52" s="3" t="s">
        <v>67</v>
      </c>
      <c r="B52" s="3" t="s">
        <v>50</v>
      </c>
      <c r="C52" s="4">
        <v>0</v>
      </c>
      <c r="D52" s="4">
        <v>0</v>
      </c>
      <c r="E52" s="4">
        <v>0</v>
      </c>
      <c r="F52" s="4">
        <v>0</v>
      </c>
      <c r="G52" s="4">
        <v>3.7</v>
      </c>
      <c r="H52" s="4">
        <v>1.92</v>
      </c>
    </row>
    <row r="53" spans="1:8" x14ac:dyDescent="0.3">
      <c r="A53" s="3" t="s">
        <v>67</v>
      </c>
      <c r="B53" s="3" t="s">
        <v>51</v>
      </c>
      <c r="C53" s="4">
        <v>8.33</v>
      </c>
      <c r="D53" s="4"/>
      <c r="E53" s="4">
        <v>0</v>
      </c>
      <c r="F53" s="4">
        <v>0</v>
      </c>
      <c r="G53" s="4">
        <v>4.17</v>
      </c>
      <c r="H53" s="4">
        <v>4.3499999999999996</v>
      </c>
    </row>
    <row r="54" spans="1:8" x14ac:dyDescent="0.3">
      <c r="A54" s="3" t="s">
        <v>67</v>
      </c>
      <c r="B54" s="3" t="s">
        <v>52</v>
      </c>
      <c r="C54" s="4">
        <v>0</v>
      </c>
      <c r="D54" s="4">
        <v>0</v>
      </c>
      <c r="E54" s="4"/>
      <c r="F54" s="4">
        <v>0</v>
      </c>
      <c r="G54" s="4">
        <v>0</v>
      </c>
      <c r="H54" s="4">
        <v>0</v>
      </c>
    </row>
    <row r="55" spans="1:8" x14ac:dyDescent="0.3">
      <c r="A55" s="3" t="s">
        <v>67</v>
      </c>
      <c r="B55" s="3" t="s">
        <v>53</v>
      </c>
      <c r="C55" s="4">
        <v>0</v>
      </c>
      <c r="D55" s="4">
        <v>0</v>
      </c>
      <c r="E55" s="4">
        <v>0</v>
      </c>
      <c r="F55" s="4">
        <v>0</v>
      </c>
      <c r="G55" s="4">
        <v>6.25</v>
      </c>
      <c r="H55" s="4">
        <v>2.44</v>
      </c>
    </row>
    <row r="56" spans="1:8" x14ac:dyDescent="0.3">
      <c r="A56" s="3" t="s">
        <v>67</v>
      </c>
      <c r="B56" s="3" t="s">
        <v>54</v>
      </c>
      <c r="C56" s="4">
        <v>0</v>
      </c>
      <c r="D56" s="4">
        <v>0</v>
      </c>
      <c r="E56" s="4">
        <v>0</v>
      </c>
      <c r="F56" s="4">
        <v>0</v>
      </c>
      <c r="G56" s="4">
        <v>10.53</v>
      </c>
      <c r="H56" s="4">
        <v>4.76</v>
      </c>
    </row>
    <row r="57" spans="1:8" x14ac:dyDescent="0.3">
      <c r="A57" s="3" t="s">
        <v>67</v>
      </c>
      <c r="B57" s="3" t="s">
        <v>55</v>
      </c>
      <c r="C57" s="4">
        <v>10.53</v>
      </c>
      <c r="D57" s="4">
        <v>0</v>
      </c>
      <c r="E57" s="4">
        <v>0</v>
      </c>
      <c r="F57" s="4">
        <v>0</v>
      </c>
      <c r="G57" s="4">
        <v>12.5</v>
      </c>
      <c r="H57" s="4">
        <v>9.52</v>
      </c>
    </row>
    <row r="58" spans="1:8" x14ac:dyDescent="0.3">
      <c r="A58" s="3" t="s">
        <v>67</v>
      </c>
      <c r="B58" s="3" t="s">
        <v>56</v>
      </c>
      <c r="C58" s="4">
        <v>14.29</v>
      </c>
      <c r="D58" s="4">
        <v>0</v>
      </c>
      <c r="E58" s="4">
        <v>0</v>
      </c>
      <c r="F58" s="4">
        <v>0</v>
      </c>
      <c r="G58" s="4">
        <v>16.670000000000002</v>
      </c>
      <c r="H58" s="4">
        <v>10.81</v>
      </c>
    </row>
    <row r="59" spans="1:8" x14ac:dyDescent="0.3">
      <c r="A59" s="3" t="s">
        <v>67</v>
      </c>
      <c r="B59" s="3" t="s">
        <v>57</v>
      </c>
      <c r="C59" s="4">
        <v>0</v>
      </c>
      <c r="D59" s="4">
        <v>0</v>
      </c>
      <c r="E59" s="4"/>
      <c r="F59" s="4">
        <v>0</v>
      </c>
      <c r="G59" s="4">
        <v>0</v>
      </c>
      <c r="H59" s="4">
        <v>0</v>
      </c>
    </row>
    <row r="60" spans="1:8" x14ac:dyDescent="0.3">
      <c r="A60" s="3" t="s">
        <v>67</v>
      </c>
      <c r="B60" s="3" t="s">
        <v>58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3" t="s">
        <v>67</v>
      </c>
      <c r="B61" s="3" t="s">
        <v>59</v>
      </c>
      <c r="C61" s="4">
        <v>0</v>
      </c>
      <c r="D61" s="4">
        <v>0</v>
      </c>
      <c r="E61" s="4"/>
      <c r="F61" s="4">
        <v>0</v>
      </c>
      <c r="G61" s="4">
        <v>11.11</v>
      </c>
      <c r="H61" s="4">
        <v>2.04</v>
      </c>
    </row>
    <row r="62" spans="1:8" x14ac:dyDescent="0.3">
      <c r="A62" s="3" t="s">
        <v>67</v>
      </c>
      <c r="B62" s="3" t="s">
        <v>60</v>
      </c>
      <c r="C62" s="4">
        <v>0</v>
      </c>
      <c r="D62" s="4">
        <v>0</v>
      </c>
      <c r="E62" s="4"/>
      <c r="F62" s="4">
        <v>16.670000000000002</v>
      </c>
      <c r="G62" s="4">
        <v>0</v>
      </c>
      <c r="H62" s="4">
        <v>2.17</v>
      </c>
    </row>
    <row r="63" spans="1:8" x14ac:dyDescent="0.3">
      <c r="A63" s="3" t="s">
        <v>67</v>
      </c>
      <c r="B63" s="3" t="s">
        <v>61</v>
      </c>
      <c r="C63" s="4">
        <v>0</v>
      </c>
      <c r="D63" s="4">
        <v>0</v>
      </c>
      <c r="E63" s="4">
        <v>0</v>
      </c>
      <c r="F63" s="4">
        <v>0</v>
      </c>
      <c r="G63" s="4">
        <v>6.25</v>
      </c>
      <c r="H63" s="4">
        <v>1.43</v>
      </c>
    </row>
    <row r="64" spans="1:8" x14ac:dyDescent="0.3">
      <c r="A64" s="3" t="s">
        <v>67</v>
      </c>
      <c r="B64" s="3" t="s">
        <v>62</v>
      </c>
      <c r="C64" s="4">
        <v>0</v>
      </c>
      <c r="D64" s="4">
        <v>0</v>
      </c>
      <c r="E64" s="4">
        <v>0</v>
      </c>
      <c r="F64" s="4">
        <v>0</v>
      </c>
      <c r="G64" s="4">
        <v>4.17</v>
      </c>
      <c r="H64" s="4">
        <v>1.52</v>
      </c>
    </row>
    <row r="65" spans="1:8" x14ac:dyDescent="0.3">
      <c r="A65" s="3" t="s">
        <v>67</v>
      </c>
      <c r="B65" s="3" t="s">
        <v>63</v>
      </c>
      <c r="C65" s="4">
        <v>0</v>
      </c>
      <c r="D65" s="4"/>
      <c r="E65" s="4"/>
      <c r="F65" s="4">
        <v>0</v>
      </c>
      <c r="G65" s="4">
        <v>0</v>
      </c>
      <c r="H65" s="4">
        <v>0</v>
      </c>
    </row>
    <row r="66" spans="1:8" x14ac:dyDescent="0.3">
      <c r="A66" s="3" t="s">
        <v>67</v>
      </c>
      <c r="B66" s="3" t="s">
        <v>64</v>
      </c>
      <c r="C66" s="4">
        <v>0</v>
      </c>
      <c r="D66" s="4">
        <v>0</v>
      </c>
      <c r="E66" s="4">
        <v>0</v>
      </c>
      <c r="F66" s="4">
        <v>0</v>
      </c>
      <c r="G66" s="4">
        <v>2.86</v>
      </c>
      <c r="H66" s="4">
        <v>1.1399999999999999</v>
      </c>
    </row>
    <row r="67" spans="1:8" x14ac:dyDescent="0.3">
      <c r="A67" s="3" t="s">
        <v>67</v>
      </c>
      <c r="B67" s="3" t="s">
        <v>100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3">
      <c r="A68" s="3" t="s">
        <v>67</v>
      </c>
      <c r="B68" s="3" t="s">
        <v>101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3">
      <c r="A69" s="3" t="s">
        <v>67</v>
      </c>
      <c r="B69" s="3" t="s">
        <v>102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">
      <c r="A70" s="3" t="s">
        <v>67</v>
      </c>
      <c r="B70" s="3" t="s">
        <v>103</v>
      </c>
      <c r="C70" s="4">
        <v>0</v>
      </c>
      <c r="D70" s="4">
        <v>0</v>
      </c>
      <c r="E70" s="4"/>
      <c r="F70" s="4">
        <v>0</v>
      </c>
      <c r="G70" s="4">
        <v>0</v>
      </c>
      <c r="H70" s="4">
        <v>0</v>
      </c>
    </row>
    <row r="71" spans="1:8" x14ac:dyDescent="0.3">
      <c r="A71" s="3" t="s">
        <v>67</v>
      </c>
      <c r="B71" s="3" t="s">
        <v>104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">
      <c r="A72" s="3" t="s">
        <v>67</v>
      </c>
      <c r="B72" s="3" t="s">
        <v>105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">
      <c r="A73" s="3" t="s">
        <v>67</v>
      </c>
      <c r="B73" s="3" t="s">
        <v>106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3">
      <c r="A74" s="3" t="s">
        <v>67</v>
      </c>
      <c r="B74" s="3" t="s">
        <v>107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3">
      <c r="A75" s="3" t="s">
        <v>67</v>
      </c>
      <c r="B75" s="3" t="s">
        <v>108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3">
      <c r="A76" s="3" t="s">
        <v>67</v>
      </c>
      <c r="B76" s="3" t="s">
        <v>109</v>
      </c>
      <c r="C76" s="4">
        <v>0</v>
      </c>
      <c r="D76" s="4">
        <v>0</v>
      </c>
      <c r="E76" s="4"/>
      <c r="F76" s="4">
        <v>0</v>
      </c>
      <c r="G76" s="4">
        <v>2.5</v>
      </c>
      <c r="H76" s="4">
        <v>1.52</v>
      </c>
    </row>
    <row r="77" spans="1:8" x14ac:dyDescent="0.3">
      <c r="A77" s="3" t="s">
        <v>67</v>
      </c>
      <c r="B77" s="3" t="s">
        <v>110</v>
      </c>
      <c r="C77" s="4">
        <v>5.88</v>
      </c>
      <c r="D77" s="4">
        <v>0</v>
      </c>
      <c r="E77" s="4">
        <v>0</v>
      </c>
      <c r="F77" s="4">
        <v>0</v>
      </c>
      <c r="G77" s="4">
        <v>4.55</v>
      </c>
      <c r="H77" s="4">
        <v>3.77</v>
      </c>
    </row>
    <row r="78" spans="1:8" x14ac:dyDescent="0.3">
      <c r="A78" s="3" t="s">
        <v>67</v>
      </c>
      <c r="B78" s="3" t="s">
        <v>111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3">
      <c r="A79" s="3" t="s">
        <v>67</v>
      </c>
      <c r="B79" s="3" t="s">
        <v>112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3">
      <c r="A80" s="3" t="s">
        <v>67</v>
      </c>
      <c r="B80" s="3" t="s">
        <v>113</v>
      </c>
      <c r="C80" s="4">
        <v>0</v>
      </c>
      <c r="D80" s="4">
        <v>20</v>
      </c>
      <c r="E80" s="4">
        <v>0</v>
      </c>
      <c r="F80" s="4">
        <v>0</v>
      </c>
      <c r="G80" s="4">
        <v>0</v>
      </c>
      <c r="H80" s="4">
        <v>1.67</v>
      </c>
    </row>
    <row r="81" spans="1:8" x14ac:dyDescent="0.3">
      <c r="A81" s="3" t="s">
        <v>67</v>
      </c>
      <c r="B81" s="3" t="s">
        <v>114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3">
      <c r="A82" s="3" t="s">
        <v>67</v>
      </c>
      <c r="B82" s="3" t="s">
        <v>115</v>
      </c>
      <c r="C82" s="4">
        <v>5.26</v>
      </c>
      <c r="D82" s="4">
        <v>0</v>
      </c>
      <c r="E82" s="4">
        <v>0</v>
      </c>
      <c r="F82" s="4">
        <v>0</v>
      </c>
      <c r="G82" s="4">
        <v>0</v>
      </c>
      <c r="H82" s="4">
        <v>1.79</v>
      </c>
    </row>
    <row r="83" spans="1:8" x14ac:dyDescent="0.3">
      <c r="A83" s="3" t="s">
        <v>67</v>
      </c>
      <c r="B83" s="3" t="s">
        <v>116</v>
      </c>
      <c r="C83" s="4">
        <v>6.25</v>
      </c>
      <c r="D83" s="4">
        <v>0</v>
      </c>
      <c r="E83" s="4">
        <v>0</v>
      </c>
      <c r="F83" s="4">
        <v>12.5</v>
      </c>
      <c r="G83" s="4">
        <v>0</v>
      </c>
      <c r="H83" s="4">
        <v>3.7</v>
      </c>
    </row>
    <row r="84" spans="1:8" x14ac:dyDescent="0.3">
      <c r="A84" s="3" t="s">
        <v>67</v>
      </c>
      <c r="B84" s="3" t="s">
        <v>117</v>
      </c>
      <c r="C84" s="4">
        <v>0</v>
      </c>
      <c r="D84" s="4">
        <v>0</v>
      </c>
      <c r="E84" s="4">
        <v>0</v>
      </c>
      <c r="F84" s="4">
        <v>9.09</v>
      </c>
      <c r="G84" s="4">
        <v>0</v>
      </c>
      <c r="H84" s="4">
        <v>2.04</v>
      </c>
    </row>
    <row r="85" spans="1:8" x14ac:dyDescent="0.3">
      <c r="A85" s="3" t="s">
        <v>67</v>
      </c>
      <c r="B85" s="3" t="s">
        <v>118</v>
      </c>
      <c r="C85" s="4">
        <v>22.22</v>
      </c>
      <c r="D85" s="4">
        <v>0</v>
      </c>
      <c r="E85" s="4">
        <v>0</v>
      </c>
      <c r="F85" s="4">
        <v>0</v>
      </c>
      <c r="G85" s="4">
        <v>0</v>
      </c>
      <c r="H85" s="4">
        <v>4.6500000000000004</v>
      </c>
    </row>
    <row r="86" spans="1:8" x14ac:dyDescent="0.3">
      <c r="A86" s="3" t="s">
        <v>67</v>
      </c>
      <c r="B86" s="3" t="s">
        <v>119</v>
      </c>
      <c r="C86" s="4">
        <v>0</v>
      </c>
      <c r="D86" s="4">
        <v>0</v>
      </c>
      <c r="E86" s="4"/>
      <c r="F86" s="4">
        <v>0</v>
      </c>
      <c r="G86" s="4">
        <v>0</v>
      </c>
      <c r="H86" s="4">
        <v>0</v>
      </c>
    </row>
    <row r="87" spans="1:8" x14ac:dyDescent="0.3">
      <c r="A87" s="3" t="s">
        <v>67</v>
      </c>
      <c r="B87" s="3" t="s">
        <v>120</v>
      </c>
      <c r="C87" s="4">
        <v>6.25</v>
      </c>
      <c r="D87" s="4">
        <v>0</v>
      </c>
      <c r="E87" s="4">
        <v>33.33</v>
      </c>
      <c r="F87" s="4">
        <v>0</v>
      </c>
      <c r="G87" s="4">
        <v>0</v>
      </c>
      <c r="H87" s="4">
        <v>6.06</v>
      </c>
    </row>
    <row r="88" spans="1:8" x14ac:dyDescent="0.3">
      <c r="A88" s="3" t="s">
        <v>67</v>
      </c>
      <c r="B88" s="3" t="s">
        <v>121</v>
      </c>
      <c r="C88" s="4">
        <v>6.25</v>
      </c>
      <c r="D88" s="4">
        <v>0</v>
      </c>
      <c r="E88" s="4">
        <v>0</v>
      </c>
      <c r="F88" s="4">
        <v>0</v>
      </c>
      <c r="G88" s="4">
        <v>11.76</v>
      </c>
      <c r="H88" s="4">
        <v>6.82</v>
      </c>
    </row>
    <row r="89" spans="1:8" x14ac:dyDescent="0.3">
      <c r="A89" s="3" t="s">
        <v>67</v>
      </c>
      <c r="B89" s="3" t="s">
        <v>122</v>
      </c>
      <c r="C89" s="4">
        <v>0</v>
      </c>
      <c r="D89" s="4">
        <v>0</v>
      </c>
      <c r="E89" s="4"/>
      <c r="F89" s="4">
        <v>0</v>
      </c>
      <c r="G89" s="4">
        <v>5.88</v>
      </c>
      <c r="H89" s="4">
        <v>2.7</v>
      </c>
    </row>
    <row r="90" spans="1:8" x14ac:dyDescent="0.3">
      <c r="A90" s="3" t="s">
        <v>67</v>
      </c>
      <c r="B90" s="3" t="s">
        <v>123</v>
      </c>
      <c r="C90" s="4">
        <v>7.69</v>
      </c>
      <c r="D90" s="4">
        <v>0</v>
      </c>
      <c r="E90" s="4">
        <v>0</v>
      </c>
      <c r="F90" s="4">
        <v>12.5</v>
      </c>
      <c r="G90" s="4">
        <v>12</v>
      </c>
      <c r="H90" s="4">
        <v>10</v>
      </c>
    </row>
    <row r="91" spans="1:8" x14ac:dyDescent="0.3">
      <c r="A91" s="3" t="s">
        <v>67</v>
      </c>
      <c r="B91" s="3" t="s">
        <v>124</v>
      </c>
      <c r="C91" s="4">
        <v>15</v>
      </c>
      <c r="D91" s="4">
        <v>0</v>
      </c>
      <c r="E91" s="4"/>
      <c r="F91" s="4">
        <v>11.11</v>
      </c>
      <c r="G91" s="4">
        <v>30.77</v>
      </c>
      <c r="H91" s="4">
        <v>17.02</v>
      </c>
    </row>
    <row r="92" spans="1:8" x14ac:dyDescent="0.3">
      <c r="A92" s="3" t="s">
        <v>67</v>
      </c>
      <c r="B92" s="3" t="s">
        <v>125</v>
      </c>
      <c r="C92" s="4">
        <v>0</v>
      </c>
      <c r="D92" s="4">
        <v>0</v>
      </c>
      <c r="E92" s="4"/>
      <c r="F92" s="4">
        <v>0</v>
      </c>
      <c r="G92" s="4">
        <v>14.29</v>
      </c>
      <c r="H92" s="4">
        <v>6.9</v>
      </c>
    </row>
    <row r="93" spans="1:8" x14ac:dyDescent="0.3">
      <c r="A93" s="3" t="s">
        <v>67</v>
      </c>
      <c r="B93" s="3" t="s">
        <v>126</v>
      </c>
      <c r="C93" s="4">
        <v>6.67</v>
      </c>
      <c r="D93" s="4">
        <v>0</v>
      </c>
      <c r="E93" s="4">
        <v>0</v>
      </c>
      <c r="F93" s="4">
        <v>0</v>
      </c>
      <c r="G93" s="4">
        <v>30.43</v>
      </c>
      <c r="H93" s="4">
        <v>17.02</v>
      </c>
    </row>
    <row r="94" spans="1:8" x14ac:dyDescent="0.3">
      <c r="A94" s="3" t="s">
        <v>67</v>
      </c>
      <c r="B94" s="3" t="s">
        <v>127</v>
      </c>
      <c r="C94" s="4">
        <v>12.5</v>
      </c>
      <c r="D94" s="4">
        <v>0</v>
      </c>
      <c r="E94" s="4"/>
      <c r="F94" s="4">
        <v>16.670000000000002</v>
      </c>
      <c r="G94" s="4">
        <v>25</v>
      </c>
      <c r="H94" s="4">
        <v>19.149999999999999</v>
      </c>
    </row>
    <row r="95" spans="1:8" x14ac:dyDescent="0.3">
      <c r="A95" s="3" t="s">
        <v>67</v>
      </c>
      <c r="B95" s="3" t="s">
        <v>128</v>
      </c>
      <c r="C95" s="4">
        <v>25</v>
      </c>
      <c r="D95" s="4">
        <v>0</v>
      </c>
      <c r="E95" s="4">
        <v>25</v>
      </c>
      <c r="F95" s="4">
        <v>10</v>
      </c>
      <c r="G95" s="4">
        <v>21.74</v>
      </c>
      <c r="H95" s="4">
        <v>20</v>
      </c>
    </row>
    <row r="96" spans="1:8" x14ac:dyDescent="0.3">
      <c r="A96" s="3" t="s">
        <v>67</v>
      </c>
      <c r="B96" s="3" t="s">
        <v>129</v>
      </c>
      <c r="C96" s="4">
        <v>18.75</v>
      </c>
      <c r="D96" s="4">
        <v>0</v>
      </c>
      <c r="E96" s="4"/>
      <c r="F96" s="4">
        <v>10</v>
      </c>
      <c r="G96" s="4">
        <v>30</v>
      </c>
      <c r="H96" s="4">
        <v>20.41</v>
      </c>
    </row>
    <row r="97" spans="1:8" x14ac:dyDescent="0.3">
      <c r="A97" s="3" t="s">
        <v>67</v>
      </c>
      <c r="B97" s="3" t="s">
        <v>130</v>
      </c>
      <c r="C97" s="4">
        <v>50</v>
      </c>
      <c r="D97" s="4">
        <v>0</v>
      </c>
      <c r="E97" s="4"/>
      <c r="F97" s="4">
        <v>0</v>
      </c>
      <c r="G97" s="4">
        <v>16.670000000000002</v>
      </c>
      <c r="H97" s="4">
        <v>20.93</v>
      </c>
    </row>
    <row r="98" spans="1:8" x14ac:dyDescent="0.3">
      <c r="A98" s="3" t="s">
        <v>67</v>
      </c>
      <c r="B98" s="3" t="s">
        <v>131</v>
      </c>
      <c r="C98" s="4">
        <v>38.46</v>
      </c>
      <c r="D98" s="4">
        <v>16.670000000000002</v>
      </c>
      <c r="E98" s="4">
        <v>0</v>
      </c>
      <c r="F98" s="4">
        <v>0</v>
      </c>
      <c r="G98" s="4">
        <v>22.22</v>
      </c>
      <c r="H98" s="4">
        <v>23.08</v>
      </c>
    </row>
    <row r="99" spans="1:8" x14ac:dyDescent="0.3">
      <c r="A99" s="3" t="s">
        <v>67</v>
      </c>
      <c r="B99" s="3" t="s">
        <v>132</v>
      </c>
      <c r="C99" s="4">
        <v>33.33</v>
      </c>
      <c r="D99" s="4">
        <v>0</v>
      </c>
      <c r="E99" s="4">
        <v>0</v>
      </c>
      <c r="F99" s="4">
        <v>20</v>
      </c>
      <c r="G99" s="4">
        <v>28.57</v>
      </c>
      <c r="H99" s="4">
        <v>25.64</v>
      </c>
    </row>
    <row r="100" spans="1:8" x14ac:dyDescent="0.3">
      <c r="A100" s="3" t="s">
        <v>67</v>
      </c>
      <c r="B100" s="3" t="s">
        <v>133</v>
      </c>
      <c r="C100" s="4">
        <v>0</v>
      </c>
      <c r="D100" s="4">
        <v>50</v>
      </c>
      <c r="E100" s="4">
        <v>0</v>
      </c>
      <c r="F100" s="4">
        <v>0</v>
      </c>
      <c r="G100" s="4">
        <v>10.53</v>
      </c>
      <c r="H100" s="4">
        <v>9.09</v>
      </c>
    </row>
    <row r="101" spans="1:8" x14ac:dyDescent="0.3">
      <c r="A101" s="3" t="s">
        <v>67</v>
      </c>
      <c r="B101" s="3" t="s">
        <v>134</v>
      </c>
      <c r="C101" s="4">
        <v>0</v>
      </c>
      <c r="D101" s="4"/>
      <c r="E101" s="4">
        <v>0</v>
      </c>
      <c r="F101" s="4">
        <v>0</v>
      </c>
      <c r="G101" s="4">
        <v>4.76</v>
      </c>
      <c r="H101" s="4">
        <v>2.5</v>
      </c>
    </row>
    <row r="102" spans="1:8" x14ac:dyDescent="0.3">
      <c r="A102" s="3" t="s">
        <v>67</v>
      </c>
      <c r="B102" s="3" t="s">
        <v>135</v>
      </c>
      <c r="C102" s="4">
        <v>18.18</v>
      </c>
      <c r="D102" s="4">
        <v>33.33</v>
      </c>
      <c r="E102" s="4">
        <v>0</v>
      </c>
      <c r="F102" s="4">
        <v>22.22</v>
      </c>
      <c r="G102" s="4">
        <v>4.76</v>
      </c>
      <c r="H102" s="4">
        <v>13.33</v>
      </c>
    </row>
    <row r="103" spans="1:8" x14ac:dyDescent="0.3">
      <c r="A103" s="3" t="s">
        <v>67</v>
      </c>
      <c r="B103" s="3" t="s">
        <v>136</v>
      </c>
      <c r="C103" s="4">
        <v>16.670000000000002</v>
      </c>
      <c r="D103" s="4">
        <v>0</v>
      </c>
      <c r="E103" s="4">
        <v>0</v>
      </c>
      <c r="F103" s="4">
        <v>0</v>
      </c>
      <c r="G103" s="4">
        <v>0</v>
      </c>
      <c r="H103" s="4">
        <v>5.56</v>
      </c>
    </row>
    <row r="104" spans="1:8" x14ac:dyDescent="0.3">
      <c r="A104" s="3" t="s">
        <v>67</v>
      </c>
      <c r="B104" s="3" t="s">
        <v>137</v>
      </c>
      <c r="C104" s="4">
        <v>0</v>
      </c>
      <c r="D104" s="4">
        <v>0</v>
      </c>
      <c r="E104" s="4">
        <v>0</v>
      </c>
      <c r="F104" s="4">
        <v>0</v>
      </c>
      <c r="G104" s="4">
        <v>25</v>
      </c>
      <c r="H104" s="4">
        <v>12.5</v>
      </c>
    </row>
    <row r="105" spans="1:8" x14ac:dyDescent="0.3">
      <c r="A105" s="3" t="s">
        <v>67</v>
      </c>
      <c r="B105" s="3" t="s">
        <v>138</v>
      </c>
      <c r="C105" s="4">
        <v>14.29</v>
      </c>
      <c r="D105" s="4">
        <v>50</v>
      </c>
      <c r="E105" s="4"/>
      <c r="F105" s="4">
        <v>100</v>
      </c>
      <c r="G105" s="4">
        <v>7.41</v>
      </c>
      <c r="H105" s="4">
        <v>15.79</v>
      </c>
    </row>
    <row r="106" spans="1:8" x14ac:dyDescent="0.3">
      <c r="A106" s="3" t="s">
        <v>67</v>
      </c>
      <c r="B106" s="3" t="s">
        <v>139</v>
      </c>
      <c r="C106" s="4">
        <v>0</v>
      </c>
      <c r="D106" s="4"/>
      <c r="E106" s="4">
        <v>0</v>
      </c>
      <c r="F106" s="4">
        <v>0</v>
      </c>
      <c r="G106" s="4">
        <v>6.67</v>
      </c>
      <c r="H106" s="4">
        <v>3.03</v>
      </c>
    </row>
    <row r="107" spans="1:8" x14ac:dyDescent="0.3">
      <c r="A107" s="3" t="s">
        <v>67</v>
      </c>
      <c r="B107" s="3" t="s">
        <v>140</v>
      </c>
      <c r="C107" s="4">
        <v>4.55</v>
      </c>
      <c r="D107" s="4">
        <v>0</v>
      </c>
      <c r="E107" s="4">
        <v>0</v>
      </c>
      <c r="F107" s="4">
        <v>0</v>
      </c>
      <c r="G107" s="4">
        <v>8.33</v>
      </c>
      <c r="H107" s="4">
        <v>5</v>
      </c>
    </row>
    <row r="108" spans="1:8" x14ac:dyDescent="0.3">
      <c r="A108" s="3" t="s">
        <v>67</v>
      </c>
      <c r="B108" s="3" t="s">
        <v>141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1:8" x14ac:dyDescent="0.3">
      <c r="A109" s="3" t="s">
        <v>67</v>
      </c>
      <c r="B109" s="3" t="s">
        <v>142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</row>
    <row r="110" spans="1:8" x14ac:dyDescent="0.3">
      <c r="A110" s="3" t="s">
        <v>67</v>
      </c>
      <c r="B110" s="3" t="s">
        <v>143</v>
      </c>
      <c r="C110" s="4">
        <v>0</v>
      </c>
      <c r="D110" s="4">
        <v>0</v>
      </c>
      <c r="E110" s="4">
        <v>0</v>
      </c>
      <c r="F110" s="4">
        <v>0</v>
      </c>
      <c r="G110" s="4">
        <v>6.25</v>
      </c>
      <c r="H110" s="4">
        <v>3.03</v>
      </c>
    </row>
    <row r="111" spans="1:8" x14ac:dyDescent="0.3">
      <c r="A111" s="3" t="s">
        <v>67</v>
      </c>
      <c r="B111" s="3" t="s">
        <v>144</v>
      </c>
      <c r="C111" s="4">
        <v>0</v>
      </c>
      <c r="D111" s="4">
        <v>0</v>
      </c>
      <c r="E111" s="4">
        <v>0</v>
      </c>
      <c r="F111" s="4">
        <v>0</v>
      </c>
      <c r="G111" s="4">
        <v>4.55</v>
      </c>
      <c r="H111" s="4">
        <v>3.03</v>
      </c>
    </row>
    <row r="112" spans="1:8" x14ac:dyDescent="0.3">
      <c r="A112" s="3" t="s">
        <v>67</v>
      </c>
      <c r="B112" s="3" t="s">
        <v>145</v>
      </c>
      <c r="C112" s="4">
        <v>10</v>
      </c>
      <c r="D112" s="4">
        <v>0</v>
      </c>
      <c r="E112" s="4"/>
      <c r="F112" s="4">
        <v>0</v>
      </c>
      <c r="G112" s="4">
        <v>0</v>
      </c>
      <c r="H112" s="4">
        <v>3.57</v>
      </c>
    </row>
    <row r="113" spans="1:8" x14ac:dyDescent="0.3">
      <c r="A113" s="3" t="s">
        <v>67</v>
      </c>
      <c r="B113" s="3" t="s">
        <v>146</v>
      </c>
      <c r="C113" s="4">
        <v>0</v>
      </c>
      <c r="D113" s="4">
        <v>0</v>
      </c>
      <c r="E113" s="4">
        <v>0</v>
      </c>
      <c r="F113" s="4">
        <v>16.670000000000002</v>
      </c>
      <c r="G113" s="4">
        <v>0</v>
      </c>
      <c r="H113" s="4">
        <v>2.33</v>
      </c>
    </row>
    <row r="114" spans="1:8" x14ac:dyDescent="0.3">
      <c r="A114" s="3" t="s">
        <v>67</v>
      </c>
      <c r="B114" s="3" t="s">
        <v>147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 x14ac:dyDescent="0.3">
      <c r="A115" s="3" t="s">
        <v>67</v>
      </c>
      <c r="B115" s="3" t="s">
        <v>148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1:8" x14ac:dyDescent="0.3">
      <c r="A116" s="3" t="s">
        <v>67</v>
      </c>
      <c r="B116" s="3" t="s">
        <v>149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1:8" x14ac:dyDescent="0.3">
      <c r="A117" s="3" t="s">
        <v>67</v>
      </c>
      <c r="B117" s="3" t="s">
        <v>150</v>
      </c>
      <c r="C117" s="4">
        <v>0</v>
      </c>
      <c r="D117" s="4">
        <v>0</v>
      </c>
      <c r="E117" s="4"/>
      <c r="F117" s="4">
        <v>6.25</v>
      </c>
      <c r="G117" s="4">
        <v>0</v>
      </c>
      <c r="H117" s="4">
        <v>1.03</v>
      </c>
    </row>
    <row r="118" spans="1:8" x14ac:dyDescent="0.3">
      <c r="A118" s="3" t="s">
        <v>67</v>
      </c>
      <c r="B118" s="3" t="s">
        <v>151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</sheetData>
  <autoFilter ref="A1:H118" xr:uid="{62556EA5-9280-4F62-BA62-E6AE57745BE9}"/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H118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8.88671875" defaultRowHeight="14.4" x14ac:dyDescent="0.3"/>
  <cols>
    <col min="1" max="2" width="8.88671875" style="2"/>
    <col min="3" max="3" width="11.21875" style="2" bestFit="1" customWidth="1"/>
    <col min="4" max="4" width="12.21875" style="2" bestFit="1" customWidth="1"/>
    <col min="5" max="6" width="13.33203125" style="2" bestFit="1" customWidth="1"/>
    <col min="7" max="7" width="11.21875" style="2" bestFit="1" customWidth="1"/>
    <col min="8" max="8" width="19.44140625" style="2" customWidth="1"/>
    <col min="9" max="16384" width="8.88671875" style="2"/>
  </cols>
  <sheetData>
    <row r="1" spans="1:8" x14ac:dyDescent="0.3">
      <c r="A1" s="21" t="s">
        <v>66</v>
      </c>
      <c r="B1" s="5" t="s">
        <v>65</v>
      </c>
      <c r="C1" s="1" t="s">
        <v>76</v>
      </c>
      <c r="D1" s="9" t="s">
        <v>77</v>
      </c>
      <c r="E1" s="1" t="s">
        <v>78</v>
      </c>
      <c r="F1" s="1" t="s">
        <v>79</v>
      </c>
      <c r="G1" s="1" t="s">
        <v>156</v>
      </c>
      <c r="H1" s="1" t="s">
        <v>80</v>
      </c>
    </row>
    <row r="2" spans="1:8" x14ac:dyDescent="0.3">
      <c r="A2" s="3" t="s">
        <v>67</v>
      </c>
      <c r="B2" s="3" t="s">
        <v>0</v>
      </c>
      <c r="C2" s="4">
        <v>0</v>
      </c>
      <c r="D2" s="4">
        <v>0</v>
      </c>
      <c r="E2" s="4">
        <v>0</v>
      </c>
      <c r="F2" s="4">
        <v>66.67</v>
      </c>
      <c r="G2" s="4">
        <v>10</v>
      </c>
      <c r="H2" s="4">
        <v>10.71</v>
      </c>
    </row>
    <row r="3" spans="1:8" x14ac:dyDescent="0.3">
      <c r="A3" s="3" t="s">
        <v>67</v>
      </c>
      <c r="B3" s="3" t="s">
        <v>1</v>
      </c>
      <c r="C3" s="4">
        <v>0</v>
      </c>
      <c r="D3" s="4">
        <v>0</v>
      </c>
      <c r="E3" s="4"/>
      <c r="F3" s="4">
        <v>0</v>
      </c>
      <c r="G3" s="4">
        <v>30.77</v>
      </c>
      <c r="H3" s="4">
        <v>11.11</v>
      </c>
    </row>
    <row r="4" spans="1:8" x14ac:dyDescent="0.3">
      <c r="A4" s="3" t="s">
        <v>67</v>
      </c>
      <c r="B4" s="3" t="s">
        <v>2</v>
      </c>
      <c r="C4" s="4">
        <v>0</v>
      </c>
      <c r="D4" s="4">
        <v>0</v>
      </c>
      <c r="E4" s="4">
        <v>0</v>
      </c>
      <c r="F4" s="4">
        <v>25</v>
      </c>
      <c r="G4" s="4">
        <v>6.25</v>
      </c>
      <c r="H4" s="4">
        <v>5</v>
      </c>
    </row>
    <row r="5" spans="1:8" x14ac:dyDescent="0.3">
      <c r="A5" s="3" t="s">
        <v>67</v>
      </c>
      <c r="B5" s="3" t="s">
        <v>3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2.33</v>
      </c>
    </row>
    <row r="6" spans="1:8" x14ac:dyDescent="0.3">
      <c r="A6" s="3" t="s">
        <v>67</v>
      </c>
      <c r="B6" s="3" t="s">
        <v>4</v>
      </c>
      <c r="C6" s="4">
        <v>0</v>
      </c>
      <c r="D6" s="4">
        <v>0</v>
      </c>
      <c r="E6" s="4"/>
      <c r="F6" s="4">
        <v>33.33</v>
      </c>
      <c r="G6" s="4">
        <v>0</v>
      </c>
      <c r="H6" s="4">
        <v>2.38</v>
      </c>
    </row>
    <row r="7" spans="1:8" x14ac:dyDescent="0.3">
      <c r="A7" s="3" t="s">
        <v>67</v>
      </c>
      <c r="B7" s="3" t="s">
        <v>5</v>
      </c>
      <c r="C7" s="4">
        <v>7.14</v>
      </c>
      <c r="D7" s="4">
        <v>0</v>
      </c>
      <c r="E7" s="4"/>
      <c r="F7" s="4">
        <v>25</v>
      </c>
      <c r="G7" s="4">
        <v>0</v>
      </c>
      <c r="H7" s="4">
        <v>5.41</v>
      </c>
    </row>
    <row r="8" spans="1:8" x14ac:dyDescent="0.3">
      <c r="A8" s="3" t="s">
        <v>67</v>
      </c>
      <c r="B8" s="3" t="s">
        <v>6</v>
      </c>
      <c r="C8" s="4">
        <v>0</v>
      </c>
      <c r="D8" s="4">
        <v>0</v>
      </c>
      <c r="E8" s="4"/>
      <c r="F8" s="4">
        <v>33.33</v>
      </c>
      <c r="G8" s="4">
        <v>7.14</v>
      </c>
      <c r="H8" s="4">
        <v>9.52</v>
      </c>
    </row>
    <row r="9" spans="1:8" x14ac:dyDescent="0.3">
      <c r="A9" s="3" t="s">
        <v>67</v>
      </c>
      <c r="B9" s="3" t="s">
        <v>7</v>
      </c>
      <c r="C9" s="4">
        <v>0</v>
      </c>
      <c r="D9" s="4">
        <v>0</v>
      </c>
      <c r="E9" s="4">
        <v>0</v>
      </c>
      <c r="F9" s="4">
        <v>75</v>
      </c>
      <c r="G9" s="4">
        <v>17.649999999999999</v>
      </c>
      <c r="H9" s="4">
        <v>16.670000000000002</v>
      </c>
    </row>
    <row r="10" spans="1:8" x14ac:dyDescent="0.3">
      <c r="A10" s="3" t="s">
        <v>67</v>
      </c>
      <c r="B10" s="3" t="s">
        <v>8</v>
      </c>
      <c r="C10" s="4">
        <v>0</v>
      </c>
      <c r="D10" s="4">
        <v>0</v>
      </c>
      <c r="E10" s="4">
        <v>0</v>
      </c>
      <c r="F10" s="4">
        <v>20</v>
      </c>
      <c r="G10" s="4">
        <v>6.25</v>
      </c>
      <c r="H10" s="4">
        <v>5.41</v>
      </c>
    </row>
    <row r="11" spans="1:8" x14ac:dyDescent="0.3">
      <c r="A11" s="3" t="s">
        <v>67</v>
      </c>
      <c r="B11" s="3" t="s">
        <v>9</v>
      </c>
      <c r="C11" s="4">
        <v>0</v>
      </c>
      <c r="D11" s="4">
        <v>33.33</v>
      </c>
      <c r="E11" s="4">
        <v>100</v>
      </c>
      <c r="F11" s="4">
        <v>0</v>
      </c>
      <c r="G11" s="4">
        <v>9.52</v>
      </c>
      <c r="H11" s="4">
        <v>7.69</v>
      </c>
    </row>
    <row r="12" spans="1:8" x14ac:dyDescent="0.3">
      <c r="A12" s="3" t="s">
        <v>67</v>
      </c>
      <c r="B12" s="3" t="s">
        <v>10</v>
      </c>
      <c r="C12" s="4">
        <v>21.43</v>
      </c>
      <c r="D12" s="4">
        <v>0</v>
      </c>
      <c r="E12" s="4">
        <v>50</v>
      </c>
      <c r="F12" s="4">
        <v>40</v>
      </c>
      <c r="G12" s="4">
        <v>7.14</v>
      </c>
      <c r="H12" s="4">
        <v>16.95</v>
      </c>
    </row>
    <row r="13" spans="1:8" x14ac:dyDescent="0.3">
      <c r="A13" s="3" t="s">
        <v>67</v>
      </c>
      <c r="B13" s="3" t="s">
        <v>11</v>
      </c>
      <c r="C13" s="4">
        <v>21.05</v>
      </c>
      <c r="D13" s="4">
        <v>33.33</v>
      </c>
      <c r="E13" s="4">
        <v>25</v>
      </c>
      <c r="F13" s="4">
        <v>25</v>
      </c>
      <c r="G13" s="4">
        <v>28.57</v>
      </c>
      <c r="H13" s="4">
        <v>25.86</v>
      </c>
    </row>
    <row r="14" spans="1:8" x14ac:dyDescent="0.3">
      <c r="A14" s="3" t="s">
        <v>67</v>
      </c>
      <c r="B14" s="3" t="s">
        <v>12</v>
      </c>
      <c r="C14" s="4">
        <v>16.670000000000002</v>
      </c>
      <c r="D14" s="4">
        <v>42.86</v>
      </c>
      <c r="E14" s="4"/>
      <c r="F14" s="4">
        <v>42.86</v>
      </c>
      <c r="G14" s="4">
        <v>22.58</v>
      </c>
      <c r="H14" s="4">
        <v>26.32</v>
      </c>
    </row>
    <row r="15" spans="1:8" x14ac:dyDescent="0.3">
      <c r="A15" s="3" t="s">
        <v>67</v>
      </c>
      <c r="B15" s="3" t="s">
        <v>13</v>
      </c>
      <c r="C15" s="4">
        <v>27.27</v>
      </c>
      <c r="D15" s="4">
        <v>0</v>
      </c>
      <c r="E15" s="4"/>
      <c r="F15" s="4">
        <v>50</v>
      </c>
      <c r="G15" s="4">
        <v>35.479999999999997</v>
      </c>
      <c r="H15" s="4">
        <v>35.590000000000003</v>
      </c>
    </row>
    <row r="16" spans="1:8" x14ac:dyDescent="0.3">
      <c r="A16" s="3" t="s">
        <v>67</v>
      </c>
      <c r="B16" s="3" t="s">
        <v>14</v>
      </c>
      <c r="C16" s="4">
        <v>0</v>
      </c>
      <c r="D16" s="4">
        <v>60</v>
      </c>
      <c r="E16" s="4">
        <v>0</v>
      </c>
      <c r="F16" s="4">
        <v>57.14</v>
      </c>
      <c r="G16" s="4">
        <v>27.27</v>
      </c>
      <c r="H16" s="4">
        <v>27.59</v>
      </c>
    </row>
    <row r="17" spans="1:8" x14ac:dyDescent="0.3">
      <c r="A17" s="3" t="s">
        <v>67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4">
        <v>17.239999999999998</v>
      </c>
      <c r="H17" s="4">
        <v>13.56</v>
      </c>
    </row>
    <row r="18" spans="1:8" x14ac:dyDescent="0.3">
      <c r="A18" s="3" t="s">
        <v>67</v>
      </c>
      <c r="B18" s="3" t="s">
        <v>16</v>
      </c>
      <c r="C18" s="4">
        <v>8.33</v>
      </c>
      <c r="D18" s="4">
        <v>40</v>
      </c>
      <c r="E18" s="4">
        <v>0</v>
      </c>
      <c r="F18" s="4">
        <v>44.44</v>
      </c>
      <c r="G18" s="4">
        <v>19.05</v>
      </c>
      <c r="H18" s="4">
        <v>20</v>
      </c>
    </row>
    <row r="19" spans="1:8" x14ac:dyDescent="0.3">
      <c r="A19" s="3" t="s">
        <v>67</v>
      </c>
      <c r="B19" s="3" t="s">
        <v>17</v>
      </c>
      <c r="C19" s="4">
        <v>36.36</v>
      </c>
      <c r="D19" s="4">
        <v>28.57</v>
      </c>
      <c r="E19" s="4"/>
      <c r="F19" s="4">
        <v>50</v>
      </c>
      <c r="G19" s="4">
        <v>23.53</v>
      </c>
      <c r="H19" s="4">
        <v>30.77</v>
      </c>
    </row>
    <row r="20" spans="1:8" x14ac:dyDescent="0.3">
      <c r="A20" s="3" t="s">
        <v>67</v>
      </c>
      <c r="B20" s="3" t="s">
        <v>18</v>
      </c>
      <c r="C20" s="4">
        <v>14.29</v>
      </c>
      <c r="D20" s="4">
        <v>0</v>
      </c>
      <c r="E20" s="4">
        <v>0</v>
      </c>
      <c r="F20" s="4">
        <v>37.5</v>
      </c>
      <c r="G20" s="4">
        <v>25</v>
      </c>
      <c r="H20" s="4">
        <v>20.309999999999999</v>
      </c>
    </row>
    <row r="21" spans="1:8" x14ac:dyDescent="0.3">
      <c r="A21" s="3" t="s">
        <v>67</v>
      </c>
      <c r="B21" s="3" t="s">
        <v>19</v>
      </c>
      <c r="C21" s="4">
        <v>25</v>
      </c>
      <c r="D21" s="4">
        <v>0</v>
      </c>
      <c r="E21" s="4">
        <v>0</v>
      </c>
      <c r="F21" s="4">
        <v>50</v>
      </c>
      <c r="G21" s="4">
        <v>12.5</v>
      </c>
      <c r="H21" s="4">
        <v>20.75</v>
      </c>
    </row>
    <row r="22" spans="1:8" x14ac:dyDescent="0.3">
      <c r="A22" s="3" t="s">
        <v>67</v>
      </c>
      <c r="B22" s="3" t="s">
        <v>20</v>
      </c>
      <c r="C22" s="4">
        <v>4.3499999999999996</v>
      </c>
      <c r="D22" s="4">
        <v>0</v>
      </c>
      <c r="E22" s="4">
        <v>0</v>
      </c>
      <c r="F22" s="4">
        <v>0</v>
      </c>
      <c r="G22" s="4">
        <v>0</v>
      </c>
      <c r="H22" s="4">
        <v>2.04</v>
      </c>
    </row>
    <row r="23" spans="1:8" x14ac:dyDescent="0.3">
      <c r="A23" s="3" t="s">
        <v>67</v>
      </c>
      <c r="B23" s="3" t="s">
        <v>21</v>
      </c>
      <c r="C23" s="4">
        <v>7.14</v>
      </c>
      <c r="D23" s="4">
        <v>0</v>
      </c>
      <c r="E23" s="4"/>
      <c r="F23" s="4">
        <v>0</v>
      </c>
      <c r="G23" s="4">
        <v>0</v>
      </c>
      <c r="H23" s="4">
        <v>2.56</v>
      </c>
    </row>
    <row r="24" spans="1:8" x14ac:dyDescent="0.3">
      <c r="A24" s="3" t="s">
        <v>67</v>
      </c>
      <c r="B24" s="3" t="s">
        <v>22</v>
      </c>
      <c r="C24" s="4">
        <v>6.67</v>
      </c>
      <c r="D24" s="4">
        <v>14.29</v>
      </c>
      <c r="E24" s="4">
        <v>0</v>
      </c>
      <c r="F24" s="4">
        <v>0</v>
      </c>
      <c r="G24" s="4">
        <v>10</v>
      </c>
      <c r="H24" s="4">
        <v>7.5</v>
      </c>
    </row>
    <row r="25" spans="1:8" x14ac:dyDescent="0.3">
      <c r="A25" s="3" t="s">
        <v>67</v>
      </c>
      <c r="B25" s="3" t="s">
        <v>23</v>
      </c>
      <c r="C25" s="4">
        <v>4.76</v>
      </c>
      <c r="D25" s="4">
        <v>0</v>
      </c>
      <c r="E25" s="4"/>
      <c r="F25" s="4">
        <v>0</v>
      </c>
      <c r="G25" s="4">
        <v>15.38</v>
      </c>
      <c r="H25" s="4">
        <v>6.52</v>
      </c>
    </row>
    <row r="26" spans="1:8" x14ac:dyDescent="0.3">
      <c r="A26" s="3" t="s">
        <v>67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5</v>
      </c>
      <c r="H26" s="4">
        <v>2.33</v>
      </c>
    </row>
    <row r="27" spans="1:8" x14ac:dyDescent="0.3">
      <c r="A27" s="3" t="s">
        <v>67</v>
      </c>
      <c r="B27" s="3" t="s">
        <v>25</v>
      </c>
      <c r="C27" s="4">
        <v>0</v>
      </c>
      <c r="D27" s="4">
        <v>0</v>
      </c>
      <c r="E27" s="4"/>
      <c r="F27" s="4">
        <v>0</v>
      </c>
      <c r="G27" s="4">
        <v>5.26</v>
      </c>
      <c r="H27" s="4">
        <v>2.27</v>
      </c>
    </row>
    <row r="28" spans="1:8" x14ac:dyDescent="0.3">
      <c r="A28" s="3" t="s">
        <v>67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3" t="s">
        <v>67</v>
      </c>
      <c r="B29" s="3" t="s">
        <v>27</v>
      </c>
      <c r="C29" s="4">
        <v>0</v>
      </c>
      <c r="D29" s="4">
        <v>0</v>
      </c>
      <c r="E29" s="4"/>
      <c r="F29" s="4">
        <v>0</v>
      </c>
      <c r="G29" s="4">
        <v>0</v>
      </c>
      <c r="H29" s="4">
        <v>0</v>
      </c>
    </row>
    <row r="30" spans="1:8" x14ac:dyDescent="0.3">
      <c r="A30" s="3" t="s">
        <v>67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3" t="s">
        <v>67</v>
      </c>
      <c r="B31" s="3" t="s">
        <v>29</v>
      </c>
      <c r="C31" s="4">
        <v>4.76</v>
      </c>
      <c r="D31" s="4">
        <v>0</v>
      </c>
      <c r="E31" s="4">
        <v>0</v>
      </c>
      <c r="F31" s="4">
        <v>0</v>
      </c>
      <c r="G31" s="4">
        <v>0</v>
      </c>
      <c r="H31" s="4">
        <v>1.96</v>
      </c>
    </row>
    <row r="32" spans="1:8" x14ac:dyDescent="0.3">
      <c r="A32" s="3" t="s">
        <v>67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3" t="s">
        <v>67</v>
      </c>
      <c r="B33" s="3" t="s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s="3" t="s">
        <v>67</v>
      </c>
      <c r="B34" s="3" t="s">
        <v>32</v>
      </c>
      <c r="C34" s="4">
        <v>16.670000000000002</v>
      </c>
      <c r="D34" s="4">
        <v>0</v>
      </c>
      <c r="E34" s="4">
        <v>50</v>
      </c>
      <c r="F34" s="4">
        <v>0</v>
      </c>
      <c r="G34" s="4">
        <v>0</v>
      </c>
      <c r="H34" s="4">
        <v>4.26</v>
      </c>
    </row>
    <row r="35" spans="1:8" x14ac:dyDescent="0.3">
      <c r="A35" s="3" t="s">
        <v>67</v>
      </c>
      <c r="B35" s="3" t="s">
        <v>33</v>
      </c>
      <c r="C35" s="4">
        <v>7.14</v>
      </c>
      <c r="D35" s="4">
        <v>0</v>
      </c>
      <c r="E35" s="4">
        <v>0</v>
      </c>
      <c r="F35" s="4">
        <v>0</v>
      </c>
      <c r="G35" s="4">
        <v>0</v>
      </c>
      <c r="H35" s="4">
        <v>2.08</v>
      </c>
    </row>
    <row r="36" spans="1:8" x14ac:dyDescent="0.3">
      <c r="A36" s="3" t="s">
        <v>67</v>
      </c>
      <c r="B36" s="3" t="s">
        <v>34</v>
      </c>
      <c r="C36" s="4">
        <v>0</v>
      </c>
      <c r="D36" s="4">
        <v>0</v>
      </c>
      <c r="E36" s="4"/>
      <c r="F36" s="4">
        <v>0</v>
      </c>
      <c r="G36" s="4">
        <v>0</v>
      </c>
      <c r="H36" s="4">
        <v>0</v>
      </c>
    </row>
    <row r="37" spans="1:8" x14ac:dyDescent="0.3">
      <c r="A37" s="3" t="s">
        <v>67</v>
      </c>
      <c r="B37" s="3" t="s">
        <v>35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3" t="s">
        <v>67</v>
      </c>
      <c r="B38" s="3" t="s">
        <v>36</v>
      </c>
      <c r="C38" s="4">
        <v>0</v>
      </c>
      <c r="D38" s="4">
        <v>20</v>
      </c>
      <c r="E38" s="4">
        <v>0</v>
      </c>
      <c r="F38" s="4">
        <v>0</v>
      </c>
      <c r="G38" s="4">
        <v>7.69</v>
      </c>
      <c r="H38" s="4">
        <v>5.41</v>
      </c>
    </row>
    <row r="39" spans="1:8" x14ac:dyDescent="0.3">
      <c r="A39" s="3" t="s">
        <v>67</v>
      </c>
      <c r="B39" s="3" t="s">
        <v>37</v>
      </c>
      <c r="C39" s="4">
        <v>0</v>
      </c>
      <c r="D39" s="4">
        <v>0</v>
      </c>
      <c r="E39" s="4">
        <v>0</v>
      </c>
      <c r="F39" s="4">
        <v>16.670000000000002</v>
      </c>
      <c r="G39" s="4">
        <v>0</v>
      </c>
      <c r="H39" s="4">
        <v>2.2200000000000002</v>
      </c>
    </row>
    <row r="40" spans="1:8" x14ac:dyDescent="0.3">
      <c r="A40" s="3" t="s">
        <v>67</v>
      </c>
      <c r="B40" s="3" t="s">
        <v>38</v>
      </c>
      <c r="C40" s="4">
        <v>7.69</v>
      </c>
      <c r="D40" s="4">
        <v>0</v>
      </c>
      <c r="E40" s="4">
        <v>0</v>
      </c>
      <c r="F40" s="4">
        <v>14.29</v>
      </c>
      <c r="G40" s="4">
        <v>10.53</v>
      </c>
      <c r="H40" s="4">
        <v>8.89</v>
      </c>
    </row>
    <row r="41" spans="1:8" x14ac:dyDescent="0.3">
      <c r="A41" s="3" t="s">
        <v>67</v>
      </c>
      <c r="B41" s="3" t="s">
        <v>39</v>
      </c>
      <c r="C41" s="4">
        <v>14.29</v>
      </c>
      <c r="D41" s="4">
        <v>33.33</v>
      </c>
      <c r="E41" s="4">
        <v>0</v>
      </c>
      <c r="F41" s="4">
        <v>11.11</v>
      </c>
      <c r="G41" s="4">
        <v>3.7</v>
      </c>
      <c r="H41" s="4">
        <v>8.93</v>
      </c>
    </row>
    <row r="42" spans="1:8" x14ac:dyDescent="0.3">
      <c r="A42" s="3" t="s">
        <v>67</v>
      </c>
      <c r="B42" s="3" t="s">
        <v>40</v>
      </c>
      <c r="C42" s="4">
        <v>0</v>
      </c>
      <c r="D42" s="4">
        <v>0</v>
      </c>
      <c r="E42" s="4"/>
      <c r="F42" s="4">
        <v>11.11</v>
      </c>
      <c r="G42" s="4">
        <v>18.18</v>
      </c>
      <c r="H42" s="4">
        <v>11.11</v>
      </c>
    </row>
    <row r="43" spans="1:8" x14ac:dyDescent="0.3">
      <c r="A43" s="3" t="s">
        <v>67</v>
      </c>
      <c r="B43" s="3" t="s">
        <v>41</v>
      </c>
      <c r="C43" s="4">
        <v>0</v>
      </c>
      <c r="D43" s="4">
        <v>0</v>
      </c>
      <c r="E43" s="4">
        <v>50</v>
      </c>
      <c r="F43" s="4">
        <v>16.670000000000002</v>
      </c>
      <c r="G43" s="4">
        <v>13.33</v>
      </c>
      <c r="H43" s="4">
        <v>11.11</v>
      </c>
    </row>
    <row r="44" spans="1:8" x14ac:dyDescent="0.3">
      <c r="A44" s="3" t="s">
        <v>67</v>
      </c>
      <c r="B44" s="3" t="s">
        <v>42</v>
      </c>
      <c r="C44" s="4">
        <v>0</v>
      </c>
      <c r="D44" s="4">
        <v>0</v>
      </c>
      <c r="E44" s="4">
        <v>0</v>
      </c>
      <c r="F44" s="4">
        <v>0</v>
      </c>
      <c r="G44" s="4">
        <v>25</v>
      </c>
      <c r="H44" s="4">
        <v>12.5</v>
      </c>
    </row>
    <row r="45" spans="1:8" x14ac:dyDescent="0.3">
      <c r="A45" s="3" t="s">
        <v>67</v>
      </c>
      <c r="B45" s="3" t="s">
        <v>43</v>
      </c>
      <c r="C45" s="4">
        <v>0</v>
      </c>
      <c r="D45" s="4">
        <v>50</v>
      </c>
      <c r="E45" s="4">
        <v>50</v>
      </c>
      <c r="F45" s="4">
        <v>22.22</v>
      </c>
      <c r="G45" s="4">
        <v>26.32</v>
      </c>
      <c r="H45" s="4">
        <v>24.39</v>
      </c>
    </row>
    <row r="46" spans="1:8" x14ac:dyDescent="0.3">
      <c r="A46" s="3" t="s">
        <v>67</v>
      </c>
      <c r="B46" s="3" t="s">
        <v>44</v>
      </c>
      <c r="C46" s="4">
        <v>27.27</v>
      </c>
      <c r="D46" s="4">
        <v>33.33</v>
      </c>
      <c r="E46" s="4">
        <v>25</v>
      </c>
      <c r="F46" s="4">
        <v>25</v>
      </c>
      <c r="G46" s="4">
        <v>19.23</v>
      </c>
      <c r="H46" s="4">
        <v>23.21</v>
      </c>
    </row>
    <row r="47" spans="1:8" x14ac:dyDescent="0.3">
      <c r="A47" s="3" t="s">
        <v>67</v>
      </c>
      <c r="B47" s="3" t="s">
        <v>45</v>
      </c>
      <c r="C47" s="4">
        <v>11.11</v>
      </c>
      <c r="D47" s="4">
        <v>0</v>
      </c>
      <c r="E47" s="4">
        <v>50</v>
      </c>
      <c r="F47" s="4">
        <v>30</v>
      </c>
      <c r="G47" s="4">
        <v>52.38</v>
      </c>
      <c r="H47" s="4">
        <v>35.56</v>
      </c>
    </row>
    <row r="48" spans="1:8" x14ac:dyDescent="0.3">
      <c r="A48" s="3" t="s">
        <v>67</v>
      </c>
      <c r="B48" s="3" t="s">
        <v>46</v>
      </c>
      <c r="C48" s="4">
        <v>41.67</v>
      </c>
      <c r="D48" s="4">
        <v>40</v>
      </c>
      <c r="E48" s="4">
        <v>0</v>
      </c>
      <c r="F48" s="4">
        <v>12.5</v>
      </c>
      <c r="G48" s="4">
        <v>30</v>
      </c>
      <c r="H48" s="4">
        <v>30.43</v>
      </c>
    </row>
    <row r="49" spans="1:8" x14ac:dyDescent="0.3">
      <c r="A49" s="3" t="s">
        <v>67</v>
      </c>
      <c r="B49" s="3" t="s">
        <v>47</v>
      </c>
      <c r="C49" s="4">
        <v>23.08</v>
      </c>
      <c r="D49" s="4">
        <v>33.33</v>
      </c>
      <c r="E49" s="4">
        <v>0</v>
      </c>
      <c r="F49" s="4">
        <v>20</v>
      </c>
      <c r="G49" s="4">
        <v>44.74</v>
      </c>
      <c r="H49" s="4">
        <v>34.85</v>
      </c>
    </row>
    <row r="50" spans="1:8" x14ac:dyDescent="0.3">
      <c r="A50" s="3" t="s">
        <v>67</v>
      </c>
      <c r="B50" s="3" t="s">
        <v>48</v>
      </c>
      <c r="C50" s="4">
        <v>35.71</v>
      </c>
      <c r="D50" s="4">
        <v>0</v>
      </c>
      <c r="E50" s="4">
        <v>25</v>
      </c>
      <c r="F50" s="4">
        <v>0</v>
      </c>
      <c r="G50" s="4">
        <v>30.77</v>
      </c>
      <c r="H50" s="4">
        <v>25.45</v>
      </c>
    </row>
    <row r="51" spans="1:8" x14ac:dyDescent="0.3">
      <c r="A51" s="3" t="s">
        <v>67</v>
      </c>
      <c r="B51" s="3" t="s">
        <v>49</v>
      </c>
      <c r="C51" s="4">
        <v>8.33</v>
      </c>
      <c r="D51" s="4">
        <v>50</v>
      </c>
      <c r="E51" s="4">
        <v>0</v>
      </c>
      <c r="F51" s="4">
        <v>37.5</v>
      </c>
      <c r="G51" s="4">
        <v>40</v>
      </c>
      <c r="H51" s="4">
        <v>32</v>
      </c>
    </row>
    <row r="52" spans="1:8" x14ac:dyDescent="0.3">
      <c r="A52" s="3" t="s">
        <v>67</v>
      </c>
      <c r="B52" s="3" t="s">
        <v>50</v>
      </c>
      <c r="C52" s="4">
        <v>7.69</v>
      </c>
      <c r="D52" s="4">
        <v>50</v>
      </c>
      <c r="E52" s="4">
        <v>0</v>
      </c>
      <c r="F52" s="4">
        <v>20</v>
      </c>
      <c r="G52" s="4">
        <v>21.43</v>
      </c>
      <c r="H52" s="4">
        <v>18.52</v>
      </c>
    </row>
    <row r="53" spans="1:8" x14ac:dyDescent="0.3">
      <c r="A53" s="3" t="s">
        <v>67</v>
      </c>
      <c r="B53" s="3" t="s">
        <v>51</v>
      </c>
      <c r="C53" s="4">
        <v>25</v>
      </c>
      <c r="D53" s="4"/>
      <c r="E53" s="4">
        <v>33.33</v>
      </c>
      <c r="F53" s="4">
        <v>42.86</v>
      </c>
      <c r="G53" s="4">
        <v>28</v>
      </c>
      <c r="H53" s="4">
        <v>29.79</v>
      </c>
    </row>
    <row r="54" spans="1:8" x14ac:dyDescent="0.3">
      <c r="A54" s="3" t="s">
        <v>67</v>
      </c>
      <c r="B54" s="3" t="s">
        <v>52</v>
      </c>
      <c r="C54" s="4">
        <v>9.09</v>
      </c>
      <c r="D54" s="4">
        <v>0</v>
      </c>
      <c r="E54" s="4"/>
      <c r="F54" s="4">
        <v>33.33</v>
      </c>
      <c r="G54" s="4">
        <v>0</v>
      </c>
      <c r="H54" s="4">
        <v>6.25</v>
      </c>
    </row>
    <row r="55" spans="1:8" x14ac:dyDescent="0.3">
      <c r="A55" s="3" t="s">
        <v>67</v>
      </c>
      <c r="B55" s="3" t="s">
        <v>53</v>
      </c>
      <c r="C55" s="4">
        <v>0</v>
      </c>
      <c r="D55" s="4">
        <v>14.29</v>
      </c>
      <c r="E55" s="4">
        <v>0</v>
      </c>
      <c r="F55" s="4">
        <v>0</v>
      </c>
      <c r="G55" s="4">
        <v>12.5</v>
      </c>
      <c r="H55" s="4">
        <v>7.32</v>
      </c>
    </row>
    <row r="56" spans="1:8" x14ac:dyDescent="0.3">
      <c r="A56" s="3" t="s">
        <v>67</v>
      </c>
      <c r="B56" s="3" t="s">
        <v>54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">
      <c r="A57" s="3" t="s">
        <v>67</v>
      </c>
      <c r="B57" s="3" t="s">
        <v>55</v>
      </c>
      <c r="C57" s="4">
        <v>0</v>
      </c>
      <c r="D57" s="4">
        <v>33.33</v>
      </c>
      <c r="E57" s="4">
        <v>0</v>
      </c>
      <c r="F57" s="4">
        <v>0</v>
      </c>
      <c r="G57" s="4">
        <v>6.25</v>
      </c>
      <c r="H57" s="4">
        <v>4.76</v>
      </c>
    </row>
    <row r="58" spans="1:8" x14ac:dyDescent="0.3">
      <c r="A58" s="3" t="s">
        <v>67</v>
      </c>
      <c r="B58" s="3" t="s">
        <v>56</v>
      </c>
      <c r="C58" s="4">
        <v>0</v>
      </c>
      <c r="D58" s="4">
        <v>0</v>
      </c>
      <c r="E58" s="4">
        <v>0</v>
      </c>
      <c r="F58" s="4">
        <v>16.670000000000002</v>
      </c>
      <c r="G58" s="4">
        <v>8.33</v>
      </c>
      <c r="H58" s="4">
        <v>5.41</v>
      </c>
    </row>
    <row r="59" spans="1:8" x14ac:dyDescent="0.3">
      <c r="A59" s="3" t="s">
        <v>67</v>
      </c>
      <c r="B59" s="3" t="s">
        <v>57</v>
      </c>
      <c r="C59" s="4">
        <v>0</v>
      </c>
      <c r="D59" s="4">
        <v>16.670000000000002</v>
      </c>
      <c r="E59" s="4"/>
      <c r="F59" s="4">
        <v>0</v>
      </c>
      <c r="G59" s="4">
        <v>0</v>
      </c>
      <c r="H59" s="4">
        <v>2.08</v>
      </c>
    </row>
    <row r="60" spans="1:8" x14ac:dyDescent="0.3">
      <c r="A60" s="3" t="s">
        <v>67</v>
      </c>
      <c r="B60" s="3" t="s">
        <v>58</v>
      </c>
      <c r="C60" s="4">
        <v>0</v>
      </c>
      <c r="D60" s="4">
        <v>0</v>
      </c>
      <c r="E60" s="4">
        <v>0</v>
      </c>
      <c r="F60" s="4">
        <v>33.33</v>
      </c>
      <c r="G60" s="4">
        <v>0</v>
      </c>
      <c r="H60" s="4">
        <v>2.86</v>
      </c>
    </row>
    <row r="61" spans="1:8" x14ac:dyDescent="0.3">
      <c r="A61" s="3" t="s">
        <v>67</v>
      </c>
      <c r="B61" s="3" t="s">
        <v>59</v>
      </c>
      <c r="C61" s="4">
        <v>0</v>
      </c>
      <c r="D61" s="4">
        <v>0</v>
      </c>
      <c r="E61" s="4"/>
      <c r="F61" s="4">
        <v>0</v>
      </c>
      <c r="G61" s="4">
        <v>11.11</v>
      </c>
      <c r="H61" s="4">
        <v>2.04</v>
      </c>
    </row>
    <row r="62" spans="1:8" x14ac:dyDescent="0.3">
      <c r="A62" s="3" t="s">
        <v>67</v>
      </c>
      <c r="B62" s="3" t="s">
        <v>60</v>
      </c>
      <c r="C62" s="4">
        <v>0</v>
      </c>
      <c r="D62" s="4">
        <v>0</v>
      </c>
      <c r="E62" s="4"/>
      <c r="F62" s="4">
        <v>0</v>
      </c>
      <c r="G62" s="4">
        <v>0</v>
      </c>
      <c r="H62" s="4">
        <v>0</v>
      </c>
    </row>
    <row r="63" spans="1:8" x14ac:dyDescent="0.3">
      <c r="A63" s="3" t="s">
        <v>67</v>
      </c>
      <c r="B63" s="3" t="s">
        <v>61</v>
      </c>
      <c r="C63" s="4">
        <v>0</v>
      </c>
      <c r="D63" s="4">
        <v>0</v>
      </c>
      <c r="E63" s="4">
        <v>0</v>
      </c>
      <c r="F63" s="4">
        <v>22.22</v>
      </c>
      <c r="G63" s="4">
        <v>0</v>
      </c>
      <c r="H63" s="4">
        <v>2.74</v>
      </c>
    </row>
    <row r="64" spans="1:8" x14ac:dyDescent="0.3">
      <c r="A64" s="3" t="s">
        <v>67</v>
      </c>
      <c r="B64" s="3" t="s">
        <v>62</v>
      </c>
      <c r="C64" s="4">
        <v>0</v>
      </c>
      <c r="D64" s="4">
        <v>0</v>
      </c>
      <c r="E64" s="4">
        <v>0</v>
      </c>
      <c r="F64" s="4">
        <v>12.5</v>
      </c>
      <c r="G64" s="4">
        <v>0</v>
      </c>
      <c r="H64" s="4">
        <v>1.41</v>
      </c>
    </row>
    <row r="65" spans="1:8" x14ac:dyDescent="0.3">
      <c r="A65" s="3" t="s">
        <v>67</v>
      </c>
      <c r="B65" s="3" t="s">
        <v>63</v>
      </c>
      <c r="C65" s="4">
        <v>3.57</v>
      </c>
      <c r="D65" s="4"/>
      <c r="E65" s="4"/>
      <c r="F65" s="4">
        <v>41.67</v>
      </c>
      <c r="G65" s="4">
        <v>17.86</v>
      </c>
      <c r="H65" s="4">
        <v>16.18</v>
      </c>
    </row>
    <row r="66" spans="1:8" x14ac:dyDescent="0.3">
      <c r="A66" s="3" t="s">
        <v>67</v>
      </c>
      <c r="B66" s="3" t="s">
        <v>64</v>
      </c>
      <c r="C66" s="4">
        <v>3.57</v>
      </c>
      <c r="D66" s="4">
        <v>60</v>
      </c>
      <c r="E66" s="4">
        <v>33.33</v>
      </c>
      <c r="F66" s="4">
        <v>41.18</v>
      </c>
      <c r="G66" s="4">
        <v>18.920000000000002</v>
      </c>
      <c r="H66" s="4">
        <v>21.11</v>
      </c>
    </row>
    <row r="67" spans="1:8" x14ac:dyDescent="0.3">
      <c r="A67" s="3" t="s">
        <v>67</v>
      </c>
      <c r="B67" s="3" t="s">
        <v>100</v>
      </c>
      <c r="C67" s="4">
        <v>12.5</v>
      </c>
      <c r="D67" s="4">
        <v>50</v>
      </c>
      <c r="E67" s="4">
        <v>0</v>
      </c>
      <c r="F67" s="4">
        <v>23.53</v>
      </c>
      <c r="G67" s="4">
        <v>26</v>
      </c>
      <c r="H67" s="4">
        <v>22.92</v>
      </c>
    </row>
    <row r="68" spans="1:8" x14ac:dyDescent="0.3">
      <c r="A68" s="3" t="s">
        <v>67</v>
      </c>
      <c r="B68" s="3" t="s">
        <v>101</v>
      </c>
      <c r="C68" s="4">
        <v>40</v>
      </c>
      <c r="D68" s="4">
        <v>116.67</v>
      </c>
      <c r="E68" s="4">
        <v>100</v>
      </c>
      <c r="F68" s="4">
        <v>33.33</v>
      </c>
      <c r="G68" s="4">
        <v>33.33</v>
      </c>
      <c r="H68" s="4">
        <v>42.5</v>
      </c>
    </row>
    <row r="69" spans="1:8" x14ac:dyDescent="0.3">
      <c r="A69" s="3" t="s">
        <v>67</v>
      </c>
      <c r="B69" s="3" t="s">
        <v>102</v>
      </c>
      <c r="C69" s="4">
        <v>45.45</v>
      </c>
      <c r="D69" s="4">
        <v>33.33</v>
      </c>
      <c r="E69" s="4">
        <v>100</v>
      </c>
      <c r="F69" s="4">
        <v>36.36</v>
      </c>
      <c r="G69" s="4">
        <v>19.23</v>
      </c>
      <c r="H69" s="4">
        <v>33.33</v>
      </c>
    </row>
    <row r="70" spans="1:8" x14ac:dyDescent="0.3">
      <c r="A70" s="3" t="s">
        <v>67</v>
      </c>
      <c r="B70" s="3" t="s">
        <v>103</v>
      </c>
      <c r="C70" s="4">
        <v>47.62</v>
      </c>
      <c r="D70" s="4">
        <v>44.44</v>
      </c>
      <c r="E70" s="4"/>
      <c r="F70" s="4">
        <v>11.76</v>
      </c>
      <c r="G70" s="4">
        <v>25</v>
      </c>
      <c r="H70" s="4">
        <v>29.89</v>
      </c>
    </row>
    <row r="71" spans="1:8" x14ac:dyDescent="0.3">
      <c r="A71" s="3" t="s">
        <v>67</v>
      </c>
      <c r="B71" s="3" t="s">
        <v>104</v>
      </c>
      <c r="C71" s="4">
        <v>36</v>
      </c>
      <c r="D71" s="4">
        <v>54.55</v>
      </c>
      <c r="E71" s="4">
        <v>100</v>
      </c>
      <c r="F71" s="4">
        <v>28.57</v>
      </c>
      <c r="G71" s="4">
        <v>11.54</v>
      </c>
      <c r="H71" s="4">
        <v>30</v>
      </c>
    </row>
    <row r="72" spans="1:8" x14ac:dyDescent="0.3">
      <c r="A72" s="3" t="s">
        <v>67</v>
      </c>
      <c r="B72" s="3" t="s">
        <v>105</v>
      </c>
      <c r="C72" s="4">
        <v>6.67</v>
      </c>
      <c r="D72" s="4">
        <v>60</v>
      </c>
      <c r="E72" s="4">
        <v>33.33</v>
      </c>
      <c r="F72" s="4">
        <v>9.09</v>
      </c>
      <c r="G72" s="4">
        <v>48</v>
      </c>
      <c r="H72" s="4">
        <v>30.51</v>
      </c>
    </row>
    <row r="73" spans="1:8" x14ac:dyDescent="0.3">
      <c r="A73" s="3" t="s">
        <v>67</v>
      </c>
      <c r="B73" s="3" t="s">
        <v>106</v>
      </c>
      <c r="C73" s="4">
        <v>15</v>
      </c>
      <c r="D73" s="4">
        <v>100</v>
      </c>
      <c r="E73" s="4">
        <v>0</v>
      </c>
      <c r="F73" s="4">
        <v>25</v>
      </c>
      <c r="G73" s="4">
        <v>17.649999999999999</v>
      </c>
      <c r="H73" s="4">
        <v>23.91</v>
      </c>
    </row>
    <row r="74" spans="1:8" x14ac:dyDescent="0.3">
      <c r="A74" s="3" t="s">
        <v>67</v>
      </c>
      <c r="B74" s="3" t="s">
        <v>107</v>
      </c>
      <c r="C74" s="4">
        <v>9.09</v>
      </c>
      <c r="D74" s="4">
        <v>20</v>
      </c>
      <c r="E74" s="4">
        <v>50</v>
      </c>
      <c r="F74" s="4">
        <v>0</v>
      </c>
      <c r="G74" s="4">
        <v>15</v>
      </c>
      <c r="H74" s="4">
        <v>13.21</v>
      </c>
    </row>
    <row r="75" spans="1:8" x14ac:dyDescent="0.3">
      <c r="A75" s="3" t="s">
        <v>67</v>
      </c>
      <c r="B75" s="3" t="s">
        <v>108</v>
      </c>
      <c r="C75" s="4">
        <v>15</v>
      </c>
      <c r="D75" s="4">
        <v>57.14</v>
      </c>
      <c r="E75" s="4">
        <v>0</v>
      </c>
      <c r="F75" s="4">
        <v>0</v>
      </c>
      <c r="G75" s="4">
        <v>10</v>
      </c>
      <c r="H75" s="4">
        <v>15.52</v>
      </c>
    </row>
    <row r="76" spans="1:8" x14ac:dyDescent="0.3">
      <c r="A76" s="3" t="s">
        <v>67</v>
      </c>
      <c r="B76" s="3" t="s">
        <v>109</v>
      </c>
      <c r="C76" s="4">
        <v>0</v>
      </c>
      <c r="D76" s="4">
        <v>10</v>
      </c>
      <c r="E76" s="4"/>
      <c r="F76" s="4">
        <v>28.57</v>
      </c>
      <c r="G76" s="4">
        <v>9.76</v>
      </c>
      <c r="H76" s="4">
        <v>10.29</v>
      </c>
    </row>
    <row r="77" spans="1:8" x14ac:dyDescent="0.3">
      <c r="A77" s="3" t="s">
        <v>67</v>
      </c>
      <c r="B77" s="3" t="s">
        <v>110</v>
      </c>
      <c r="C77" s="4">
        <v>0</v>
      </c>
      <c r="D77" s="4">
        <v>0</v>
      </c>
      <c r="E77" s="4">
        <v>50</v>
      </c>
      <c r="F77" s="4">
        <v>0</v>
      </c>
      <c r="G77" s="4">
        <v>9.09</v>
      </c>
      <c r="H77" s="4">
        <v>5.66</v>
      </c>
    </row>
    <row r="78" spans="1:8" x14ac:dyDescent="0.3">
      <c r="A78" s="3" t="s">
        <v>67</v>
      </c>
      <c r="B78" s="3" t="s">
        <v>111</v>
      </c>
      <c r="C78" s="4">
        <v>6.67</v>
      </c>
      <c r="D78" s="4">
        <v>0</v>
      </c>
      <c r="E78" s="4">
        <v>0</v>
      </c>
      <c r="F78" s="4">
        <v>0</v>
      </c>
      <c r="G78" s="4">
        <v>0</v>
      </c>
      <c r="H78" s="4">
        <v>2</v>
      </c>
    </row>
    <row r="79" spans="1:8" x14ac:dyDescent="0.3">
      <c r="A79" s="3" t="s">
        <v>67</v>
      </c>
      <c r="B79" s="3" t="s">
        <v>112</v>
      </c>
      <c r="C79" s="4">
        <v>0</v>
      </c>
      <c r="D79" s="4">
        <v>25</v>
      </c>
      <c r="E79" s="4">
        <v>0</v>
      </c>
      <c r="F79" s="4">
        <v>40</v>
      </c>
      <c r="G79" s="4">
        <v>25.93</v>
      </c>
      <c r="H79" s="4">
        <v>19.61</v>
      </c>
    </row>
    <row r="80" spans="1:8" x14ac:dyDescent="0.3">
      <c r="A80" s="3" t="s">
        <v>67</v>
      </c>
      <c r="B80" s="3" t="s">
        <v>113</v>
      </c>
      <c r="C80" s="4">
        <v>12.5</v>
      </c>
      <c r="D80" s="4">
        <v>0</v>
      </c>
      <c r="E80" s="4">
        <v>0</v>
      </c>
      <c r="F80" s="4">
        <v>12.5</v>
      </c>
      <c r="G80" s="4">
        <v>33.33</v>
      </c>
      <c r="H80" s="4">
        <v>21.31</v>
      </c>
    </row>
    <row r="81" spans="1:8" x14ac:dyDescent="0.3">
      <c r="A81" s="3" t="s">
        <v>67</v>
      </c>
      <c r="B81" s="3" t="s">
        <v>114</v>
      </c>
      <c r="C81" s="4">
        <v>5</v>
      </c>
      <c r="D81" s="4">
        <v>14.29</v>
      </c>
      <c r="E81" s="4">
        <v>0</v>
      </c>
      <c r="F81" s="4">
        <v>25</v>
      </c>
      <c r="G81" s="4">
        <v>19.23</v>
      </c>
      <c r="H81" s="4">
        <v>13.33</v>
      </c>
    </row>
    <row r="82" spans="1:8" x14ac:dyDescent="0.3">
      <c r="A82" s="3" t="s">
        <v>67</v>
      </c>
      <c r="B82" s="3" t="s">
        <v>115</v>
      </c>
      <c r="C82" s="4">
        <v>5.26</v>
      </c>
      <c r="D82" s="4">
        <v>0</v>
      </c>
      <c r="E82" s="4">
        <v>0</v>
      </c>
      <c r="F82" s="4">
        <v>0</v>
      </c>
      <c r="G82" s="4">
        <v>18.18</v>
      </c>
      <c r="H82" s="4">
        <v>8.6199999999999992</v>
      </c>
    </row>
    <row r="83" spans="1:8" x14ac:dyDescent="0.3">
      <c r="A83" s="3" t="s">
        <v>67</v>
      </c>
      <c r="B83" s="3" t="s">
        <v>116</v>
      </c>
      <c r="C83" s="4">
        <v>5.88</v>
      </c>
      <c r="D83" s="4">
        <v>0</v>
      </c>
      <c r="E83" s="4">
        <v>0</v>
      </c>
      <c r="F83" s="4">
        <v>12.5</v>
      </c>
      <c r="G83" s="4">
        <v>0</v>
      </c>
      <c r="H83" s="4">
        <v>3.64</v>
      </c>
    </row>
    <row r="84" spans="1:8" x14ac:dyDescent="0.3">
      <c r="A84" s="3" t="s">
        <v>67</v>
      </c>
      <c r="B84" s="3" t="s">
        <v>117</v>
      </c>
      <c r="C84" s="4">
        <v>0</v>
      </c>
      <c r="D84" s="4">
        <v>0</v>
      </c>
      <c r="E84" s="4">
        <v>0</v>
      </c>
      <c r="F84" s="4">
        <v>0</v>
      </c>
      <c r="G84" s="4">
        <v>5.88</v>
      </c>
      <c r="H84" s="4">
        <v>2.04</v>
      </c>
    </row>
    <row r="85" spans="1:8" x14ac:dyDescent="0.3">
      <c r="A85" s="3" t="s">
        <v>67</v>
      </c>
      <c r="B85" s="3" t="s">
        <v>118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3">
      <c r="A86" s="3" t="s">
        <v>67</v>
      </c>
      <c r="B86" s="3" t="s">
        <v>119</v>
      </c>
      <c r="C86" s="4">
        <v>0</v>
      </c>
      <c r="D86" s="4">
        <v>0</v>
      </c>
      <c r="E86" s="4"/>
      <c r="F86" s="4">
        <v>0</v>
      </c>
      <c r="G86" s="4">
        <v>10</v>
      </c>
      <c r="H86" s="4">
        <v>3.57</v>
      </c>
    </row>
    <row r="87" spans="1:8" x14ac:dyDescent="0.3">
      <c r="A87" s="3" t="s">
        <v>67</v>
      </c>
      <c r="B87" s="3" t="s">
        <v>120</v>
      </c>
      <c r="C87" s="4">
        <v>0</v>
      </c>
      <c r="D87" s="4">
        <v>0</v>
      </c>
      <c r="E87" s="4">
        <v>0</v>
      </c>
      <c r="F87" s="4">
        <v>0</v>
      </c>
      <c r="G87" s="4">
        <v>10</v>
      </c>
      <c r="H87" s="4">
        <v>3.03</v>
      </c>
    </row>
    <row r="88" spans="1:8" x14ac:dyDescent="0.3">
      <c r="A88" s="3" t="s">
        <v>67</v>
      </c>
      <c r="B88" s="3" t="s">
        <v>121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3">
      <c r="A89" s="3" t="s">
        <v>67</v>
      </c>
      <c r="B89" s="3" t="s">
        <v>122</v>
      </c>
      <c r="C89" s="4">
        <v>0</v>
      </c>
      <c r="D89" s="4">
        <v>0</v>
      </c>
      <c r="E89" s="4"/>
      <c r="F89" s="4">
        <v>0</v>
      </c>
      <c r="G89" s="4">
        <v>0</v>
      </c>
      <c r="H89" s="4">
        <v>0</v>
      </c>
    </row>
    <row r="90" spans="1:8" x14ac:dyDescent="0.3">
      <c r="A90" s="3" t="s">
        <v>67</v>
      </c>
      <c r="B90" s="3" t="s">
        <v>123</v>
      </c>
      <c r="C90" s="4">
        <v>0</v>
      </c>
      <c r="D90" s="4">
        <v>0</v>
      </c>
      <c r="E90" s="4">
        <v>0</v>
      </c>
      <c r="F90" s="4">
        <v>0</v>
      </c>
      <c r="G90" s="4">
        <v>23.08</v>
      </c>
      <c r="H90" s="4">
        <v>11.76</v>
      </c>
    </row>
    <row r="91" spans="1:8" x14ac:dyDescent="0.3">
      <c r="A91" s="3" t="s">
        <v>67</v>
      </c>
      <c r="B91" s="3" t="s">
        <v>124</v>
      </c>
      <c r="C91" s="4">
        <v>10.53</v>
      </c>
      <c r="D91" s="4">
        <v>40</v>
      </c>
      <c r="E91" s="4"/>
      <c r="F91" s="4">
        <v>9.09</v>
      </c>
      <c r="G91" s="4">
        <v>23.08</v>
      </c>
      <c r="H91" s="4">
        <v>16.670000000000002</v>
      </c>
    </row>
    <row r="92" spans="1:8" x14ac:dyDescent="0.3">
      <c r="A92" s="3" t="s">
        <v>67</v>
      </c>
      <c r="B92" s="3" t="s">
        <v>125</v>
      </c>
      <c r="C92" s="4">
        <v>9.09</v>
      </c>
      <c r="D92" s="4">
        <v>0</v>
      </c>
      <c r="E92" s="4"/>
      <c r="F92" s="4">
        <v>0</v>
      </c>
      <c r="G92" s="4">
        <v>0</v>
      </c>
      <c r="H92" s="4">
        <v>3.33</v>
      </c>
    </row>
    <row r="93" spans="1:8" x14ac:dyDescent="0.3">
      <c r="A93" s="3" t="s">
        <v>67</v>
      </c>
      <c r="B93" s="3" t="s">
        <v>126</v>
      </c>
      <c r="C93" s="4">
        <v>6.25</v>
      </c>
      <c r="D93" s="4">
        <v>0</v>
      </c>
      <c r="E93" s="4">
        <v>0</v>
      </c>
      <c r="F93" s="4">
        <v>0</v>
      </c>
      <c r="G93" s="4">
        <v>0</v>
      </c>
      <c r="H93" s="4">
        <v>2.08</v>
      </c>
    </row>
    <row r="94" spans="1:8" x14ac:dyDescent="0.3">
      <c r="A94" s="3" t="s">
        <v>67</v>
      </c>
      <c r="B94" s="3" t="s">
        <v>127</v>
      </c>
      <c r="C94" s="4">
        <v>5.88</v>
      </c>
      <c r="D94" s="4">
        <v>0</v>
      </c>
      <c r="E94" s="4"/>
      <c r="F94" s="4">
        <v>33.33</v>
      </c>
      <c r="G94" s="4">
        <v>8.33</v>
      </c>
      <c r="H94" s="4">
        <v>10.42</v>
      </c>
    </row>
    <row r="95" spans="1:8" x14ac:dyDescent="0.3">
      <c r="A95" s="3" t="s">
        <v>67</v>
      </c>
      <c r="B95" s="3" t="s">
        <v>128</v>
      </c>
      <c r="C95" s="4">
        <v>12.5</v>
      </c>
      <c r="D95" s="4">
        <v>50</v>
      </c>
      <c r="E95" s="4">
        <v>0</v>
      </c>
      <c r="F95" s="4">
        <v>50</v>
      </c>
      <c r="G95" s="4">
        <v>26.09</v>
      </c>
      <c r="H95" s="4">
        <v>25.45</v>
      </c>
    </row>
    <row r="96" spans="1:8" x14ac:dyDescent="0.3">
      <c r="A96" s="3" t="s">
        <v>67</v>
      </c>
      <c r="B96" s="3" t="s">
        <v>129</v>
      </c>
      <c r="C96" s="4">
        <v>25</v>
      </c>
      <c r="D96" s="4">
        <v>33.33</v>
      </c>
      <c r="E96" s="4"/>
      <c r="F96" s="4">
        <v>30</v>
      </c>
      <c r="G96" s="4">
        <v>25</v>
      </c>
      <c r="H96" s="4">
        <v>26.53</v>
      </c>
    </row>
    <row r="97" spans="1:8" x14ac:dyDescent="0.3">
      <c r="A97" s="3" t="s">
        <v>67</v>
      </c>
      <c r="B97" s="3" t="s">
        <v>130</v>
      </c>
      <c r="C97" s="4">
        <v>10</v>
      </c>
      <c r="D97" s="4">
        <v>50</v>
      </c>
      <c r="E97" s="4"/>
      <c r="F97" s="4">
        <v>0</v>
      </c>
      <c r="G97" s="4">
        <v>35.479999999999997</v>
      </c>
      <c r="H97" s="4">
        <v>28.26</v>
      </c>
    </row>
    <row r="98" spans="1:8" x14ac:dyDescent="0.3">
      <c r="A98" s="3" t="s">
        <v>67</v>
      </c>
      <c r="B98" s="3" t="s">
        <v>131</v>
      </c>
      <c r="C98" s="4">
        <v>28.57</v>
      </c>
      <c r="D98" s="4">
        <v>66.67</v>
      </c>
      <c r="E98" s="4">
        <v>0</v>
      </c>
      <c r="F98" s="4">
        <v>40</v>
      </c>
      <c r="G98" s="4">
        <v>39.29</v>
      </c>
      <c r="H98" s="4">
        <v>38.89</v>
      </c>
    </row>
    <row r="99" spans="1:8" x14ac:dyDescent="0.3">
      <c r="A99" s="3" t="s">
        <v>67</v>
      </c>
      <c r="B99" s="3" t="s">
        <v>132</v>
      </c>
      <c r="C99" s="4">
        <v>14.29</v>
      </c>
      <c r="D99" s="4">
        <v>50</v>
      </c>
      <c r="E99" s="4">
        <v>100</v>
      </c>
      <c r="F99" s="4">
        <v>36.36</v>
      </c>
      <c r="G99" s="4">
        <v>14.29</v>
      </c>
      <c r="H99" s="4">
        <v>23.81</v>
      </c>
    </row>
    <row r="100" spans="1:8" x14ac:dyDescent="0.3">
      <c r="A100" s="3" t="s">
        <v>67</v>
      </c>
      <c r="B100" s="3" t="s">
        <v>133</v>
      </c>
      <c r="C100" s="4">
        <v>20</v>
      </c>
      <c r="D100" s="4">
        <v>0</v>
      </c>
      <c r="E100" s="4">
        <v>0</v>
      </c>
      <c r="F100" s="4">
        <v>40</v>
      </c>
      <c r="G100" s="4">
        <v>21.05</v>
      </c>
      <c r="H100" s="4">
        <v>21.21</v>
      </c>
    </row>
    <row r="101" spans="1:8" x14ac:dyDescent="0.3">
      <c r="A101" s="3" t="s">
        <v>67</v>
      </c>
      <c r="B101" s="3" t="s">
        <v>134</v>
      </c>
      <c r="C101" s="4">
        <v>22.22</v>
      </c>
      <c r="D101" s="4"/>
      <c r="E101" s="4">
        <v>0</v>
      </c>
      <c r="F101" s="4">
        <v>44.44</v>
      </c>
      <c r="G101" s="4">
        <v>28.57</v>
      </c>
      <c r="H101" s="4">
        <v>30</v>
      </c>
    </row>
    <row r="102" spans="1:8" x14ac:dyDescent="0.3">
      <c r="A102" s="3" t="s">
        <v>67</v>
      </c>
      <c r="B102" s="3" t="s">
        <v>135</v>
      </c>
      <c r="C102" s="4">
        <v>23.08</v>
      </c>
      <c r="D102" s="4">
        <v>25</v>
      </c>
      <c r="E102" s="4">
        <v>0</v>
      </c>
      <c r="F102" s="4">
        <v>0</v>
      </c>
      <c r="G102" s="4">
        <v>14.29</v>
      </c>
      <c r="H102" s="4">
        <v>14.58</v>
      </c>
    </row>
    <row r="103" spans="1:8" x14ac:dyDescent="0.3">
      <c r="A103" s="3" t="s">
        <v>67</v>
      </c>
      <c r="B103" s="3" t="s">
        <v>136</v>
      </c>
      <c r="C103" s="4">
        <v>8.33</v>
      </c>
      <c r="D103" s="4">
        <v>0</v>
      </c>
      <c r="E103" s="4">
        <v>50</v>
      </c>
      <c r="F103" s="4">
        <v>0</v>
      </c>
      <c r="G103" s="4">
        <v>5.88</v>
      </c>
      <c r="H103" s="4">
        <v>8.33</v>
      </c>
    </row>
    <row r="104" spans="1:8" x14ac:dyDescent="0.3">
      <c r="A104" s="3" t="s">
        <v>67</v>
      </c>
      <c r="B104" s="3" t="s">
        <v>137</v>
      </c>
      <c r="C104" s="4">
        <v>14.29</v>
      </c>
      <c r="D104" s="4">
        <v>0</v>
      </c>
      <c r="E104" s="4">
        <v>0</v>
      </c>
      <c r="F104" s="4">
        <v>0</v>
      </c>
      <c r="G104" s="4">
        <v>0</v>
      </c>
      <c r="H104" s="4">
        <v>4.3499999999999996</v>
      </c>
    </row>
    <row r="105" spans="1:8" x14ac:dyDescent="0.3">
      <c r="A105" s="3" t="s">
        <v>67</v>
      </c>
      <c r="B105" s="3" t="s">
        <v>138</v>
      </c>
      <c r="C105" s="4">
        <v>25</v>
      </c>
      <c r="D105" s="4">
        <v>0</v>
      </c>
      <c r="E105" s="4"/>
      <c r="F105" s="4">
        <v>0</v>
      </c>
      <c r="G105" s="4">
        <v>10.71</v>
      </c>
      <c r="H105" s="4">
        <v>12.5</v>
      </c>
    </row>
    <row r="106" spans="1:8" x14ac:dyDescent="0.3">
      <c r="A106" s="3" t="s">
        <v>67</v>
      </c>
      <c r="B106" s="3" t="s">
        <v>139</v>
      </c>
      <c r="C106" s="4">
        <v>18.18</v>
      </c>
      <c r="D106" s="4"/>
      <c r="E106" s="4">
        <v>0</v>
      </c>
      <c r="F106" s="4">
        <v>0</v>
      </c>
      <c r="G106" s="4">
        <v>13.33</v>
      </c>
      <c r="H106" s="4">
        <v>12.12</v>
      </c>
    </row>
    <row r="107" spans="1:8" x14ac:dyDescent="0.3">
      <c r="A107" s="3" t="s">
        <v>67</v>
      </c>
      <c r="B107" s="3" t="s">
        <v>140</v>
      </c>
      <c r="C107" s="4">
        <v>18.18</v>
      </c>
      <c r="D107" s="4">
        <v>33.33</v>
      </c>
      <c r="E107" s="4">
        <v>0</v>
      </c>
      <c r="F107" s="4">
        <v>14.29</v>
      </c>
      <c r="G107" s="4">
        <v>32</v>
      </c>
      <c r="H107" s="4">
        <v>24.59</v>
      </c>
    </row>
    <row r="108" spans="1:8" x14ac:dyDescent="0.3">
      <c r="A108" s="3" t="s">
        <v>67</v>
      </c>
      <c r="B108" s="3" t="s">
        <v>141</v>
      </c>
      <c r="C108" s="4">
        <v>10</v>
      </c>
      <c r="D108" s="4">
        <v>40</v>
      </c>
      <c r="E108" s="4">
        <v>100</v>
      </c>
      <c r="F108" s="4">
        <v>25</v>
      </c>
      <c r="G108" s="4">
        <v>9.09</v>
      </c>
      <c r="H108" s="4">
        <v>19.350000000000001</v>
      </c>
    </row>
    <row r="109" spans="1:8" x14ac:dyDescent="0.3">
      <c r="A109" s="3" t="s">
        <v>67</v>
      </c>
      <c r="B109" s="3" t="s">
        <v>142</v>
      </c>
      <c r="C109" s="4">
        <v>7.69</v>
      </c>
      <c r="D109" s="4">
        <v>0</v>
      </c>
      <c r="E109" s="4">
        <v>0</v>
      </c>
      <c r="F109" s="4">
        <v>0</v>
      </c>
      <c r="G109" s="4">
        <v>17.649999999999999</v>
      </c>
      <c r="H109" s="4">
        <v>11.76</v>
      </c>
    </row>
    <row r="110" spans="1:8" x14ac:dyDescent="0.3">
      <c r="A110" s="3" t="s">
        <v>67</v>
      </c>
      <c r="B110" s="3" t="s">
        <v>143</v>
      </c>
      <c r="C110" s="4">
        <v>25</v>
      </c>
      <c r="D110" s="4">
        <v>0</v>
      </c>
      <c r="E110" s="4">
        <v>0</v>
      </c>
      <c r="F110" s="4">
        <v>0</v>
      </c>
      <c r="G110" s="4">
        <v>6.25</v>
      </c>
      <c r="H110" s="4">
        <v>9.09</v>
      </c>
    </row>
    <row r="111" spans="1:8" x14ac:dyDescent="0.3">
      <c r="A111" s="3" t="s">
        <v>67</v>
      </c>
      <c r="B111" s="3" t="s">
        <v>144</v>
      </c>
      <c r="C111" s="4">
        <v>14.29</v>
      </c>
      <c r="D111" s="4">
        <v>0</v>
      </c>
      <c r="E111" s="4">
        <v>0</v>
      </c>
      <c r="F111" s="4">
        <v>50</v>
      </c>
      <c r="G111" s="4">
        <v>4.3499999999999996</v>
      </c>
      <c r="H111" s="4">
        <v>8.57</v>
      </c>
    </row>
    <row r="112" spans="1:8" x14ac:dyDescent="0.3">
      <c r="A112" s="3" t="s">
        <v>67</v>
      </c>
      <c r="B112" s="3" t="s">
        <v>145</v>
      </c>
      <c r="C112" s="4">
        <v>9.09</v>
      </c>
      <c r="D112" s="4">
        <v>0</v>
      </c>
      <c r="E112" s="4"/>
      <c r="F112" s="4">
        <v>0</v>
      </c>
      <c r="G112" s="4">
        <v>14.29</v>
      </c>
      <c r="H112" s="4">
        <v>10</v>
      </c>
    </row>
    <row r="113" spans="1:8" x14ac:dyDescent="0.3">
      <c r="A113" s="3" t="s">
        <v>67</v>
      </c>
      <c r="B113" s="3" t="s">
        <v>146</v>
      </c>
      <c r="C113" s="4">
        <v>25</v>
      </c>
      <c r="D113" s="4">
        <v>60</v>
      </c>
      <c r="E113" s="4">
        <v>0</v>
      </c>
      <c r="F113" s="4">
        <v>42.86</v>
      </c>
      <c r="G113" s="4">
        <v>19.05</v>
      </c>
      <c r="H113" s="4">
        <v>28.26</v>
      </c>
    </row>
    <row r="114" spans="1:8" x14ac:dyDescent="0.3">
      <c r="A114" s="3" t="s">
        <v>67</v>
      </c>
      <c r="B114" s="3" t="s">
        <v>147</v>
      </c>
      <c r="C114" s="4">
        <v>0</v>
      </c>
      <c r="D114" s="4">
        <v>66.67</v>
      </c>
      <c r="E114" s="4">
        <v>0</v>
      </c>
      <c r="F114" s="4">
        <v>60</v>
      </c>
      <c r="G114" s="4">
        <v>25</v>
      </c>
      <c r="H114" s="4">
        <v>25</v>
      </c>
    </row>
    <row r="115" spans="1:8" x14ac:dyDescent="0.3">
      <c r="A115" s="3" t="s">
        <v>67</v>
      </c>
      <c r="B115" s="3" t="s">
        <v>148</v>
      </c>
      <c r="C115" s="4">
        <v>12.5</v>
      </c>
      <c r="D115" s="4">
        <v>22.22</v>
      </c>
      <c r="E115" s="4">
        <v>50</v>
      </c>
      <c r="F115" s="4">
        <v>25</v>
      </c>
      <c r="G115" s="4">
        <v>9.09</v>
      </c>
      <c r="H115" s="4">
        <v>15.09</v>
      </c>
    </row>
    <row r="116" spans="1:8" x14ac:dyDescent="0.3">
      <c r="A116" s="3" t="s">
        <v>67</v>
      </c>
      <c r="B116" s="3" t="s">
        <v>149</v>
      </c>
      <c r="C116" s="4">
        <v>44.83</v>
      </c>
      <c r="D116" s="4">
        <v>50</v>
      </c>
      <c r="E116" s="4">
        <v>100</v>
      </c>
      <c r="F116" s="4">
        <v>14.29</v>
      </c>
      <c r="G116" s="4">
        <v>26.32</v>
      </c>
      <c r="H116" s="4">
        <v>35</v>
      </c>
    </row>
    <row r="117" spans="1:8" x14ac:dyDescent="0.3">
      <c r="A117" s="3" t="s">
        <v>67</v>
      </c>
      <c r="B117" s="3" t="s">
        <v>150</v>
      </c>
      <c r="C117" s="4">
        <v>29.63</v>
      </c>
      <c r="D117" s="4">
        <v>50</v>
      </c>
      <c r="E117" s="4"/>
      <c r="F117" s="4">
        <v>25</v>
      </c>
      <c r="G117" s="4">
        <v>63.46</v>
      </c>
      <c r="H117" s="4">
        <v>47.42</v>
      </c>
    </row>
    <row r="118" spans="1:8" x14ac:dyDescent="0.3">
      <c r="A118" s="3" t="s">
        <v>67</v>
      </c>
      <c r="B118" s="3" t="s">
        <v>151</v>
      </c>
      <c r="C118" s="4">
        <v>41.67</v>
      </c>
      <c r="D118" s="4">
        <v>100</v>
      </c>
      <c r="E118" s="4">
        <v>100</v>
      </c>
      <c r="F118" s="4">
        <v>50</v>
      </c>
      <c r="G118" s="4">
        <v>53.73</v>
      </c>
      <c r="H118" s="4">
        <v>51.49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H118"/>
  <sheetViews>
    <sheetView tabSelected="1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F1" sqref="F1"/>
    </sheetView>
  </sheetViews>
  <sheetFormatPr defaultColWidth="8.88671875" defaultRowHeight="14.4" x14ac:dyDescent="0.3"/>
  <cols>
    <col min="1" max="1" width="8.88671875" style="2"/>
    <col min="2" max="2" width="16.88671875" style="2" customWidth="1"/>
    <col min="3" max="3" width="11.44140625" style="2" bestFit="1" customWidth="1"/>
    <col min="4" max="4" width="12.44140625" style="2" bestFit="1" customWidth="1"/>
    <col min="5" max="6" width="13.5546875" style="2" bestFit="1" customWidth="1"/>
    <col min="7" max="7" width="11.44140625" style="2" bestFit="1" customWidth="1"/>
    <col min="8" max="8" width="16.6640625" style="2" customWidth="1"/>
    <col min="9" max="16384" width="8.88671875" style="2"/>
  </cols>
  <sheetData>
    <row r="1" spans="1:8" x14ac:dyDescent="0.3">
      <c r="A1" s="21" t="s">
        <v>66</v>
      </c>
      <c r="B1" s="5" t="s">
        <v>65</v>
      </c>
      <c r="C1" s="1" t="s">
        <v>81</v>
      </c>
      <c r="D1" s="10" t="s">
        <v>82</v>
      </c>
      <c r="E1" s="1" t="s">
        <v>83</v>
      </c>
      <c r="F1" s="1" t="s">
        <v>84</v>
      </c>
      <c r="G1" s="1" t="s">
        <v>157</v>
      </c>
      <c r="H1" s="1" t="s">
        <v>85</v>
      </c>
    </row>
    <row r="2" spans="1:8" x14ac:dyDescent="0.3">
      <c r="A2" s="3" t="s">
        <v>67</v>
      </c>
      <c r="B2" s="3" t="s">
        <v>0</v>
      </c>
      <c r="C2" s="4">
        <v>61.54</v>
      </c>
      <c r="D2" s="4">
        <v>0</v>
      </c>
      <c r="E2" s="4">
        <v>0</v>
      </c>
      <c r="F2" s="4">
        <v>0</v>
      </c>
      <c r="G2" s="4">
        <v>0</v>
      </c>
      <c r="H2" s="4">
        <v>28.57</v>
      </c>
    </row>
    <row r="3" spans="1:8" x14ac:dyDescent="0.3">
      <c r="A3" s="3" t="s">
        <v>67</v>
      </c>
      <c r="B3" s="3" t="s">
        <v>1</v>
      </c>
      <c r="C3" s="4">
        <v>16.670000000000002</v>
      </c>
      <c r="D3" s="4">
        <v>0</v>
      </c>
      <c r="E3" s="4"/>
      <c r="F3" s="4">
        <v>0</v>
      </c>
      <c r="G3" s="4">
        <v>0</v>
      </c>
      <c r="H3" s="4">
        <v>5.56</v>
      </c>
    </row>
    <row r="4" spans="1:8" x14ac:dyDescent="0.3">
      <c r="A4" s="3" t="s">
        <v>67</v>
      </c>
      <c r="B4" s="3" t="s">
        <v>2</v>
      </c>
      <c r="C4" s="4">
        <v>47.06</v>
      </c>
      <c r="D4" s="4">
        <v>0</v>
      </c>
      <c r="E4" s="4">
        <v>0</v>
      </c>
      <c r="F4" s="4">
        <v>25</v>
      </c>
      <c r="G4" s="4">
        <v>6.25</v>
      </c>
      <c r="H4" s="4">
        <v>25</v>
      </c>
    </row>
    <row r="5" spans="1:8" x14ac:dyDescent="0.3">
      <c r="A5" s="3" t="s">
        <v>67</v>
      </c>
      <c r="B5" s="3" t="s">
        <v>3</v>
      </c>
      <c r="C5" s="4">
        <v>28</v>
      </c>
      <c r="D5" s="4">
        <v>0</v>
      </c>
      <c r="E5" s="4">
        <v>0</v>
      </c>
      <c r="F5" s="4">
        <v>0</v>
      </c>
      <c r="G5" s="4">
        <v>0</v>
      </c>
      <c r="H5" s="4">
        <v>16.28</v>
      </c>
    </row>
    <row r="6" spans="1:8" x14ac:dyDescent="0.3">
      <c r="A6" s="3" t="s">
        <v>67</v>
      </c>
      <c r="B6" s="3" t="s">
        <v>4</v>
      </c>
      <c r="C6" s="4">
        <v>80.77</v>
      </c>
      <c r="D6" s="4">
        <v>0</v>
      </c>
      <c r="E6" s="4"/>
      <c r="F6" s="4">
        <v>0</v>
      </c>
      <c r="G6" s="4">
        <v>0</v>
      </c>
      <c r="H6" s="4">
        <v>50</v>
      </c>
    </row>
    <row r="7" spans="1:8" x14ac:dyDescent="0.3">
      <c r="A7" s="3" t="s">
        <v>67</v>
      </c>
      <c r="B7" s="3" t="s">
        <v>5</v>
      </c>
      <c r="C7" s="4">
        <v>42.86</v>
      </c>
      <c r="D7" s="4">
        <v>0</v>
      </c>
      <c r="E7" s="4"/>
      <c r="F7" s="4">
        <v>25</v>
      </c>
      <c r="G7" s="4">
        <v>0</v>
      </c>
      <c r="H7" s="4">
        <v>18.920000000000002</v>
      </c>
    </row>
    <row r="8" spans="1:8" x14ac:dyDescent="0.3">
      <c r="A8" s="3" t="s">
        <v>67</v>
      </c>
      <c r="B8" s="3" t="s">
        <v>6</v>
      </c>
      <c r="C8" s="4">
        <v>70.59</v>
      </c>
      <c r="D8" s="4">
        <v>50</v>
      </c>
      <c r="E8" s="4"/>
      <c r="F8" s="4">
        <v>0</v>
      </c>
      <c r="G8" s="4">
        <v>7.14</v>
      </c>
      <c r="H8" s="4">
        <v>33.33</v>
      </c>
    </row>
    <row r="9" spans="1:8" x14ac:dyDescent="0.3">
      <c r="A9" s="3" t="s">
        <v>67</v>
      </c>
      <c r="B9" s="3" t="s">
        <v>7</v>
      </c>
      <c r="C9" s="4">
        <v>61.54</v>
      </c>
      <c r="D9" s="4">
        <v>0</v>
      </c>
      <c r="E9" s="4">
        <v>0</v>
      </c>
      <c r="F9" s="4">
        <v>0</v>
      </c>
      <c r="G9" s="4">
        <v>11.76</v>
      </c>
      <c r="H9" s="4">
        <v>27.78</v>
      </c>
    </row>
    <row r="10" spans="1:8" x14ac:dyDescent="0.3">
      <c r="A10" s="3" t="s">
        <v>67</v>
      </c>
      <c r="B10" s="3" t="s">
        <v>8</v>
      </c>
      <c r="C10" s="4">
        <v>50</v>
      </c>
      <c r="D10" s="4">
        <v>25</v>
      </c>
      <c r="E10" s="4">
        <v>0</v>
      </c>
      <c r="F10" s="4">
        <v>0</v>
      </c>
      <c r="G10" s="4">
        <v>0</v>
      </c>
      <c r="H10" s="4">
        <v>16.22</v>
      </c>
    </row>
    <row r="11" spans="1:8" x14ac:dyDescent="0.3">
      <c r="A11" s="3" t="s">
        <v>67</v>
      </c>
      <c r="B11" s="3" t="s">
        <v>9</v>
      </c>
      <c r="C11" s="4">
        <v>33.33</v>
      </c>
      <c r="D11" s="4">
        <v>0</v>
      </c>
      <c r="E11" s="4">
        <v>0</v>
      </c>
      <c r="F11" s="4">
        <v>0</v>
      </c>
      <c r="G11" s="4">
        <v>4.76</v>
      </c>
      <c r="H11" s="4">
        <v>17.309999999999999</v>
      </c>
    </row>
    <row r="12" spans="1:8" x14ac:dyDescent="0.3">
      <c r="A12" s="3" t="s">
        <v>67</v>
      </c>
      <c r="B12" s="3" t="s">
        <v>10</v>
      </c>
      <c r="C12" s="4">
        <v>35.71</v>
      </c>
      <c r="D12" s="4">
        <v>20</v>
      </c>
      <c r="E12" s="4">
        <v>0</v>
      </c>
      <c r="F12" s="4">
        <v>30</v>
      </c>
      <c r="G12" s="4">
        <v>7.14</v>
      </c>
      <c r="H12" s="4">
        <v>18.64</v>
      </c>
    </row>
    <row r="13" spans="1:8" x14ac:dyDescent="0.3">
      <c r="A13" s="3" t="s">
        <v>67</v>
      </c>
      <c r="B13" s="3" t="s">
        <v>11</v>
      </c>
      <c r="C13" s="4">
        <v>52.63</v>
      </c>
      <c r="D13" s="4">
        <v>0</v>
      </c>
      <c r="E13" s="4">
        <v>0</v>
      </c>
      <c r="F13" s="4">
        <v>0</v>
      </c>
      <c r="G13" s="4">
        <v>0</v>
      </c>
      <c r="H13" s="4">
        <v>17.239999999999998</v>
      </c>
    </row>
    <row r="14" spans="1:8" x14ac:dyDescent="0.3">
      <c r="A14" s="3" t="s">
        <v>67</v>
      </c>
      <c r="B14" s="3" t="s">
        <v>12</v>
      </c>
      <c r="C14" s="4">
        <v>41.67</v>
      </c>
      <c r="D14" s="4">
        <v>14.29</v>
      </c>
      <c r="E14" s="4"/>
      <c r="F14" s="4">
        <v>0</v>
      </c>
      <c r="G14" s="4">
        <v>0</v>
      </c>
      <c r="H14" s="4">
        <v>10.53</v>
      </c>
    </row>
    <row r="15" spans="1:8" x14ac:dyDescent="0.3">
      <c r="A15" s="3" t="s">
        <v>67</v>
      </c>
      <c r="B15" s="3" t="s">
        <v>13</v>
      </c>
      <c r="C15" s="4">
        <v>36.36</v>
      </c>
      <c r="D15" s="4">
        <v>0</v>
      </c>
      <c r="E15" s="4"/>
      <c r="F15" s="4">
        <v>0</v>
      </c>
      <c r="G15" s="4">
        <v>6.45</v>
      </c>
      <c r="H15" s="4">
        <v>10.17</v>
      </c>
    </row>
    <row r="16" spans="1:8" x14ac:dyDescent="0.3">
      <c r="A16" s="3" t="s">
        <v>67</v>
      </c>
      <c r="B16" s="3" t="s">
        <v>14</v>
      </c>
      <c r="C16" s="4">
        <v>16.670000000000002</v>
      </c>
      <c r="D16" s="4">
        <v>0</v>
      </c>
      <c r="E16" s="4">
        <v>0</v>
      </c>
      <c r="F16" s="4">
        <v>0</v>
      </c>
      <c r="G16" s="4">
        <v>3.03</v>
      </c>
      <c r="H16" s="4">
        <v>5.17</v>
      </c>
    </row>
    <row r="17" spans="1:8" x14ac:dyDescent="0.3">
      <c r="A17" s="3" t="s">
        <v>67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4">
        <v>3.45</v>
      </c>
      <c r="H17" s="4">
        <v>6.78</v>
      </c>
    </row>
    <row r="18" spans="1:8" x14ac:dyDescent="0.3">
      <c r="A18" s="3" t="s">
        <v>67</v>
      </c>
      <c r="B18" s="3" t="s">
        <v>16</v>
      </c>
      <c r="C18" s="4">
        <v>20.83</v>
      </c>
      <c r="D18" s="4">
        <v>0</v>
      </c>
      <c r="E18" s="4">
        <v>0</v>
      </c>
      <c r="F18" s="4">
        <v>0</v>
      </c>
      <c r="G18" s="4">
        <v>4.76</v>
      </c>
      <c r="H18" s="4">
        <v>10</v>
      </c>
    </row>
    <row r="19" spans="1:8" x14ac:dyDescent="0.3">
      <c r="A19" s="3" t="s">
        <v>67</v>
      </c>
      <c r="B19" s="3" t="s">
        <v>17</v>
      </c>
      <c r="C19" s="4">
        <v>27.27</v>
      </c>
      <c r="D19" s="4">
        <v>0</v>
      </c>
      <c r="E19" s="4"/>
      <c r="F19" s="4">
        <v>0</v>
      </c>
      <c r="G19" s="4">
        <v>0</v>
      </c>
      <c r="H19" s="4">
        <v>7.69</v>
      </c>
    </row>
    <row r="20" spans="1:8" x14ac:dyDescent="0.3">
      <c r="A20" s="3" t="s">
        <v>67</v>
      </c>
      <c r="B20" s="3" t="s">
        <v>18</v>
      </c>
      <c r="C20" s="4">
        <v>9.52</v>
      </c>
      <c r="D20" s="4">
        <v>20</v>
      </c>
      <c r="E20" s="4">
        <v>0</v>
      </c>
      <c r="F20" s="4">
        <v>0</v>
      </c>
      <c r="G20" s="4">
        <v>3.57</v>
      </c>
      <c r="H20" s="4">
        <v>6.25</v>
      </c>
    </row>
    <row r="21" spans="1:8" x14ac:dyDescent="0.3">
      <c r="A21" s="3" t="s">
        <v>67</v>
      </c>
      <c r="B21" s="3" t="s">
        <v>19</v>
      </c>
      <c r="C21" s="4">
        <v>0</v>
      </c>
      <c r="D21" s="4">
        <v>0</v>
      </c>
      <c r="E21" s="4">
        <v>0</v>
      </c>
      <c r="F21" s="4">
        <v>0</v>
      </c>
      <c r="G21" s="4">
        <v>4.17</v>
      </c>
      <c r="H21" s="4">
        <v>1.89</v>
      </c>
    </row>
    <row r="22" spans="1:8" x14ac:dyDescent="0.3">
      <c r="A22" s="3" t="s">
        <v>67</v>
      </c>
      <c r="B22" s="3" t="s">
        <v>20</v>
      </c>
      <c r="C22" s="4">
        <v>8.6999999999999993</v>
      </c>
      <c r="D22" s="4">
        <v>0</v>
      </c>
      <c r="E22" s="4">
        <v>0</v>
      </c>
      <c r="F22" s="4">
        <v>0</v>
      </c>
      <c r="G22" s="4">
        <v>0</v>
      </c>
      <c r="H22" s="4">
        <v>4.08</v>
      </c>
    </row>
    <row r="23" spans="1:8" x14ac:dyDescent="0.3">
      <c r="A23" s="3" t="s">
        <v>67</v>
      </c>
      <c r="B23" s="3" t="s">
        <v>21</v>
      </c>
      <c r="C23" s="4">
        <v>0</v>
      </c>
      <c r="D23" s="4">
        <v>0</v>
      </c>
      <c r="E23" s="4"/>
      <c r="F23" s="4">
        <v>14.29</v>
      </c>
      <c r="G23" s="4">
        <v>0</v>
      </c>
      <c r="H23" s="4">
        <v>2.56</v>
      </c>
    </row>
    <row r="24" spans="1:8" x14ac:dyDescent="0.3">
      <c r="A24" s="3" t="s">
        <v>67</v>
      </c>
      <c r="B24" s="3" t="s">
        <v>22</v>
      </c>
      <c r="C24" s="4">
        <v>6.67</v>
      </c>
      <c r="D24" s="4">
        <v>0</v>
      </c>
      <c r="E24" s="4">
        <v>0</v>
      </c>
      <c r="F24" s="4">
        <v>0</v>
      </c>
      <c r="G24" s="4">
        <v>0</v>
      </c>
      <c r="H24" s="4">
        <v>2.5</v>
      </c>
    </row>
    <row r="25" spans="1:8" x14ac:dyDescent="0.3">
      <c r="A25" s="3" t="s">
        <v>67</v>
      </c>
      <c r="B25" s="3" t="s">
        <v>23</v>
      </c>
      <c r="C25" s="4">
        <v>0</v>
      </c>
      <c r="D25" s="4">
        <v>0</v>
      </c>
      <c r="E25" s="4"/>
      <c r="F25" s="4">
        <v>0</v>
      </c>
      <c r="G25" s="4">
        <v>0</v>
      </c>
      <c r="H25" s="4">
        <v>0</v>
      </c>
    </row>
    <row r="26" spans="1:8" x14ac:dyDescent="0.3">
      <c r="A26" s="3" t="s">
        <v>67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3" t="s">
        <v>67</v>
      </c>
      <c r="B27" s="3" t="s">
        <v>25</v>
      </c>
      <c r="C27" s="4">
        <v>0</v>
      </c>
      <c r="D27" s="4">
        <v>0</v>
      </c>
      <c r="E27" s="4"/>
      <c r="F27" s="4">
        <v>0</v>
      </c>
      <c r="G27" s="4">
        <v>0</v>
      </c>
      <c r="H27" s="4">
        <v>0</v>
      </c>
    </row>
    <row r="28" spans="1:8" x14ac:dyDescent="0.3">
      <c r="A28" s="3" t="s">
        <v>67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3" t="s">
        <v>67</v>
      </c>
      <c r="B29" s="3" t="s">
        <v>27</v>
      </c>
      <c r="C29" s="4">
        <v>6.25</v>
      </c>
      <c r="D29" s="4">
        <v>0</v>
      </c>
      <c r="E29" s="4"/>
      <c r="F29" s="4">
        <v>0</v>
      </c>
      <c r="G29" s="4">
        <v>0</v>
      </c>
      <c r="H29" s="4">
        <v>2.38</v>
      </c>
    </row>
    <row r="30" spans="1:8" x14ac:dyDescent="0.3">
      <c r="A30" s="3" t="s">
        <v>67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3" t="s">
        <v>67</v>
      </c>
      <c r="B31" s="3" t="s">
        <v>29</v>
      </c>
      <c r="C31" s="4">
        <v>4.76</v>
      </c>
      <c r="D31" s="4">
        <v>0</v>
      </c>
      <c r="E31" s="4">
        <v>0</v>
      </c>
      <c r="F31" s="4">
        <v>0</v>
      </c>
      <c r="G31" s="4">
        <v>0</v>
      </c>
      <c r="H31" s="4">
        <v>1.96</v>
      </c>
    </row>
    <row r="32" spans="1:8" x14ac:dyDescent="0.3">
      <c r="A32" s="3" t="s">
        <v>67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3" t="s">
        <v>67</v>
      </c>
      <c r="B33" s="3" t="s">
        <v>31</v>
      </c>
      <c r="C33" s="4">
        <v>22.22</v>
      </c>
      <c r="D33" s="4">
        <v>0</v>
      </c>
      <c r="E33" s="4">
        <v>0</v>
      </c>
      <c r="F33" s="4">
        <v>0</v>
      </c>
      <c r="G33" s="4">
        <v>0</v>
      </c>
      <c r="H33" s="4">
        <v>5.56</v>
      </c>
    </row>
    <row r="34" spans="1:8" x14ac:dyDescent="0.3">
      <c r="A34" s="3" t="s">
        <v>67</v>
      </c>
      <c r="B34" s="3" t="s">
        <v>32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">
      <c r="A35" s="3" t="s">
        <v>67</v>
      </c>
      <c r="B35" s="3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3">
      <c r="A36" s="3" t="s">
        <v>67</v>
      </c>
      <c r="B36" s="3" t="s">
        <v>34</v>
      </c>
      <c r="C36" s="4">
        <v>0</v>
      </c>
      <c r="D36" s="4">
        <v>0</v>
      </c>
      <c r="E36" s="4"/>
      <c r="F36" s="4">
        <v>0</v>
      </c>
      <c r="G36" s="4">
        <v>0</v>
      </c>
      <c r="H36" s="4">
        <v>0</v>
      </c>
    </row>
    <row r="37" spans="1:8" x14ac:dyDescent="0.3">
      <c r="A37" s="3" t="s">
        <v>67</v>
      </c>
      <c r="B37" s="3" t="s">
        <v>35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3" t="s">
        <v>67</v>
      </c>
      <c r="B38" s="3" t="s">
        <v>36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3">
      <c r="A39" s="3" t="s">
        <v>67</v>
      </c>
      <c r="B39" s="3" t="s">
        <v>37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3">
      <c r="A40" s="3" t="s">
        <v>67</v>
      </c>
      <c r="B40" s="3" t="s">
        <v>38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">
      <c r="A41" s="3" t="s">
        <v>67</v>
      </c>
      <c r="B41" s="3" t="s">
        <v>39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3">
      <c r="A42" s="3" t="s">
        <v>67</v>
      </c>
      <c r="B42" s="3" t="s">
        <v>40</v>
      </c>
      <c r="C42" s="4">
        <v>0</v>
      </c>
      <c r="D42" s="4">
        <v>0</v>
      </c>
      <c r="E42" s="4"/>
      <c r="F42" s="4">
        <v>0</v>
      </c>
      <c r="G42" s="4">
        <v>0</v>
      </c>
      <c r="H42" s="4">
        <v>0</v>
      </c>
    </row>
    <row r="43" spans="1:8" x14ac:dyDescent="0.3">
      <c r="A43" s="3" t="s">
        <v>67</v>
      </c>
      <c r="B43" s="3" t="s">
        <v>41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3">
      <c r="A44" s="3" t="s">
        <v>67</v>
      </c>
      <c r="B44" s="3" t="s">
        <v>42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">
      <c r="A45" s="3" t="s">
        <v>67</v>
      </c>
      <c r="B45" s="3" t="s">
        <v>43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3">
      <c r="A46" s="3" t="s">
        <v>67</v>
      </c>
      <c r="B46" s="3" t="s">
        <v>44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3">
      <c r="A47" s="3" t="s">
        <v>67</v>
      </c>
      <c r="B47" s="3" t="s">
        <v>45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3">
      <c r="A48" s="3" t="s">
        <v>67</v>
      </c>
      <c r="B48" s="3" t="s">
        <v>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3" t="s">
        <v>67</v>
      </c>
      <c r="B49" s="3" t="s">
        <v>47</v>
      </c>
      <c r="C49" s="4">
        <v>7.69</v>
      </c>
      <c r="D49" s="4">
        <v>0</v>
      </c>
      <c r="E49" s="4">
        <v>0</v>
      </c>
      <c r="F49" s="4">
        <v>0</v>
      </c>
      <c r="G49" s="4">
        <v>0</v>
      </c>
      <c r="H49" s="4">
        <v>1.52</v>
      </c>
    </row>
    <row r="50" spans="1:8" x14ac:dyDescent="0.3">
      <c r="A50" s="3" t="s">
        <v>67</v>
      </c>
      <c r="B50" s="3" t="s">
        <v>48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">
      <c r="A51" s="3" t="s">
        <v>67</v>
      </c>
      <c r="B51" s="3" t="s">
        <v>49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3">
      <c r="A52" s="3" t="s">
        <v>67</v>
      </c>
      <c r="B52" s="3" t="s">
        <v>50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">
      <c r="A53" s="3" t="s">
        <v>67</v>
      </c>
      <c r="B53" s="3" t="s">
        <v>51</v>
      </c>
      <c r="C53" s="4">
        <v>0</v>
      </c>
      <c r="D53" s="4"/>
      <c r="E53" s="4">
        <v>0</v>
      </c>
      <c r="F53" s="4">
        <v>0</v>
      </c>
      <c r="G53" s="4">
        <v>0</v>
      </c>
      <c r="H53" s="4">
        <v>0</v>
      </c>
    </row>
    <row r="54" spans="1:8" x14ac:dyDescent="0.3">
      <c r="A54" s="3" t="s">
        <v>67</v>
      </c>
      <c r="B54" s="3" t="s">
        <v>52</v>
      </c>
      <c r="C54" s="4">
        <v>9.09</v>
      </c>
      <c r="D54" s="4">
        <v>0</v>
      </c>
      <c r="E54" s="4"/>
      <c r="F54" s="4">
        <v>0</v>
      </c>
      <c r="G54" s="4">
        <v>0</v>
      </c>
      <c r="H54" s="4">
        <v>3.12</v>
      </c>
    </row>
    <row r="55" spans="1:8" x14ac:dyDescent="0.3">
      <c r="A55" s="3" t="s">
        <v>67</v>
      </c>
      <c r="B55" s="3" t="s">
        <v>53</v>
      </c>
      <c r="C55" s="4">
        <v>14.29</v>
      </c>
      <c r="D55" s="4">
        <v>0</v>
      </c>
      <c r="E55" s="4">
        <v>0</v>
      </c>
      <c r="F55" s="4">
        <v>0</v>
      </c>
      <c r="G55" s="4">
        <v>0</v>
      </c>
      <c r="H55" s="4">
        <v>4.88</v>
      </c>
    </row>
    <row r="56" spans="1:8" x14ac:dyDescent="0.3">
      <c r="A56" s="3" t="s">
        <v>67</v>
      </c>
      <c r="B56" s="3" t="s">
        <v>54</v>
      </c>
      <c r="C56" s="4">
        <v>25</v>
      </c>
      <c r="D56" s="4">
        <v>0</v>
      </c>
      <c r="E56" s="4">
        <v>0</v>
      </c>
      <c r="F56" s="4">
        <v>0</v>
      </c>
      <c r="G56" s="4">
        <v>5.26</v>
      </c>
      <c r="H56" s="4">
        <v>9.52</v>
      </c>
    </row>
    <row r="57" spans="1:8" x14ac:dyDescent="0.3">
      <c r="A57" s="3" t="s">
        <v>67</v>
      </c>
      <c r="B57" s="3" t="s">
        <v>55</v>
      </c>
      <c r="C57" s="4">
        <v>5.26</v>
      </c>
      <c r="D57" s="4">
        <v>0</v>
      </c>
      <c r="E57" s="4">
        <v>0</v>
      </c>
      <c r="F57" s="4">
        <v>0</v>
      </c>
      <c r="G57" s="4">
        <v>0</v>
      </c>
      <c r="H57" s="4">
        <v>2.38</v>
      </c>
    </row>
    <row r="58" spans="1:8" x14ac:dyDescent="0.3">
      <c r="A58" s="3" t="s">
        <v>67</v>
      </c>
      <c r="B58" s="3" t="s">
        <v>56</v>
      </c>
      <c r="C58" s="4">
        <v>28.57</v>
      </c>
      <c r="D58" s="4">
        <v>0</v>
      </c>
      <c r="E58" s="4">
        <v>0</v>
      </c>
      <c r="F58" s="4">
        <v>0</v>
      </c>
      <c r="G58" s="4">
        <v>0</v>
      </c>
      <c r="H58" s="4">
        <v>10.81</v>
      </c>
    </row>
    <row r="59" spans="1:8" x14ac:dyDescent="0.3">
      <c r="A59" s="3" t="s">
        <v>67</v>
      </c>
      <c r="B59" s="3" t="s">
        <v>57</v>
      </c>
      <c r="C59" s="4">
        <v>45.83</v>
      </c>
      <c r="D59" s="4">
        <v>0</v>
      </c>
      <c r="E59" s="4"/>
      <c r="F59" s="4">
        <v>0</v>
      </c>
      <c r="G59" s="4">
        <v>0</v>
      </c>
      <c r="H59" s="4">
        <v>22.92</v>
      </c>
    </row>
    <row r="60" spans="1:8" x14ac:dyDescent="0.3">
      <c r="A60" s="3" t="s">
        <v>67</v>
      </c>
      <c r="B60" s="3" t="s">
        <v>58</v>
      </c>
      <c r="C60" s="4">
        <v>35.71</v>
      </c>
      <c r="D60" s="4">
        <v>0</v>
      </c>
      <c r="E60" s="4">
        <v>0</v>
      </c>
      <c r="F60" s="4">
        <v>0</v>
      </c>
      <c r="G60" s="4">
        <v>0</v>
      </c>
      <c r="H60" s="4">
        <v>14.29</v>
      </c>
    </row>
    <row r="61" spans="1:8" x14ac:dyDescent="0.3">
      <c r="A61" s="3" t="s">
        <v>67</v>
      </c>
      <c r="B61" s="3" t="s">
        <v>59</v>
      </c>
      <c r="C61" s="4">
        <v>45.16</v>
      </c>
      <c r="D61" s="4">
        <v>0</v>
      </c>
      <c r="E61" s="4"/>
      <c r="F61" s="4">
        <v>50</v>
      </c>
      <c r="G61" s="4">
        <v>0</v>
      </c>
      <c r="H61" s="4">
        <v>30.61</v>
      </c>
    </row>
    <row r="62" spans="1:8" x14ac:dyDescent="0.3">
      <c r="A62" s="3" t="s">
        <v>67</v>
      </c>
      <c r="B62" s="3" t="s">
        <v>60</v>
      </c>
      <c r="C62" s="4">
        <v>36.36</v>
      </c>
      <c r="D62" s="4">
        <v>0</v>
      </c>
      <c r="E62" s="4"/>
      <c r="F62" s="4">
        <v>0</v>
      </c>
      <c r="G62" s="4">
        <v>0</v>
      </c>
      <c r="H62" s="4">
        <v>16.670000000000002</v>
      </c>
    </row>
    <row r="63" spans="1:8" x14ac:dyDescent="0.3">
      <c r="A63" s="3" t="s">
        <v>67</v>
      </c>
      <c r="B63" s="3" t="s">
        <v>61</v>
      </c>
      <c r="C63" s="4">
        <v>42.11</v>
      </c>
      <c r="D63" s="4">
        <v>16.670000000000002</v>
      </c>
      <c r="E63" s="4">
        <v>0</v>
      </c>
      <c r="F63" s="4">
        <v>0</v>
      </c>
      <c r="G63" s="4">
        <v>11.76</v>
      </c>
      <c r="H63" s="4">
        <v>26.03</v>
      </c>
    </row>
    <row r="64" spans="1:8" x14ac:dyDescent="0.3">
      <c r="A64" s="3" t="s">
        <v>67</v>
      </c>
      <c r="B64" s="3" t="s">
        <v>62</v>
      </c>
      <c r="C64" s="4">
        <v>56.67</v>
      </c>
      <c r="D64" s="4">
        <v>14.29</v>
      </c>
      <c r="E64" s="4">
        <v>0</v>
      </c>
      <c r="F64" s="4">
        <v>0</v>
      </c>
      <c r="G64" s="4">
        <v>12</v>
      </c>
      <c r="H64" s="4">
        <v>29.58</v>
      </c>
    </row>
    <row r="65" spans="1:8" x14ac:dyDescent="0.3">
      <c r="A65" s="3" t="s">
        <v>67</v>
      </c>
      <c r="B65" s="3" t="s">
        <v>63</v>
      </c>
      <c r="C65" s="4">
        <v>57.14</v>
      </c>
      <c r="D65" s="4"/>
      <c r="E65" s="4"/>
      <c r="F65" s="4">
        <v>8.33</v>
      </c>
      <c r="G65" s="4">
        <v>21.43</v>
      </c>
      <c r="H65" s="4">
        <v>33.82</v>
      </c>
    </row>
    <row r="66" spans="1:8" x14ac:dyDescent="0.3">
      <c r="A66" s="3" t="s">
        <v>67</v>
      </c>
      <c r="B66" s="3" t="s">
        <v>64</v>
      </c>
      <c r="C66" s="4">
        <v>57.14</v>
      </c>
      <c r="D66" s="4">
        <v>0</v>
      </c>
      <c r="E66" s="4">
        <v>0</v>
      </c>
      <c r="F66" s="4">
        <v>5.88</v>
      </c>
      <c r="G66" s="4">
        <v>8.11</v>
      </c>
      <c r="H66" s="4">
        <v>22.22</v>
      </c>
    </row>
    <row r="67" spans="1:8" x14ac:dyDescent="0.3">
      <c r="A67" s="3" t="s">
        <v>67</v>
      </c>
      <c r="B67" s="3" t="s">
        <v>100</v>
      </c>
      <c r="C67" s="4">
        <v>50</v>
      </c>
      <c r="D67" s="4">
        <v>25</v>
      </c>
      <c r="E67" s="4">
        <v>0</v>
      </c>
      <c r="F67" s="4">
        <v>5.88</v>
      </c>
      <c r="G67" s="4">
        <v>16</v>
      </c>
      <c r="H67" s="4">
        <v>22.92</v>
      </c>
    </row>
    <row r="68" spans="1:8" x14ac:dyDescent="0.3">
      <c r="A68" s="3" t="s">
        <v>67</v>
      </c>
      <c r="B68" s="3" t="s">
        <v>101</v>
      </c>
      <c r="C68" s="4">
        <v>20</v>
      </c>
      <c r="D68" s="4">
        <v>0</v>
      </c>
      <c r="E68" s="4">
        <v>0</v>
      </c>
      <c r="F68" s="4">
        <v>0</v>
      </c>
      <c r="G68" s="4">
        <v>8.89</v>
      </c>
      <c r="H68" s="4">
        <v>8.75</v>
      </c>
    </row>
    <row r="69" spans="1:8" x14ac:dyDescent="0.3">
      <c r="A69" s="3" t="s">
        <v>67</v>
      </c>
      <c r="B69" s="3" t="s">
        <v>102</v>
      </c>
      <c r="C69" s="4">
        <v>31.82</v>
      </c>
      <c r="D69" s="4">
        <v>0</v>
      </c>
      <c r="E69" s="4">
        <v>0</v>
      </c>
      <c r="F69" s="4">
        <v>0</v>
      </c>
      <c r="G69" s="4">
        <v>26.92</v>
      </c>
      <c r="H69" s="4">
        <v>22.22</v>
      </c>
    </row>
    <row r="70" spans="1:8" x14ac:dyDescent="0.3">
      <c r="A70" s="3" t="s">
        <v>67</v>
      </c>
      <c r="B70" s="3" t="s">
        <v>103</v>
      </c>
      <c r="C70" s="4">
        <v>23.81</v>
      </c>
      <c r="D70" s="4">
        <v>0</v>
      </c>
      <c r="E70" s="4"/>
      <c r="F70" s="4">
        <v>11.76</v>
      </c>
      <c r="G70" s="4">
        <v>7.5</v>
      </c>
      <c r="H70" s="4">
        <v>11.49</v>
      </c>
    </row>
    <row r="71" spans="1:8" x14ac:dyDescent="0.3">
      <c r="A71" s="3" t="s">
        <v>67</v>
      </c>
      <c r="B71" s="3" t="s">
        <v>104</v>
      </c>
      <c r="C71" s="4">
        <v>32</v>
      </c>
      <c r="D71" s="4">
        <v>27.27</v>
      </c>
      <c r="E71" s="4">
        <v>0</v>
      </c>
      <c r="F71" s="4">
        <v>14.29</v>
      </c>
      <c r="G71" s="4">
        <v>23.08</v>
      </c>
      <c r="H71" s="4">
        <v>25.71</v>
      </c>
    </row>
    <row r="72" spans="1:8" x14ac:dyDescent="0.3">
      <c r="A72" s="3" t="s">
        <v>67</v>
      </c>
      <c r="B72" s="3" t="s">
        <v>105</v>
      </c>
      <c r="C72" s="4">
        <v>26.67</v>
      </c>
      <c r="D72" s="4">
        <v>0</v>
      </c>
      <c r="E72" s="4">
        <v>0</v>
      </c>
      <c r="F72" s="4">
        <v>0</v>
      </c>
      <c r="G72" s="4">
        <v>12</v>
      </c>
      <c r="H72" s="4">
        <v>11.86</v>
      </c>
    </row>
    <row r="73" spans="1:8" x14ac:dyDescent="0.3">
      <c r="A73" s="3" t="s">
        <v>67</v>
      </c>
      <c r="B73" s="3" t="s">
        <v>106</v>
      </c>
      <c r="C73" s="4">
        <v>15</v>
      </c>
      <c r="D73" s="4">
        <v>0</v>
      </c>
      <c r="E73" s="4">
        <v>0</v>
      </c>
      <c r="F73" s="4">
        <v>0</v>
      </c>
      <c r="G73" s="4">
        <v>17.649999999999999</v>
      </c>
      <c r="H73" s="4">
        <v>13.04</v>
      </c>
    </row>
    <row r="74" spans="1:8" x14ac:dyDescent="0.3">
      <c r="A74" s="3" t="s">
        <v>67</v>
      </c>
      <c r="B74" s="3" t="s">
        <v>107</v>
      </c>
      <c r="C74" s="4">
        <v>27.27</v>
      </c>
      <c r="D74" s="4">
        <v>0</v>
      </c>
      <c r="E74" s="4">
        <v>0</v>
      </c>
      <c r="F74" s="4">
        <v>0</v>
      </c>
      <c r="G74" s="4">
        <v>10</v>
      </c>
      <c r="H74" s="4">
        <v>15.09</v>
      </c>
    </row>
    <row r="75" spans="1:8" x14ac:dyDescent="0.3">
      <c r="A75" s="3" t="s">
        <v>67</v>
      </c>
      <c r="B75" s="3" t="s">
        <v>108</v>
      </c>
      <c r="C75" s="4">
        <v>25</v>
      </c>
      <c r="D75" s="4">
        <v>0</v>
      </c>
      <c r="E75" s="4">
        <v>0</v>
      </c>
      <c r="F75" s="4">
        <v>0</v>
      </c>
      <c r="G75" s="4">
        <v>0</v>
      </c>
      <c r="H75" s="4">
        <v>8.6199999999999992</v>
      </c>
    </row>
    <row r="76" spans="1:8" x14ac:dyDescent="0.3">
      <c r="A76" s="3" t="s">
        <v>67</v>
      </c>
      <c r="B76" s="3" t="s">
        <v>109</v>
      </c>
      <c r="C76" s="4">
        <v>20</v>
      </c>
      <c r="D76" s="4">
        <v>0</v>
      </c>
      <c r="E76" s="4"/>
      <c r="F76" s="4">
        <v>0</v>
      </c>
      <c r="G76" s="4">
        <v>9.76</v>
      </c>
      <c r="H76" s="4">
        <v>8.82</v>
      </c>
    </row>
    <row r="77" spans="1:8" x14ac:dyDescent="0.3">
      <c r="A77" s="3" t="s">
        <v>67</v>
      </c>
      <c r="B77" s="3" t="s">
        <v>110</v>
      </c>
      <c r="C77" s="4">
        <v>11.76</v>
      </c>
      <c r="D77" s="4">
        <v>20</v>
      </c>
      <c r="E77" s="4">
        <v>0</v>
      </c>
      <c r="F77" s="4">
        <v>0</v>
      </c>
      <c r="G77" s="4">
        <v>27.27</v>
      </c>
      <c r="H77" s="4">
        <v>16.98</v>
      </c>
    </row>
    <row r="78" spans="1:8" x14ac:dyDescent="0.3">
      <c r="A78" s="3" t="s">
        <v>67</v>
      </c>
      <c r="B78" s="3" t="s">
        <v>111</v>
      </c>
      <c r="C78" s="4">
        <v>26.67</v>
      </c>
      <c r="D78" s="4">
        <v>0</v>
      </c>
      <c r="E78" s="4">
        <v>0</v>
      </c>
      <c r="F78" s="4">
        <v>14.29</v>
      </c>
      <c r="G78" s="4">
        <v>17.39</v>
      </c>
      <c r="H78" s="4">
        <v>18</v>
      </c>
    </row>
    <row r="79" spans="1:8" x14ac:dyDescent="0.3">
      <c r="A79" s="3" t="s">
        <v>67</v>
      </c>
      <c r="B79" s="3" t="s">
        <v>112</v>
      </c>
      <c r="C79" s="4">
        <v>7.69</v>
      </c>
      <c r="D79" s="4">
        <v>0</v>
      </c>
      <c r="E79" s="4">
        <v>0</v>
      </c>
      <c r="F79" s="4">
        <v>0</v>
      </c>
      <c r="G79" s="4">
        <v>7.41</v>
      </c>
      <c r="H79" s="4">
        <v>5.88</v>
      </c>
    </row>
    <row r="80" spans="1:8" x14ac:dyDescent="0.3">
      <c r="A80" s="3" t="s">
        <v>67</v>
      </c>
      <c r="B80" s="3" t="s">
        <v>113</v>
      </c>
      <c r="C80" s="4">
        <v>12.5</v>
      </c>
      <c r="D80" s="4">
        <v>20</v>
      </c>
      <c r="E80" s="4">
        <v>0</v>
      </c>
      <c r="F80" s="4">
        <v>0</v>
      </c>
      <c r="G80" s="4">
        <v>10</v>
      </c>
      <c r="H80" s="4">
        <v>9.84</v>
      </c>
    </row>
    <row r="81" spans="1:8" x14ac:dyDescent="0.3">
      <c r="A81" s="3" t="s">
        <v>67</v>
      </c>
      <c r="B81" s="3" t="s">
        <v>114</v>
      </c>
      <c r="C81" s="4">
        <v>5</v>
      </c>
      <c r="D81" s="4">
        <v>0</v>
      </c>
      <c r="E81" s="4">
        <v>0</v>
      </c>
      <c r="F81" s="4">
        <v>0</v>
      </c>
      <c r="G81" s="4">
        <v>3.85</v>
      </c>
      <c r="H81" s="4">
        <v>3.33</v>
      </c>
    </row>
    <row r="82" spans="1:8" x14ac:dyDescent="0.3">
      <c r="A82" s="3" t="s">
        <v>67</v>
      </c>
      <c r="B82" s="3" t="s">
        <v>115</v>
      </c>
      <c r="C82" s="4">
        <v>0</v>
      </c>
      <c r="D82" s="4">
        <v>0</v>
      </c>
      <c r="E82" s="4">
        <v>0</v>
      </c>
      <c r="F82" s="4">
        <v>0</v>
      </c>
      <c r="G82" s="4">
        <v>4.55</v>
      </c>
      <c r="H82" s="4">
        <v>1.72</v>
      </c>
    </row>
    <row r="83" spans="1:8" x14ac:dyDescent="0.3">
      <c r="A83" s="3" t="s">
        <v>67</v>
      </c>
      <c r="B83" s="3" t="s">
        <v>116</v>
      </c>
      <c r="C83" s="4">
        <v>11.76</v>
      </c>
      <c r="D83" s="4">
        <v>0</v>
      </c>
      <c r="E83" s="4">
        <v>0</v>
      </c>
      <c r="F83" s="4">
        <v>0</v>
      </c>
      <c r="G83" s="4">
        <v>3.85</v>
      </c>
      <c r="H83" s="4">
        <v>5.45</v>
      </c>
    </row>
    <row r="84" spans="1:8" x14ac:dyDescent="0.3">
      <c r="A84" s="3" t="s">
        <v>67</v>
      </c>
      <c r="B84" s="3" t="s">
        <v>117</v>
      </c>
      <c r="C84" s="4">
        <v>26.67</v>
      </c>
      <c r="D84" s="4">
        <v>0</v>
      </c>
      <c r="E84" s="4">
        <v>0</v>
      </c>
      <c r="F84" s="4">
        <v>0</v>
      </c>
      <c r="G84" s="4">
        <v>0</v>
      </c>
      <c r="H84" s="4">
        <v>8.16</v>
      </c>
    </row>
    <row r="85" spans="1:8" x14ac:dyDescent="0.3">
      <c r="A85" s="3" t="s">
        <v>67</v>
      </c>
      <c r="B85" s="3" t="s">
        <v>118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3">
      <c r="A86" s="3" t="s">
        <v>67</v>
      </c>
      <c r="B86" s="3" t="s">
        <v>119</v>
      </c>
      <c r="C86" s="4">
        <v>0</v>
      </c>
      <c r="D86" s="4">
        <v>0</v>
      </c>
      <c r="E86" s="4"/>
      <c r="F86" s="4">
        <v>0</v>
      </c>
      <c r="G86" s="4">
        <v>0</v>
      </c>
      <c r="H86" s="4">
        <v>0</v>
      </c>
    </row>
    <row r="87" spans="1:8" x14ac:dyDescent="0.3">
      <c r="A87" s="3" t="s">
        <v>67</v>
      </c>
      <c r="B87" s="3" t="s">
        <v>120</v>
      </c>
      <c r="C87" s="4">
        <v>25</v>
      </c>
      <c r="D87" s="4">
        <v>0</v>
      </c>
      <c r="E87" s="4">
        <v>0</v>
      </c>
      <c r="F87" s="4">
        <v>0</v>
      </c>
      <c r="G87" s="4">
        <v>0</v>
      </c>
      <c r="H87" s="4">
        <v>12.12</v>
      </c>
    </row>
    <row r="88" spans="1:8" x14ac:dyDescent="0.3">
      <c r="A88" s="3" t="s">
        <v>67</v>
      </c>
      <c r="B88" s="3" t="s">
        <v>121</v>
      </c>
      <c r="C88" s="4">
        <v>25</v>
      </c>
      <c r="D88" s="4">
        <v>0</v>
      </c>
      <c r="E88" s="4">
        <v>0</v>
      </c>
      <c r="F88" s="4">
        <v>0</v>
      </c>
      <c r="G88" s="4">
        <v>5.88</v>
      </c>
      <c r="H88" s="4">
        <v>11.36</v>
      </c>
    </row>
    <row r="89" spans="1:8" x14ac:dyDescent="0.3">
      <c r="A89" s="3" t="s">
        <v>67</v>
      </c>
      <c r="B89" s="3" t="s">
        <v>122</v>
      </c>
      <c r="C89" s="4">
        <v>0</v>
      </c>
      <c r="D89" s="4">
        <v>0</v>
      </c>
      <c r="E89" s="4"/>
      <c r="F89" s="4">
        <v>0</v>
      </c>
      <c r="G89" s="4">
        <v>5.88</v>
      </c>
      <c r="H89" s="4">
        <v>2.7</v>
      </c>
    </row>
    <row r="90" spans="1:8" x14ac:dyDescent="0.3">
      <c r="A90" s="3" t="s">
        <v>67</v>
      </c>
      <c r="B90" s="3" t="s">
        <v>123</v>
      </c>
      <c r="C90" s="4">
        <v>7.69</v>
      </c>
      <c r="D90" s="4">
        <v>0</v>
      </c>
      <c r="E90" s="4">
        <v>0</v>
      </c>
      <c r="F90" s="4">
        <v>0</v>
      </c>
      <c r="G90" s="4">
        <v>0</v>
      </c>
      <c r="H90" s="4">
        <v>1.96</v>
      </c>
    </row>
    <row r="91" spans="1:8" x14ac:dyDescent="0.3">
      <c r="A91" s="3" t="s">
        <v>67</v>
      </c>
      <c r="B91" s="3" t="s">
        <v>124</v>
      </c>
      <c r="C91" s="4">
        <v>10.53</v>
      </c>
      <c r="D91" s="4">
        <v>0</v>
      </c>
      <c r="E91" s="4"/>
      <c r="F91" s="4">
        <v>0</v>
      </c>
      <c r="G91" s="4">
        <v>0</v>
      </c>
      <c r="H91" s="4">
        <v>4.17</v>
      </c>
    </row>
    <row r="92" spans="1:8" x14ac:dyDescent="0.3">
      <c r="A92" s="3" t="s">
        <v>67</v>
      </c>
      <c r="B92" s="3" t="s">
        <v>125</v>
      </c>
      <c r="C92" s="4">
        <v>18.18</v>
      </c>
      <c r="D92" s="4">
        <v>0</v>
      </c>
      <c r="E92" s="4"/>
      <c r="F92" s="4">
        <v>0</v>
      </c>
      <c r="G92" s="4">
        <v>0</v>
      </c>
      <c r="H92" s="4">
        <v>6.67</v>
      </c>
    </row>
    <row r="93" spans="1:8" x14ac:dyDescent="0.3">
      <c r="A93" s="3" t="s">
        <v>67</v>
      </c>
      <c r="B93" s="3" t="s">
        <v>126</v>
      </c>
      <c r="C93" s="4">
        <v>12.5</v>
      </c>
      <c r="D93" s="4">
        <v>0</v>
      </c>
      <c r="E93" s="4">
        <v>0</v>
      </c>
      <c r="F93" s="4">
        <v>0</v>
      </c>
      <c r="G93" s="4">
        <v>0</v>
      </c>
      <c r="H93" s="4">
        <v>4.17</v>
      </c>
    </row>
    <row r="94" spans="1:8" x14ac:dyDescent="0.3">
      <c r="A94" s="3" t="s">
        <v>67</v>
      </c>
      <c r="B94" s="3" t="s">
        <v>127</v>
      </c>
      <c r="C94" s="4">
        <v>0</v>
      </c>
      <c r="D94" s="4">
        <v>0</v>
      </c>
      <c r="E94" s="4"/>
      <c r="F94" s="4">
        <v>0</v>
      </c>
      <c r="G94" s="4">
        <v>0</v>
      </c>
      <c r="H94" s="4">
        <v>0</v>
      </c>
    </row>
    <row r="95" spans="1:8" x14ac:dyDescent="0.3">
      <c r="A95" s="3" t="s">
        <v>67</v>
      </c>
      <c r="B95" s="3" t="s">
        <v>128</v>
      </c>
      <c r="C95" s="4">
        <v>6.25</v>
      </c>
      <c r="D95" s="4">
        <v>0</v>
      </c>
      <c r="E95" s="4">
        <v>0</v>
      </c>
      <c r="F95" s="4">
        <v>0</v>
      </c>
      <c r="G95" s="4">
        <v>0</v>
      </c>
      <c r="H95" s="4">
        <v>1.82</v>
      </c>
    </row>
    <row r="96" spans="1:8" x14ac:dyDescent="0.3">
      <c r="A96" s="3" t="s">
        <v>67</v>
      </c>
      <c r="B96" s="3" t="s">
        <v>129</v>
      </c>
      <c r="C96" s="4">
        <v>6.25</v>
      </c>
      <c r="D96" s="4">
        <v>0</v>
      </c>
      <c r="E96" s="4"/>
      <c r="F96" s="4">
        <v>0</v>
      </c>
      <c r="G96" s="4">
        <v>0</v>
      </c>
      <c r="H96" s="4">
        <v>2.04</v>
      </c>
    </row>
    <row r="97" spans="1:8" x14ac:dyDescent="0.3">
      <c r="A97" s="3" t="s">
        <v>67</v>
      </c>
      <c r="B97" s="3" t="s">
        <v>130</v>
      </c>
      <c r="C97" s="4">
        <v>0</v>
      </c>
      <c r="D97" s="4">
        <v>0</v>
      </c>
      <c r="E97" s="4"/>
      <c r="F97" s="4">
        <v>0</v>
      </c>
      <c r="G97" s="4">
        <v>0</v>
      </c>
      <c r="H97" s="4">
        <v>0</v>
      </c>
    </row>
    <row r="98" spans="1:8" x14ac:dyDescent="0.3">
      <c r="A98" s="3" t="s">
        <v>67</v>
      </c>
      <c r="B98" s="3" t="s">
        <v>131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1:8" x14ac:dyDescent="0.3">
      <c r="A99" s="3" t="s">
        <v>67</v>
      </c>
      <c r="B99" s="3" t="s">
        <v>132</v>
      </c>
      <c r="C99" s="4">
        <v>7.14</v>
      </c>
      <c r="D99" s="4">
        <v>0</v>
      </c>
      <c r="E99" s="4">
        <v>0</v>
      </c>
      <c r="F99" s="4">
        <v>0</v>
      </c>
      <c r="G99" s="4">
        <v>0</v>
      </c>
      <c r="H99" s="4">
        <v>2.38</v>
      </c>
    </row>
    <row r="100" spans="1:8" x14ac:dyDescent="0.3">
      <c r="A100" s="3" t="s">
        <v>67</v>
      </c>
      <c r="B100" s="3" t="s">
        <v>133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</row>
    <row r="101" spans="1:8" x14ac:dyDescent="0.3">
      <c r="A101" s="3" t="s">
        <v>67</v>
      </c>
      <c r="B101" s="3" t="s">
        <v>134</v>
      </c>
      <c r="C101" s="4">
        <v>0</v>
      </c>
      <c r="D101" s="4"/>
      <c r="E101" s="4">
        <v>0</v>
      </c>
      <c r="F101" s="4">
        <v>0</v>
      </c>
      <c r="G101" s="4">
        <v>0</v>
      </c>
      <c r="H101" s="4">
        <v>0</v>
      </c>
    </row>
    <row r="102" spans="1:8" x14ac:dyDescent="0.3">
      <c r="A102" s="3" t="s">
        <v>67</v>
      </c>
      <c r="B102" s="3" t="s">
        <v>135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1:8" x14ac:dyDescent="0.3">
      <c r="A103" s="3" t="s">
        <v>67</v>
      </c>
      <c r="B103" s="3" t="s">
        <v>136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</row>
    <row r="104" spans="1:8" x14ac:dyDescent="0.3">
      <c r="A104" s="3" t="s">
        <v>67</v>
      </c>
      <c r="B104" s="3" t="s">
        <v>137</v>
      </c>
      <c r="C104" s="4">
        <v>14.29</v>
      </c>
      <c r="D104" s="4">
        <v>0</v>
      </c>
      <c r="E104" s="4">
        <v>0</v>
      </c>
      <c r="F104" s="4">
        <v>0</v>
      </c>
      <c r="G104" s="4">
        <v>0</v>
      </c>
      <c r="H104" s="4">
        <v>4.3499999999999996</v>
      </c>
    </row>
    <row r="105" spans="1:8" x14ac:dyDescent="0.3">
      <c r="A105" s="3" t="s">
        <v>67</v>
      </c>
      <c r="B105" s="3" t="s">
        <v>138</v>
      </c>
      <c r="C105" s="4">
        <v>0</v>
      </c>
      <c r="D105" s="4">
        <v>0</v>
      </c>
      <c r="E105" s="4"/>
      <c r="F105" s="4">
        <v>0</v>
      </c>
      <c r="G105" s="4">
        <v>0</v>
      </c>
      <c r="H105" s="4">
        <v>0</v>
      </c>
    </row>
    <row r="106" spans="1:8" x14ac:dyDescent="0.3">
      <c r="A106" s="3" t="s">
        <v>67</v>
      </c>
      <c r="B106" s="3" t="s">
        <v>139</v>
      </c>
      <c r="C106" s="4">
        <v>9.09</v>
      </c>
      <c r="D106" s="4"/>
      <c r="E106" s="4">
        <v>0</v>
      </c>
      <c r="F106" s="4">
        <v>0</v>
      </c>
      <c r="G106" s="4">
        <v>0</v>
      </c>
      <c r="H106" s="4">
        <v>3.03</v>
      </c>
    </row>
    <row r="107" spans="1:8" x14ac:dyDescent="0.3">
      <c r="A107" s="3" t="s">
        <v>67</v>
      </c>
      <c r="B107" s="3" t="s">
        <v>140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</row>
    <row r="108" spans="1:8" x14ac:dyDescent="0.3">
      <c r="A108" s="3" t="s">
        <v>67</v>
      </c>
      <c r="B108" s="3" t="s">
        <v>141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1:8" x14ac:dyDescent="0.3">
      <c r="A109" s="3" t="s">
        <v>67</v>
      </c>
      <c r="B109" s="3" t="s">
        <v>142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</row>
    <row r="110" spans="1:8" x14ac:dyDescent="0.3">
      <c r="A110" s="3" t="s">
        <v>67</v>
      </c>
      <c r="B110" s="3" t="s">
        <v>143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1:8" x14ac:dyDescent="0.3">
      <c r="A111" s="3" t="s">
        <v>67</v>
      </c>
      <c r="B111" s="3" t="s">
        <v>144</v>
      </c>
      <c r="C111" s="4">
        <v>14.29</v>
      </c>
      <c r="D111" s="4">
        <v>0</v>
      </c>
      <c r="E111" s="4">
        <v>0</v>
      </c>
      <c r="F111" s="4">
        <v>0</v>
      </c>
      <c r="G111" s="4">
        <v>0</v>
      </c>
      <c r="H111" s="4">
        <v>2.86</v>
      </c>
    </row>
    <row r="112" spans="1:8" x14ac:dyDescent="0.3">
      <c r="A112" s="3" t="s">
        <v>67</v>
      </c>
      <c r="B112" s="3" t="s">
        <v>145</v>
      </c>
      <c r="C112" s="4">
        <v>18.18</v>
      </c>
      <c r="D112" s="4">
        <v>0</v>
      </c>
      <c r="E112" s="4"/>
      <c r="F112" s="4">
        <v>0</v>
      </c>
      <c r="G112" s="4">
        <v>0</v>
      </c>
      <c r="H112" s="4">
        <v>6.67</v>
      </c>
    </row>
    <row r="113" spans="1:8" x14ac:dyDescent="0.3">
      <c r="A113" s="3" t="s">
        <v>67</v>
      </c>
      <c r="B113" s="3" t="s">
        <v>146</v>
      </c>
      <c r="C113" s="4">
        <v>16.670000000000002</v>
      </c>
      <c r="D113" s="4">
        <v>20</v>
      </c>
      <c r="E113" s="4">
        <v>0</v>
      </c>
      <c r="F113" s="4">
        <v>14.29</v>
      </c>
      <c r="G113" s="4">
        <v>0</v>
      </c>
      <c r="H113" s="4">
        <v>8.6999999999999993</v>
      </c>
    </row>
    <row r="114" spans="1:8" x14ac:dyDescent="0.3">
      <c r="A114" s="3" t="s">
        <v>67</v>
      </c>
      <c r="B114" s="3" t="s">
        <v>147</v>
      </c>
      <c r="C114" s="4">
        <v>36.36</v>
      </c>
      <c r="D114" s="4">
        <v>0</v>
      </c>
      <c r="E114" s="4">
        <v>0</v>
      </c>
      <c r="F114" s="4">
        <v>0</v>
      </c>
      <c r="G114" s="4">
        <v>0</v>
      </c>
      <c r="H114" s="4">
        <v>10</v>
      </c>
    </row>
    <row r="115" spans="1:8" x14ac:dyDescent="0.3">
      <c r="A115" s="3" t="s">
        <v>67</v>
      </c>
      <c r="B115" s="3" t="s">
        <v>148</v>
      </c>
      <c r="C115" s="4">
        <v>37.5</v>
      </c>
      <c r="D115" s="4">
        <v>11.11</v>
      </c>
      <c r="E115" s="4">
        <v>0</v>
      </c>
      <c r="F115" s="4">
        <v>0</v>
      </c>
      <c r="G115" s="4">
        <v>4.55</v>
      </c>
      <c r="H115" s="4">
        <v>15.09</v>
      </c>
    </row>
    <row r="116" spans="1:8" x14ac:dyDescent="0.3">
      <c r="A116" s="3" t="s">
        <v>67</v>
      </c>
      <c r="B116" s="3" t="s">
        <v>149</v>
      </c>
      <c r="C116" s="4">
        <v>34.479999999999997</v>
      </c>
      <c r="D116" s="4">
        <v>0</v>
      </c>
      <c r="E116" s="4">
        <v>0</v>
      </c>
      <c r="F116" s="4">
        <v>0</v>
      </c>
      <c r="G116" s="4">
        <v>2.63</v>
      </c>
      <c r="H116" s="4">
        <v>13.75</v>
      </c>
    </row>
    <row r="117" spans="1:8" x14ac:dyDescent="0.3">
      <c r="A117" s="3" t="s">
        <v>67</v>
      </c>
      <c r="B117" s="3" t="s">
        <v>150</v>
      </c>
      <c r="C117" s="4">
        <v>29.63</v>
      </c>
      <c r="D117" s="4">
        <v>50</v>
      </c>
      <c r="E117" s="4"/>
      <c r="F117" s="4">
        <v>0</v>
      </c>
      <c r="G117" s="4">
        <v>3.85</v>
      </c>
      <c r="H117" s="4">
        <v>11.34</v>
      </c>
    </row>
    <row r="118" spans="1:8" x14ac:dyDescent="0.3">
      <c r="A118" s="3" t="s">
        <v>67</v>
      </c>
      <c r="B118" s="3" t="s">
        <v>151</v>
      </c>
      <c r="C118" s="4">
        <v>41.67</v>
      </c>
      <c r="D118" s="4">
        <v>0</v>
      </c>
      <c r="E118" s="4">
        <v>0</v>
      </c>
      <c r="F118" s="4">
        <v>0</v>
      </c>
      <c r="G118" s="4">
        <v>2.99</v>
      </c>
      <c r="H118" s="4">
        <v>11.88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a5087e-344a-455b-9eb9-b981dd288d03">
      <Terms xmlns="http://schemas.microsoft.com/office/infopath/2007/PartnerControls"/>
    </lcf76f155ced4ddcb4097134ff3c332f>
    <TaxCatchAll xmlns="f59fe026-6594-49e1-8ad8-934a8c3c5e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00FB5BCDA1A419C1BB9A6A47DAC8A" ma:contentTypeVersion="17" ma:contentTypeDescription="Create a new document." ma:contentTypeScope="" ma:versionID="aa5aaeb9da53863b156de8ddf61a15a8">
  <xsd:schema xmlns:xsd="http://www.w3.org/2001/XMLSchema" xmlns:xs="http://www.w3.org/2001/XMLSchema" xmlns:p="http://schemas.microsoft.com/office/2006/metadata/properties" xmlns:ns2="4ea5087e-344a-455b-9eb9-b981dd288d03" xmlns:ns3="f59fe026-6594-49e1-8ad8-934a8c3c5ef5" targetNamespace="http://schemas.microsoft.com/office/2006/metadata/properties" ma:root="true" ma:fieldsID="b26b2f1c1c80c82736346b9d30a6d8ba" ns2:_="" ns3:_="">
    <xsd:import namespace="4ea5087e-344a-455b-9eb9-b981dd288d03"/>
    <xsd:import namespace="f59fe026-6594-49e1-8ad8-934a8c3c5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5087e-344a-455b-9eb9-b981dd288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58473a-97ee-428e-a817-eb9457ba02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fe026-6594-49e1-8ad8-934a8c3c5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62bea73-efde-420e-a211-4b5a1f45ea81}" ma:internalName="TaxCatchAll" ma:showField="CatchAllData" ma:web="f59fe026-6594-49e1-8ad8-934a8c3c5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25D30A-D655-43A3-AB08-0A633D9276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5DB042-CE11-4BA8-917B-93454CDA4187}">
  <ds:schemaRefs>
    <ds:schemaRef ds:uri="http://schemas.microsoft.com/office/2006/metadata/properties"/>
    <ds:schemaRef ds:uri="http://schemas.microsoft.com/office/infopath/2007/PartnerControls"/>
    <ds:schemaRef ds:uri="4ea5087e-344a-455b-9eb9-b981dd288d03"/>
    <ds:schemaRef ds:uri="f59fe026-6594-49e1-8ad8-934a8c3c5ef5"/>
  </ds:schemaRefs>
</ds:datastoreItem>
</file>

<file path=customXml/itemProps3.xml><?xml version="1.0" encoding="utf-8"?>
<ds:datastoreItem xmlns:ds="http://schemas.openxmlformats.org/officeDocument/2006/customXml" ds:itemID="{D95D6342-7FF0-470F-B49F-C122F6634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5087e-344a-455b-9eb9-b981dd288d03"/>
    <ds:schemaRef ds:uri="f59fe026-6594-49e1-8ad8-934a8c3c5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First</vt:lpstr>
      <vt:lpstr>SARI_per_10x5pop</vt:lpstr>
      <vt:lpstr>Positivity SARS-CoV-2</vt:lpstr>
      <vt:lpstr>Positivity Influenza</vt:lpstr>
      <vt:lpstr>Positivity RSV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m.sanchez</dc:creator>
  <cp:keywords/>
  <dc:description/>
  <cp:lastModifiedBy>Miguel Angel Sanchez</cp:lastModifiedBy>
  <cp:revision/>
  <dcterms:created xsi:type="dcterms:W3CDTF">2015-06-05T18:17:20Z</dcterms:created>
  <dcterms:modified xsi:type="dcterms:W3CDTF">2026-02-13T09:36:55Z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0x010100E5800FB5BCDA1A419C1BB9A6A47DAC8A</vt:lpwstr>
  </property>
  <property fmtid="{D5CDD505-2E9C-101B-9397-08002B2CF9AE}" pid="3" name="MediaServiceImageTags">
    <vt:lpwstr/>
  </property>
</Properties>
</file>