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\sources\"/>
    </mc:Choice>
  </mc:AlternateContent>
  <xr:revisionPtr revIDLastSave="0" documentId="13_ncr:1_{7027C766-7193-482B-A2CF-E694C1EB3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RI cases" sheetId="3" r:id="rId1"/>
    <sheet name="Positivity SARS-CoV-2" sheetId="4" r:id="rId2"/>
  </sheets>
  <definedNames>
    <definedName name="_xlnm._FilterDatabase" localSheetId="0" hidden="1">'SARI cases'!$H$1:$H$66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3" l="1"/>
  <c r="N61" i="3"/>
  <c r="N63" i="3"/>
  <c r="O66" i="3"/>
  <c r="K64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5" i="3"/>
  <c r="K66" i="3"/>
  <c r="K2" i="3"/>
</calcChain>
</file>

<file path=xl/sharedStrings.xml><?xml version="1.0" encoding="utf-8"?>
<sst xmlns="http://schemas.openxmlformats.org/spreadsheetml/2006/main" count="276" uniqueCount="80">
  <si>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</si>
  <si>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</si>
  <si>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</si>
  <si>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</si>
  <si>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</si>
  <si>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</si>
  <si>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</si>
  <si>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</si>
  <si>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</si>
  <si>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</si>
  <si>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</si>
  <si>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</si>
  <si>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</si>
  <si>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</si>
  <si>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</si>
  <si>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</si>
  <si>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</si>
  <si>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</si>
  <si>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</si>
  <si>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</si>
  <si>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</si>
  <si>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</si>
  <si>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</si>
  <si>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</si>
  <si>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</si>
  <si>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</si>
  <si>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</si>
  <si>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</si>
  <si>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</si>
  <si>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</si>
  <si>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</si>
  <si>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</si>
  <si>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</si>
  <si>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</si>
  <si>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</si>
  <si>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</si>
  <si>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</si>
  <si>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</si>
  <si>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</si>
  <si>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</si>
  <si>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</si>
  <si>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</si>
  <si>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</si>
  <si>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</si>
  <si>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</si>
  <si>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</si>
  <si>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</si>
  <si>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</si>
  <si>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</si>
  <si>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</si>
  <si>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</si>
  <si>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</si>
  <si>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</si>
  <si>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</si>
  <si>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</si>
  <si>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</si>
  <si>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</si>
  <si>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</si>
  <si>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</si>
  <si>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</si>
  <si>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</si>
  <si>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</si>
  <si>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</si>
  <si>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</si>
  <si>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</si>
  <si>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week</t>
  </si>
  <si>
    <t>country</t>
  </si>
  <si>
    <t>LU</t>
  </si>
  <si>
    <t>sc2_pos_0_4</t>
  </si>
  <si>
    <t>sc2_pos_5_14</t>
  </si>
  <si>
    <t>sc2_pos_15_29</t>
  </si>
  <si>
    <t>sc2_pos_30_64</t>
  </si>
  <si>
    <t>sc2_pos_65+</t>
  </si>
  <si>
    <t>sc2_pos_total</t>
  </si>
  <si>
    <t>saricase0_4</t>
  </si>
  <si>
    <t>saricase05_14</t>
  </si>
  <si>
    <t>saricase_total</t>
  </si>
  <si>
    <t>saricase15_29</t>
  </si>
  <si>
    <t>saricase30_64</t>
  </si>
  <si>
    <t>saricase65+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</si>
</sst>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8"/>
      <color rgb="FF000000"/>
      <name val="Arial"/>
      <family val="2"/>
    </font>
    <font>
      <sz val="9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justify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3" fillId="0" borderId="5" xfId="0" applyFont="1" applyBorder="1" applyAlignment="1">
      <alignment horizontal="left" vertical="center" wrapText="1"/>
    </xf>
    <xf numFmtId="9" fontId="4" fillId="0" borderId="5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7" fontId="5" fillId="0" borderId="3" xfId="0" applyNumberFormat="1" applyFont="1" applyBorder="1" applyAlignment="1">
      <alignment horizontal="center" vertical="center" wrapText="1"/>
    </xf>
    <xf numFmtId="0" fontId="6" fillId="0" borderId="0" xfId="0" applyFont="1"/>
  </cellXfs>
  <cellStyles count="2">
    <cellStyle name="Normal" xfId="0" builtinId="0"/>
    <cellStyle name="Normal 2" xfId="1" xr:uid="{EC5054CD-3866-4D05-8BAE-D18C875FF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C718-715F-4B32-B96D-7F3E77229D47}">
  <dimension ref="A1:O66"/>
  <sheetViews>
    <sheetView tabSelected="1" workbookViewId="0">
      <selection activeCell="G7" sqref="G7"/>
    </sheetView>
  </sheetViews>
  <sheetFormatPr defaultRowHeight="14.4" x14ac:dyDescent="0.3"/>
  <cols>
    <col min="2" max="2" width="17.33203125" customWidth="1"/>
    <col min="4" max="4" width="12.6640625" customWidth="1"/>
    <col min="5" max="5" width="15.88671875" customWidth="1"/>
    <col min="7" max="7" width="14.33203125" customWidth="1"/>
    <col min="8" max="8" width="17.6640625" customWidth="1"/>
  </cols>
  <sheetData>
    <row r="1" spans="1:14" ht="21" thickBot="1" x14ac:dyDescent="0.35">
      <c r="A1" s="5" t="s">
        <v>66</v>
      </c>
      <c r="B1" s="9" t="s">
        <v>65</v>
      </c>
      <c r="C1" s="15" t="s">
        <v>74</v>
      </c>
      <c r="D1" s="16" t="s">
        <v>75</v>
      </c>
      <c r="E1" s="15" t="s">
        <v>77</v>
      </c>
      <c r="F1" s="15" t="s">
        <v>78</v>
      </c>
      <c r="G1" s="15" t="s">
        <v>79</v>
      </c>
      <c r="H1" s="15" t="s">
        <v>76</v>
      </c>
      <c r="I1" s="6"/>
    </row>
    <row r="2" spans="1:14" ht="15" thickBot="1" x14ac:dyDescent="0.35">
      <c r="A2" t="s">
        <v>67</v>
      </c>
      <c r="B2" s="1" t="s">
        <v>0</v>
      </c>
      <c r="C2" s="2">
        <v>1</v>
      </c>
      <c r="D2" s="7">
        <v>0</v>
      </c>
      <c r="E2" s="2">
        <v>0</v>
      </c>
      <c r="F2" s="2">
        <v>4</v>
      </c>
      <c r="G2" s="2">
        <v>17</v>
      </c>
      <c r="H2" s="2">
        <v>22</v>
      </c>
      <c r="I2" s="6"/>
      <c r="J2" s="17">
        <v>1160</v>
      </c>
      <c r="K2">
        <f>H2/J2*100000</f>
        <v>1896.5517241379309</v>
      </c>
    </row>
    <row r="3" spans="1:14" ht="15" thickBot="1" x14ac:dyDescent="0.35">
      <c r="A3" t="s">
        <v>67</v>
      </c>
      <c r="B3" s="1" t="s">
        <v>1</v>
      </c>
      <c r="C3" s="2">
        <v>2</v>
      </c>
      <c r="D3" s="7">
        <v>0</v>
      </c>
      <c r="E3" s="2">
        <v>2</v>
      </c>
      <c r="F3" s="2">
        <v>6</v>
      </c>
      <c r="G3" s="2">
        <v>21</v>
      </c>
      <c r="H3" s="2">
        <v>31</v>
      </c>
      <c r="I3" s="6"/>
      <c r="J3" s="17">
        <v>1160</v>
      </c>
      <c r="K3">
        <f t="shared" ref="K3:K66" si="0">H3/J3*100000</f>
        <v>2672.4137931034484</v>
      </c>
    </row>
    <row r="4" spans="1:14" ht="15" thickBot="1" x14ac:dyDescent="0.35">
      <c r="A4" t="s">
        <v>67</v>
      </c>
      <c r="B4" s="1" t="s">
        <v>2</v>
      </c>
      <c r="C4" s="2">
        <v>1</v>
      </c>
      <c r="D4" s="7">
        <v>0</v>
      </c>
      <c r="E4" s="2">
        <v>0</v>
      </c>
      <c r="F4" s="2">
        <v>6</v>
      </c>
      <c r="G4" s="2">
        <v>24</v>
      </c>
      <c r="H4" s="2">
        <v>31</v>
      </c>
      <c r="I4" s="6"/>
      <c r="J4" s="17">
        <v>1160</v>
      </c>
      <c r="K4">
        <f t="shared" si="0"/>
        <v>2672.4137931034484</v>
      </c>
    </row>
    <row r="5" spans="1:14" ht="15" thickBot="1" x14ac:dyDescent="0.35">
      <c r="A5" t="s">
        <v>67</v>
      </c>
      <c r="B5" s="1" t="s">
        <v>3</v>
      </c>
      <c r="C5" s="2">
        <v>6</v>
      </c>
      <c r="D5" s="7">
        <v>0</v>
      </c>
      <c r="E5" s="2">
        <v>0</v>
      </c>
      <c r="F5" s="2">
        <v>6</v>
      </c>
      <c r="G5" s="2">
        <v>20</v>
      </c>
      <c r="H5" s="2">
        <v>32</v>
      </c>
      <c r="I5" s="6"/>
      <c r="J5" s="17">
        <v>1160</v>
      </c>
      <c r="K5">
        <f t="shared" si="0"/>
        <v>2758.6206896551726</v>
      </c>
    </row>
    <row r="6" spans="1:14" ht="15" thickBot="1" x14ac:dyDescent="0.35">
      <c r="A6" t="s">
        <v>67</v>
      </c>
      <c r="B6" s="1" t="s">
        <v>4</v>
      </c>
      <c r="C6" s="2">
        <v>0</v>
      </c>
      <c r="D6" s="7">
        <v>1</v>
      </c>
      <c r="E6" s="2">
        <v>2</v>
      </c>
      <c r="F6" s="2">
        <v>10</v>
      </c>
      <c r="G6" s="2">
        <v>20</v>
      </c>
      <c r="H6" s="2">
        <v>33</v>
      </c>
      <c r="I6" s="6"/>
      <c r="J6" s="17">
        <v>1160</v>
      </c>
      <c r="K6">
        <f t="shared" si="0"/>
        <v>2844.8275862068967</v>
      </c>
    </row>
    <row r="7" spans="1:14" ht="15" thickBot="1" x14ac:dyDescent="0.35">
      <c r="A7" t="s">
        <v>67</v>
      </c>
      <c r="B7" s="1" t="s">
        <v>5</v>
      </c>
      <c r="C7" s="2">
        <v>1</v>
      </c>
      <c r="D7" s="7">
        <v>0</v>
      </c>
      <c r="E7" s="2">
        <v>1</v>
      </c>
      <c r="F7" s="2">
        <v>4</v>
      </c>
      <c r="G7" s="2">
        <v>16</v>
      </c>
      <c r="H7" s="2">
        <v>22</v>
      </c>
      <c r="I7" s="6"/>
      <c r="J7" s="17">
        <v>1160</v>
      </c>
      <c r="K7">
        <f t="shared" si="0"/>
        <v>1896.5517241379309</v>
      </c>
    </row>
    <row r="8" spans="1:14" ht="15" thickBot="1" x14ac:dyDescent="0.35">
      <c r="A8" t="s">
        <v>67</v>
      </c>
      <c r="B8" s="1" t="s">
        <v>6</v>
      </c>
      <c r="C8" s="2">
        <v>3</v>
      </c>
      <c r="D8" s="7">
        <v>1</v>
      </c>
      <c r="E8" s="2">
        <v>0</v>
      </c>
      <c r="F8" s="2">
        <v>5</v>
      </c>
      <c r="G8" s="2">
        <v>13</v>
      </c>
      <c r="H8" s="2">
        <v>22</v>
      </c>
      <c r="I8" s="6"/>
      <c r="J8" s="17">
        <v>1160</v>
      </c>
      <c r="K8">
        <f t="shared" si="0"/>
        <v>1896.5517241379309</v>
      </c>
    </row>
    <row r="9" spans="1:14" ht="15" thickBot="1" x14ac:dyDescent="0.35">
      <c r="A9" t="s">
        <v>67</v>
      </c>
      <c r="B9" s="1" t="s">
        <v>7</v>
      </c>
      <c r="C9" s="2">
        <v>4</v>
      </c>
      <c r="D9" s="7">
        <v>0</v>
      </c>
      <c r="E9" s="2">
        <v>1</v>
      </c>
      <c r="F9" s="2">
        <v>4</v>
      </c>
      <c r="G9" s="2">
        <v>17</v>
      </c>
      <c r="H9" s="2">
        <v>26</v>
      </c>
      <c r="I9" s="6"/>
      <c r="J9" s="17">
        <v>1160</v>
      </c>
      <c r="K9">
        <f t="shared" si="0"/>
        <v>2241.3793103448274</v>
      </c>
    </row>
    <row r="10" spans="1:14" ht="15" thickBot="1" x14ac:dyDescent="0.35">
      <c r="A10" t="s">
        <v>67</v>
      </c>
      <c r="B10" s="1" t="s">
        <v>8</v>
      </c>
      <c r="C10" s="2">
        <v>5</v>
      </c>
      <c r="D10" s="7">
        <v>0</v>
      </c>
      <c r="E10" s="2">
        <v>0</v>
      </c>
      <c r="F10" s="2">
        <v>10</v>
      </c>
      <c r="G10" s="2">
        <v>18</v>
      </c>
      <c r="H10" s="2">
        <v>33</v>
      </c>
      <c r="I10" s="6"/>
      <c r="J10" s="17">
        <v>1160</v>
      </c>
      <c r="K10">
        <f t="shared" si="0"/>
        <v>2844.8275862068967</v>
      </c>
    </row>
    <row r="11" spans="1:14" ht="15" thickBot="1" x14ac:dyDescent="0.35">
      <c r="A11" t="s">
        <v>67</v>
      </c>
      <c r="B11" s="1" t="s">
        <v>9</v>
      </c>
      <c r="C11" s="2">
        <v>3</v>
      </c>
      <c r="D11" s="7">
        <v>5</v>
      </c>
      <c r="E11" s="2">
        <v>1</v>
      </c>
      <c r="F11" s="2">
        <v>8</v>
      </c>
      <c r="G11" s="2">
        <v>28</v>
      </c>
      <c r="H11" s="2">
        <v>45</v>
      </c>
      <c r="I11" s="6"/>
      <c r="J11" s="17">
        <v>1160</v>
      </c>
      <c r="K11">
        <f t="shared" si="0"/>
        <v>3879.3103448275865</v>
      </c>
    </row>
    <row r="12" spans="1:14" ht="15" thickBot="1" x14ac:dyDescent="0.35">
      <c r="A12" t="s">
        <v>67</v>
      </c>
      <c r="B12" s="1" t="s">
        <v>10</v>
      </c>
      <c r="C12" s="2">
        <v>3</v>
      </c>
      <c r="D12" s="7">
        <v>0</v>
      </c>
      <c r="E12" s="2">
        <v>0</v>
      </c>
      <c r="F12" s="2">
        <v>4</v>
      </c>
      <c r="G12" s="2">
        <v>30</v>
      </c>
      <c r="H12" s="2">
        <v>37</v>
      </c>
      <c r="I12" s="6"/>
      <c r="J12" s="17">
        <v>1160</v>
      </c>
      <c r="K12">
        <f t="shared" si="0"/>
        <v>3189.655172413793</v>
      </c>
    </row>
    <row r="13" spans="1:14" ht="15" thickBot="1" x14ac:dyDescent="0.35">
      <c r="A13" t="s">
        <v>67</v>
      </c>
      <c r="B13" s="1" t="s">
        <v>11</v>
      </c>
      <c r="C13" s="2">
        <v>2</v>
      </c>
      <c r="D13" s="7">
        <v>2</v>
      </c>
      <c r="E13" s="2">
        <v>1</v>
      </c>
      <c r="F13" s="2">
        <v>10</v>
      </c>
      <c r="G13" s="2">
        <v>35</v>
      </c>
      <c r="H13" s="2">
        <v>50</v>
      </c>
      <c r="I13" s="6"/>
      <c r="J13" s="17">
        <v>1160</v>
      </c>
      <c r="K13">
        <f t="shared" si="0"/>
        <v>4310.3448275862074</v>
      </c>
    </row>
    <row r="14" spans="1:14" ht="15" thickBot="1" x14ac:dyDescent="0.35">
      <c r="A14" t="s">
        <v>67</v>
      </c>
      <c r="B14" s="1" t="s">
        <v>12</v>
      </c>
      <c r="C14" s="2">
        <v>1</v>
      </c>
      <c r="D14" s="7">
        <v>0</v>
      </c>
      <c r="E14" s="2">
        <v>0</v>
      </c>
      <c r="F14" s="2">
        <v>14</v>
      </c>
      <c r="G14" s="2">
        <v>45</v>
      </c>
      <c r="H14" s="2">
        <v>60</v>
      </c>
      <c r="I14" s="6"/>
      <c r="J14" s="17">
        <v>1160</v>
      </c>
      <c r="K14">
        <f t="shared" si="0"/>
        <v>5172.4137931034484</v>
      </c>
    </row>
    <row r="15" spans="1:14" ht="15" thickBot="1" x14ac:dyDescent="0.35">
      <c r="A15" t="s">
        <v>67</v>
      </c>
      <c r="B15" s="1" t="s">
        <v>13</v>
      </c>
      <c r="C15" s="2">
        <v>4</v>
      </c>
      <c r="D15" s="7">
        <v>1</v>
      </c>
      <c r="E15" s="2">
        <v>1</v>
      </c>
      <c r="F15" s="2">
        <v>13</v>
      </c>
      <c r="G15" s="2">
        <v>36</v>
      </c>
      <c r="H15" s="2">
        <v>55</v>
      </c>
      <c r="I15" s="6"/>
      <c r="J15" s="17">
        <v>1259</v>
      </c>
      <c r="K15">
        <f t="shared" si="0"/>
        <v>4368.5464654487687</v>
      </c>
    </row>
    <row r="16" spans="1:14" ht="15" thickBot="1" x14ac:dyDescent="0.35">
      <c r="A16" t="s">
        <v>67</v>
      </c>
      <c r="B16" s="1" t="s">
        <v>14</v>
      </c>
      <c r="C16" s="2">
        <v>0</v>
      </c>
      <c r="D16" s="7">
        <v>1</v>
      </c>
      <c r="E16" s="2">
        <v>0</v>
      </c>
      <c r="F16" s="2">
        <v>6</v>
      </c>
      <c r="G16" s="2">
        <v>20</v>
      </c>
      <c r="H16" s="2">
        <v>27</v>
      </c>
      <c r="I16" s="6"/>
      <c r="J16" s="17">
        <v>1259</v>
      </c>
      <c r="K16">
        <f t="shared" si="0"/>
        <v>2144.5591739475776</v>
      </c>
      <c r="N16">
        <f>27*100000/1259</f>
        <v>2144.5591739475776</v>
      </c>
    </row>
    <row r="17" spans="1:11" ht="15" thickBot="1" x14ac:dyDescent="0.35">
      <c r="A17" t="s">
        <v>67</v>
      </c>
      <c r="B17" s="1" t="s">
        <v>15</v>
      </c>
      <c r="C17" s="2">
        <v>3</v>
      </c>
      <c r="D17" s="7">
        <v>0</v>
      </c>
      <c r="E17" s="2">
        <v>0</v>
      </c>
      <c r="F17" s="2">
        <v>8</v>
      </c>
      <c r="G17" s="2">
        <v>21</v>
      </c>
      <c r="H17" s="2">
        <v>32</v>
      </c>
      <c r="I17" s="6"/>
      <c r="J17" s="17">
        <v>1259</v>
      </c>
      <c r="K17">
        <f t="shared" si="0"/>
        <v>2541.6997617156471</v>
      </c>
    </row>
    <row r="18" spans="1:11" ht="15" thickBot="1" x14ac:dyDescent="0.35">
      <c r="A18" t="s">
        <v>67</v>
      </c>
      <c r="B18" s="1" t="s">
        <v>16</v>
      </c>
      <c r="C18" s="2">
        <v>2</v>
      </c>
      <c r="D18" s="7">
        <v>2</v>
      </c>
      <c r="E18" s="2">
        <v>1</v>
      </c>
      <c r="F18" s="2">
        <v>13</v>
      </c>
      <c r="G18" s="2">
        <v>21</v>
      </c>
      <c r="H18" s="2">
        <v>39</v>
      </c>
      <c r="I18" s="6"/>
      <c r="J18">
        <v>1259</v>
      </c>
      <c r="K18">
        <f t="shared" si="0"/>
        <v>3097.6965845909453</v>
      </c>
    </row>
    <row r="19" spans="1:11" ht="15" thickBot="1" x14ac:dyDescent="0.35">
      <c r="A19" t="s">
        <v>67</v>
      </c>
      <c r="B19" s="1" t="s">
        <v>17</v>
      </c>
      <c r="C19" s="2">
        <v>4</v>
      </c>
      <c r="D19" s="7">
        <v>5</v>
      </c>
      <c r="E19" s="2">
        <v>0</v>
      </c>
      <c r="F19" s="2">
        <v>7</v>
      </c>
      <c r="G19" s="2">
        <v>33</v>
      </c>
      <c r="H19" s="2">
        <v>49</v>
      </c>
      <c r="I19" s="6"/>
      <c r="J19">
        <v>1259</v>
      </c>
      <c r="K19">
        <f t="shared" si="0"/>
        <v>3891.9777601270848</v>
      </c>
    </row>
    <row r="20" spans="1:11" ht="15" thickBot="1" x14ac:dyDescent="0.35">
      <c r="A20" t="s">
        <v>67</v>
      </c>
      <c r="B20" s="1" t="s">
        <v>18</v>
      </c>
      <c r="C20" s="2">
        <v>4</v>
      </c>
      <c r="D20" s="7">
        <v>2</v>
      </c>
      <c r="E20" s="2">
        <v>1</v>
      </c>
      <c r="F20" s="2">
        <v>5</v>
      </c>
      <c r="G20" s="2">
        <v>29</v>
      </c>
      <c r="H20" s="2">
        <v>41</v>
      </c>
      <c r="I20" s="6"/>
      <c r="J20">
        <v>1259</v>
      </c>
      <c r="K20">
        <f t="shared" si="0"/>
        <v>3256.5528196981732</v>
      </c>
    </row>
    <row r="21" spans="1:11" ht="15" thickBot="1" x14ac:dyDescent="0.35">
      <c r="A21" t="s">
        <v>67</v>
      </c>
      <c r="B21" s="1" t="s">
        <v>19</v>
      </c>
      <c r="C21" s="2">
        <v>3</v>
      </c>
      <c r="D21" s="7">
        <v>0</v>
      </c>
      <c r="E21" s="2">
        <v>1</v>
      </c>
      <c r="F21" s="2">
        <v>8</v>
      </c>
      <c r="G21" s="2">
        <v>20</v>
      </c>
      <c r="H21" s="2">
        <v>32</v>
      </c>
      <c r="I21" s="6"/>
      <c r="J21">
        <v>1259</v>
      </c>
      <c r="K21">
        <f t="shared" si="0"/>
        <v>2541.6997617156471</v>
      </c>
    </row>
    <row r="22" spans="1:11" ht="15" thickBot="1" x14ac:dyDescent="0.35">
      <c r="A22" t="s">
        <v>67</v>
      </c>
      <c r="B22" s="1" t="s">
        <v>20</v>
      </c>
      <c r="C22" s="2">
        <v>0</v>
      </c>
      <c r="D22" s="7">
        <v>2</v>
      </c>
      <c r="E22" s="2">
        <v>1</v>
      </c>
      <c r="F22" s="2">
        <v>5</v>
      </c>
      <c r="G22" s="2">
        <v>19</v>
      </c>
      <c r="H22" s="2">
        <v>27</v>
      </c>
      <c r="I22" s="6"/>
      <c r="J22">
        <v>1259</v>
      </c>
      <c r="K22">
        <f t="shared" si="0"/>
        <v>2144.5591739475776</v>
      </c>
    </row>
    <row r="23" spans="1:11" ht="15" thickBot="1" x14ac:dyDescent="0.35">
      <c r="A23" t="s">
        <v>67</v>
      </c>
      <c r="B23" s="1" t="s">
        <v>21</v>
      </c>
      <c r="C23" s="2">
        <v>0</v>
      </c>
      <c r="D23" s="7">
        <v>2</v>
      </c>
      <c r="E23" s="2">
        <v>0</v>
      </c>
      <c r="F23" s="2">
        <v>7</v>
      </c>
      <c r="G23" s="2">
        <v>22</v>
      </c>
      <c r="H23" s="2">
        <v>31</v>
      </c>
      <c r="I23" s="6"/>
      <c r="J23">
        <v>1259</v>
      </c>
      <c r="K23">
        <f t="shared" si="0"/>
        <v>2462.2716441620332</v>
      </c>
    </row>
    <row r="24" spans="1:11" ht="15" thickBot="1" x14ac:dyDescent="0.35">
      <c r="A24" t="s">
        <v>67</v>
      </c>
      <c r="B24" s="1" t="s">
        <v>22</v>
      </c>
      <c r="C24" s="2">
        <v>2</v>
      </c>
      <c r="D24" s="7">
        <v>0</v>
      </c>
      <c r="E24" s="2">
        <v>0</v>
      </c>
      <c r="F24" s="2">
        <v>7</v>
      </c>
      <c r="G24" s="2">
        <v>18</v>
      </c>
      <c r="H24" s="2">
        <v>27</v>
      </c>
      <c r="I24" s="6"/>
      <c r="J24">
        <v>1259</v>
      </c>
      <c r="K24">
        <f t="shared" si="0"/>
        <v>2144.5591739475776</v>
      </c>
    </row>
    <row r="25" spans="1:11" ht="15" thickBot="1" x14ac:dyDescent="0.35">
      <c r="A25" t="s">
        <v>67</v>
      </c>
      <c r="B25" s="1" t="s">
        <v>23</v>
      </c>
      <c r="C25" s="2">
        <v>2</v>
      </c>
      <c r="D25" s="7">
        <v>0</v>
      </c>
      <c r="E25" s="2">
        <v>0</v>
      </c>
      <c r="F25" s="2">
        <v>4</v>
      </c>
      <c r="G25" s="2">
        <v>19</v>
      </c>
      <c r="H25" s="2">
        <v>25</v>
      </c>
      <c r="I25" s="6"/>
      <c r="J25">
        <v>1259</v>
      </c>
      <c r="K25">
        <f t="shared" si="0"/>
        <v>1985.7029388403496</v>
      </c>
    </row>
    <row r="26" spans="1:11" ht="15" thickBot="1" x14ac:dyDescent="0.35">
      <c r="A26" t="s">
        <v>67</v>
      </c>
      <c r="B26" s="1" t="s">
        <v>24</v>
      </c>
      <c r="C26" s="2">
        <v>3</v>
      </c>
      <c r="D26" s="7">
        <v>1</v>
      </c>
      <c r="E26" s="2">
        <v>2</v>
      </c>
      <c r="F26" s="2">
        <v>14</v>
      </c>
      <c r="G26" s="2">
        <v>16</v>
      </c>
      <c r="H26" s="2">
        <v>36</v>
      </c>
      <c r="I26" s="6"/>
      <c r="J26">
        <v>1259</v>
      </c>
      <c r="K26">
        <f t="shared" si="0"/>
        <v>2859.4122319301032</v>
      </c>
    </row>
    <row r="27" spans="1:11" ht="15" thickBot="1" x14ac:dyDescent="0.35">
      <c r="A27" t="s">
        <v>67</v>
      </c>
      <c r="B27" s="1" t="s">
        <v>25</v>
      </c>
      <c r="C27" s="2">
        <v>0</v>
      </c>
      <c r="D27" s="7">
        <v>1</v>
      </c>
      <c r="E27" s="2">
        <v>1</v>
      </c>
      <c r="F27" s="2">
        <v>10</v>
      </c>
      <c r="G27" s="2">
        <v>22</v>
      </c>
      <c r="H27" s="2">
        <v>34</v>
      </c>
      <c r="I27" s="6"/>
      <c r="J27">
        <v>1259</v>
      </c>
      <c r="K27">
        <f t="shared" si="0"/>
        <v>2700.5559968228754</v>
      </c>
    </row>
    <row r="28" spans="1:11" ht="15" thickBot="1" x14ac:dyDescent="0.35">
      <c r="A28" t="s">
        <v>67</v>
      </c>
      <c r="B28" s="1" t="s">
        <v>26</v>
      </c>
      <c r="C28" s="2">
        <v>0</v>
      </c>
      <c r="D28" s="7">
        <v>0</v>
      </c>
      <c r="E28" s="2">
        <v>0</v>
      </c>
      <c r="F28" s="2">
        <v>7</v>
      </c>
      <c r="G28" s="2">
        <v>17</v>
      </c>
      <c r="H28" s="2">
        <v>24</v>
      </c>
      <c r="I28" s="6"/>
      <c r="J28">
        <v>1259</v>
      </c>
      <c r="K28">
        <f t="shared" si="0"/>
        <v>1906.2748212867357</v>
      </c>
    </row>
    <row r="29" spans="1:11" ht="15" thickBot="1" x14ac:dyDescent="0.35">
      <c r="A29" t="s">
        <v>67</v>
      </c>
      <c r="B29" s="1" t="s">
        <v>27</v>
      </c>
      <c r="C29" s="2">
        <v>1</v>
      </c>
      <c r="D29" s="7">
        <v>0</v>
      </c>
      <c r="E29" s="2">
        <v>1</v>
      </c>
      <c r="F29" s="2">
        <v>7</v>
      </c>
      <c r="G29" s="2">
        <v>24</v>
      </c>
      <c r="H29" s="2">
        <v>33</v>
      </c>
      <c r="I29" s="6"/>
      <c r="J29">
        <v>1259</v>
      </c>
      <c r="K29">
        <f t="shared" si="0"/>
        <v>2621.1278792692615</v>
      </c>
    </row>
    <row r="30" spans="1:11" ht="15" thickBot="1" x14ac:dyDescent="0.35">
      <c r="A30" t="s">
        <v>67</v>
      </c>
      <c r="B30" s="1" t="s">
        <v>28</v>
      </c>
      <c r="C30" s="2">
        <v>0</v>
      </c>
      <c r="D30" s="7">
        <v>2</v>
      </c>
      <c r="E30" s="2">
        <v>1</v>
      </c>
      <c r="F30" s="2">
        <v>3</v>
      </c>
      <c r="G30" s="2">
        <v>14</v>
      </c>
      <c r="H30" s="2">
        <v>20</v>
      </c>
      <c r="I30" s="6"/>
      <c r="J30">
        <v>1259</v>
      </c>
      <c r="K30">
        <f t="shared" si="0"/>
        <v>1588.5623510722796</v>
      </c>
    </row>
    <row r="31" spans="1:11" ht="15" thickBot="1" x14ac:dyDescent="0.35">
      <c r="A31" t="s">
        <v>67</v>
      </c>
      <c r="B31" s="1" t="s">
        <v>29</v>
      </c>
      <c r="C31" s="2">
        <v>4</v>
      </c>
      <c r="D31" s="7">
        <v>1</v>
      </c>
      <c r="E31" s="2">
        <v>3</v>
      </c>
      <c r="F31" s="2">
        <v>2</v>
      </c>
      <c r="G31" s="2">
        <v>26</v>
      </c>
      <c r="H31" s="2">
        <v>36</v>
      </c>
      <c r="I31" s="6"/>
      <c r="J31">
        <v>1259</v>
      </c>
      <c r="K31">
        <f t="shared" si="0"/>
        <v>2859.4122319301032</v>
      </c>
    </row>
    <row r="32" spans="1:11" ht="15" thickBot="1" x14ac:dyDescent="0.35">
      <c r="A32" t="s">
        <v>67</v>
      </c>
      <c r="B32" s="1" t="s">
        <v>30</v>
      </c>
      <c r="C32" s="2">
        <v>2</v>
      </c>
      <c r="D32" s="7">
        <v>1</v>
      </c>
      <c r="E32" s="2">
        <v>1</v>
      </c>
      <c r="F32" s="2">
        <v>8</v>
      </c>
      <c r="G32" s="2">
        <v>19</v>
      </c>
      <c r="H32" s="2">
        <v>31</v>
      </c>
      <c r="I32" s="6"/>
      <c r="J32">
        <v>1259</v>
      </c>
      <c r="K32">
        <f t="shared" si="0"/>
        <v>2462.2716441620332</v>
      </c>
    </row>
    <row r="33" spans="1:11" ht="15" thickBot="1" x14ac:dyDescent="0.35">
      <c r="A33" t="s">
        <v>67</v>
      </c>
      <c r="B33" s="1" t="s">
        <v>31</v>
      </c>
      <c r="C33" s="2">
        <v>1</v>
      </c>
      <c r="D33" s="7">
        <v>1</v>
      </c>
      <c r="E33" s="2">
        <v>0</v>
      </c>
      <c r="F33" s="2">
        <v>6</v>
      </c>
      <c r="G33" s="2">
        <v>21</v>
      </c>
      <c r="H33" s="2">
        <v>29</v>
      </c>
      <c r="I33" s="6"/>
      <c r="J33">
        <v>1259</v>
      </c>
      <c r="K33">
        <f t="shared" si="0"/>
        <v>2303.4154090548054</v>
      </c>
    </row>
    <row r="34" spans="1:11" ht="15" thickBot="1" x14ac:dyDescent="0.35">
      <c r="A34" t="s">
        <v>67</v>
      </c>
      <c r="B34" s="1" t="s">
        <v>32</v>
      </c>
      <c r="C34" s="2">
        <v>1</v>
      </c>
      <c r="D34" s="7">
        <v>0</v>
      </c>
      <c r="E34" s="2">
        <v>0</v>
      </c>
      <c r="F34" s="2">
        <v>4</v>
      </c>
      <c r="G34" s="2">
        <v>15</v>
      </c>
      <c r="H34" s="2">
        <v>20</v>
      </c>
      <c r="I34" s="6"/>
      <c r="J34">
        <v>1259</v>
      </c>
      <c r="K34">
        <f t="shared" si="0"/>
        <v>1588.5623510722796</v>
      </c>
    </row>
    <row r="35" spans="1:11" ht="15" thickBot="1" x14ac:dyDescent="0.35">
      <c r="A35" t="s">
        <v>67</v>
      </c>
      <c r="B35" s="1" t="s">
        <v>33</v>
      </c>
      <c r="C35" s="2">
        <v>1</v>
      </c>
      <c r="D35" s="7">
        <v>1</v>
      </c>
      <c r="E35" s="2">
        <v>1</v>
      </c>
      <c r="F35" s="2">
        <v>3</v>
      </c>
      <c r="G35" s="2">
        <v>19</v>
      </c>
      <c r="H35" s="2">
        <v>25</v>
      </c>
      <c r="I35" s="6"/>
      <c r="J35">
        <v>1259</v>
      </c>
      <c r="K35">
        <f t="shared" si="0"/>
        <v>1985.7029388403496</v>
      </c>
    </row>
    <row r="36" spans="1:11" ht="15" thickBot="1" x14ac:dyDescent="0.35">
      <c r="A36" t="s">
        <v>67</v>
      </c>
      <c r="B36" s="1" t="s">
        <v>34</v>
      </c>
      <c r="C36" s="2">
        <v>1</v>
      </c>
      <c r="D36" s="7">
        <v>0</v>
      </c>
      <c r="E36" s="2">
        <v>1</v>
      </c>
      <c r="F36" s="2">
        <v>4</v>
      </c>
      <c r="G36" s="2">
        <v>13</v>
      </c>
      <c r="H36" s="2">
        <v>19</v>
      </c>
      <c r="I36" s="6"/>
      <c r="J36">
        <v>1259</v>
      </c>
      <c r="K36">
        <f t="shared" si="0"/>
        <v>1509.1342335186657</v>
      </c>
    </row>
    <row r="37" spans="1:11" ht="15" thickBot="1" x14ac:dyDescent="0.35">
      <c r="A37" t="s">
        <v>67</v>
      </c>
      <c r="B37" s="1" t="s">
        <v>35</v>
      </c>
      <c r="C37" s="2">
        <v>1</v>
      </c>
      <c r="D37" s="7">
        <v>1</v>
      </c>
      <c r="E37" s="2">
        <v>0</v>
      </c>
      <c r="F37" s="2">
        <v>6</v>
      </c>
      <c r="G37" s="2">
        <v>19</v>
      </c>
      <c r="H37" s="2">
        <v>27</v>
      </c>
      <c r="I37" s="6"/>
      <c r="J37">
        <v>1259</v>
      </c>
      <c r="K37">
        <f t="shared" si="0"/>
        <v>2144.5591739475776</v>
      </c>
    </row>
    <row r="38" spans="1:11" ht="15" thickBot="1" x14ac:dyDescent="0.35">
      <c r="A38" t="s">
        <v>67</v>
      </c>
      <c r="B38" s="1" t="s">
        <v>36</v>
      </c>
      <c r="C38" s="2">
        <v>1</v>
      </c>
      <c r="D38" s="7">
        <v>0</v>
      </c>
      <c r="E38" s="2">
        <v>2</v>
      </c>
      <c r="F38" s="2">
        <v>9</v>
      </c>
      <c r="G38" s="2">
        <v>11</v>
      </c>
      <c r="H38" s="2">
        <v>23</v>
      </c>
      <c r="I38" s="6"/>
      <c r="J38">
        <v>1259</v>
      </c>
      <c r="K38">
        <f t="shared" si="0"/>
        <v>1826.8467037331216</v>
      </c>
    </row>
    <row r="39" spans="1:11" ht="15" thickBot="1" x14ac:dyDescent="0.35">
      <c r="A39" t="s">
        <v>67</v>
      </c>
      <c r="B39" s="1" t="s">
        <v>37</v>
      </c>
      <c r="C39" s="2">
        <v>3</v>
      </c>
      <c r="D39" s="7">
        <v>1</v>
      </c>
      <c r="E39" s="2">
        <v>0</v>
      </c>
      <c r="F39" s="2">
        <v>5</v>
      </c>
      <c r="G39" s="2">
        <v>12</v>
      </c>
      <c r="H39" s="2">
        <v>21</v>
      </c>
      <c r="I39" s="6"/>
      <c r="J39">
        <v>1259</v>
      </c>
      <c r="K39">
        <f t="shared" si="0"/>
        <v>1667.9904686258933</v>
      </c>
    </row>
    <row r="40" spans="1:11" ht="15" thickBot="1" x14ac:dyDescent="0.35">
      <c r="A40" t="s">
        <v>67</v>
      </c>
      <c r="B40" s="1" t="s">
        <v>38</v>
      </c>
      <c r="C40" s="2">
        <v>0</v>
      </c>
      <c r="D40" s="7">
        <v>0</v>
      </c>
      <c r="E40" s="2">
        <v>0</v>
      </c>
      <c r="F40" s="2">
        <v>3</v>
      </c>
      <c r="G40" s="2">
        <v>25</v>
      </c>
      <c r="H40" s="2">
        <v>28</v>
      </c>
      <c r="I40" s="6"/>
      <c r="J40">
        <v>1259</v>
      </c>
      <c r="K40">
        <f t="shared" si="0"/>
        <v>2223.9872915011915</v>
      </c>
    </row>
    <row r="41" spans="1:11" ht="15" thickBot="1" x14ac:dyDescent="0.35">
      <c r="A41" t="s">
        <v>67</v>
      </c>
      <c r="B41" s="1" t="s">
        <v>39</v>
      </c>
      <c r="C41" s="2">
        <v>0</v>
      </c>
      <c r="D41" s="7">
        <v>0</v>
      </c>
      <c r="E41" s="2">
        <v>0</v>
      </c>
      <c r="F41" s="2">
        <v>9</v>
      </c>
      <c r="G41" s="2">
        <v>18</v>
      </c>
      <c r="H41" s="2">
        <v>27</v>
      </c>
      <c r="I41" s="6"/>
      <c r="J41">
        <v>1259</v>
      </c>
      <c r="K41">
        <f t="shared" si="0"/>
        <v>2144.5591739475776</v>
      </c>
    </row>
    <row r="42" spans="1:11" ht="15" thickBot="1" x14ac:dyDescent="0.35">
      <c r="A42" t="s">
        <v>67</v>
      </c>
      <c r="B42" s="1" t="s">
        <v>40</v>
      </c>
      <c r="C42" s="2">
        <v>1</v>
      </c>
      <c r="D42" s="7">
        <v>2</v>
      </c>
      <c r="E42" s="2">
        <v>1</v>
      </c>
      <c r="F42" s="2">
        <v>7</v>
      </c>
      <c r="G42" s="2">
        <v>21</v>
      </c>
      <c r="H42" s="2">
        <v>32</v>
      </c>
      <c r="I42" s="6"/>
      <c r="J42">
        <v>1259</v>
      </c>
      <c r="K42">
        <f t="shared" si="0"/>
        <v>2541.6997617156471</v>
      </c>
    </row>
    <row r="43" spans="1:11" ht="15" thickBot="1" x14ac:dyDescent="0.35">
      <c r="A43" t="s">
        <v>67</v>
      </c>
      <c r="B43" s="1" t="s">
        <v>41</v>
      </c>
      <c r="C43" s="2">
        <v>0</v>
      </c>
      <c r="D43" s="7">
        <v>0</v>
      </c>
      <c r="E43" s="2">
        <v>0</v>
      </c>
      <c r="F43" s="2">
        <v>2</v>
      </c>
      <c r="G43" s="2">
        <v>9</v>
      </c>
      <c r="H43" s="2">
        <v>11</v>
      </c>
      <c r="I43" s="6"/>
      <c r="J43">
        <v>1259</v>
      </c>
      <c r="K43">
        <f t="shared" si="0"/>
        <v>873.70929308975383</v>
      </c>
    </row>
    <row r="44" spans="1:11" ht="15" thickBot="1" x14ac:dyDescent="0.35">
      <c r="A44" t="s">
        <v>67</v>
      </c>
      <c r="B44" s="1" t="s">
        <v>42</v>
      </c>
      <c r="C44" s="2">
        <v>2</v>
      </c>
      <c r="D44" s="7">
        <v>0</v>
      </c>
      <c r="E44" s="2">
        <v>2</v>
      </c>
      <c r="F44" s="2">
        <v>0</v>
      </c>
      <c r="G44" s="2">
        <v>9</v>
      </c>
      <c r="H44" s="2">
        <v>13</v>
      </c>
      <c r="I44" s="6"/>
      <c r="J44">
        <v>1259</v>
      </c>
      <c r="K44">
        <f t="shared" si="0"/>
        <v>1032.5655281969816</v>
      </c>
    </row>
    <row r="45" spans="1:11" ht="15" thickBot="1" x14ac:dyDescent="0.35">
      <c r="A45" t="s">
        <v>67</v>
      </c>
      <c r="B45" s="1" t="s">
        <v>43</v>
      </c>
      <c r="C45" s="2">
        <v>0</v>
      </c>
      <c r="D45" s="7">
        <v>1</v>
      </c>
      <c r="E45" s="2">
        <v>2</v>
      </c>
      <c r="F45" s="2">
        <v>8</v>
      </c>
      <c r="G45" s="2">
        <v>15</v>
      </c>
      <c r="H45" s="2">
        <v>26</v>
      </c>
      <c r="I45" s="6"/>
      <c r="J45">
        <v>1259</v>
      </c>
      <c r="K45">
        <f t="shared" si="0"/>
        <v>2065.1310563939633</v>
      </c>
    </row>
    <row r="46" spans="1:11" ht="15" thickBot="1" x14ac:dyDescent="0.35">
      <c r="A46" t="s">
        <v>67</v>
      </c>
      <c r="B46" s="1" t="s">
        <v>44</v>
      </c>
      <c r="C46" s="2">
        <v>0</v>
      </c>
      <c r="D46" s="7">
        <v>1</v>
      </c>
      <c r="E46" s="2">
        <v>0</v>
      </c>
      <c r="F46" s="2">
        <v>1</v>
      </c>
      <c r="G46" s="2">
        <v>22</v>
      </c>
      <c r="H46" s="2">
        <v>24</v>
      </c>
      <c r="I46" s="6"/>
      <c r="J46">
        <v>1259</v>
      </c>
      <c r="K46">
        <f t="shared" si="0"/>
        <v>1906.2748212867357</v>
      </c>
    </row>
    <row r="47" spans="1:11" ht="15" thickBot="1" x14ac:dyDescent="0.35">
      <c r="A47" t="s">
        <v>67</v>
      </c>
      <c r="B47" s="1" t="s">
        <v>45</v>
      </c>
      <c r="C47" s="2">
        <v>3</v>
      </c>
      <c r="D47" s="7">
        <v>2</v>
      </c>
      <c r="E47" s="2">
        <v>0</v>
      </c>
      <c r="F47" s="2">
        <v>4</v>
      </c>
      <c r="G47" s="2">
        <v>13</v>
      </c>
      <c r="H47" s="2">
        <v>22</v>
      </c>
      <c r="I47" s="6"/>
      <c r="J47">
        <v>1259</v>
      </c>
      <c r="K47">
        <f t="shared" si="0"/>
        <v>1747.4185861795077</v>
      </c>
    </row>
    <row r="48" spans="1:11" ht="15" thickBot="1" x14ac:dyDescent="0.35">
      <c r="A48" t="s">
        <v>67</v>
      </c>
      <c r="B48" s="1" t="s">
        <v>46</v>
      </c>
      <c r="C48" s="2">
        <v>1</v>
      </c>
      <c r="D48" s="7">
        <v>1</v>
      </c>
      <c r="E48" s="2">
        <v>1</v>
      </c>
      <c r="F48" s="2">
        <v>2</v>
      </c>
      <c r="G48" s="2">
        <v>14</v>
      </c>
      <c r="H48" s="2">
        <v>19</v>
      </c>
      <c r="I48" s="6"/>
      <c r="J48">
        <v>1259</v>
      </c>
      <c r="K48">
        <f t="shared" si="0"/>
        <v>1509.1342335186657</v>
      </c>
    </row>
    <row r="49" spans="1:14" ht="15" thickBot="1" x14ac:dyDescent="0.35">
      <c r="A49" t="s">
        <v>67</v>
      </c>
      <c r="B49" s="1" t="s">
        <v>47</v>
      </c>
      <c r="C49" s="2">
        <v>1</v>
      </c>
      <c r="D49" s="7">
        <v>0</v>
      </c>
      <c r="E49" s="2">
        <v>1</v>
      </c>
      <c r="F49" s="2">
        <v>3</v>
      </c>
      <c r="G49" s="2">
        <v>6</v>
      </c>
      <c r="H49" s="2">
        <v>11</v>
      </c>
      <c r="I49" s="6"/>
      <c r="J49">
        <v>1259</v>
      </c>
      <c r="K49">
        <f t="shared" si="0"/>
        <v>873.70929308975383</v>
      </c>
    </row>
    <row r="50" spans="1:14" ht="15" thickBot="1" x14ac:dyDescent="0.35">
      <c r="A50" t="s">
        <v>67</v>
      </c>
      <c r="B50" s="1" t="s">
        <v>48</v>
      </c>
      <c r="C50" s="2">
        <v>1</v>
      </c>
      <c r="D50" s="7">
        <v>0</v>
      </c>
      <c r="E50" s="2">
        <v>1</v>
      </c>
      <c r="F50" s="2">
        <v>4</v>
      </c>
      <c r="G50" s="2">
        <v>11</v>
      </c>
      <c r="H50" s="2">
        <v>17</v>
      </c>
      <c r="I50" s="6"/>
      <c r="J50">
        <v>1259</v>
      </c>
      <c r="K50">
        <f t="shared" si="0"/>
        <v>1350.2779984114377</v>
      </c>
    </row>
    <row r="51" spans="1:14" ht="15" thickBot="1" x14ac:dyDescent="0.35">
      <c r="A51" t="s">
        <v>67</v>
      </c>
      <c r="B51" s="1" t="s">
        <v>49</v>
      </c>
      <c r="C51" s="2">
        <v>1</v>
      </c>
      <c r="D51" s="7">
        <v>0</v>
      </c>
      <c r="E51" s="2">
        <v>0</v>
      </c>
      <c r="F51" s="2">
        <v>7</v>
      </c>
      <c r="G51" s="2">
        <v>15</v>
      </c>
      <c r="H51" s="2">
        <v>23</v>
      </c>
      <c r="I51" s="6"/>
      <c r="J51">
        <v>1259</v>
      </c>
      <c r="K51">
        <f t="shared" si="0"/>
        <v>1826.8467037331216</v>
      </c>
    </row>
    <row r="52" spans="1:14" ht="15" thickBot="1" x14ac:dyDescent="0.35">
      <c r="A52" t="s">
        <v>67</v>
      </c>
      <c r="B52" s="1" t="s">
        <v>50</v>
      </c>
      <c r="C52" s="2">
        <v>1</v>
      </c>
      <c r="D52" s="7">
        <v>0</v>
      </c>
      <c r="E52" s="2">
        <v>1</v>
      </c>
      <c r="F52" s="2">
        <v>12</v>
      </c>
      <c r="G52" s="2">
        <v>11</v>
      </c>
      <c r="H52" s="2">
        <v>25</v>
      </c>
      <c r="I52" s="6"/>
      <c r="J52">
        <v>1259</v>
      </c>
      <c r="K52">
        <f t="shared" si="0"/>
        <v>1985.7029388403496</v>
      </c>
    </row>
    <row r="53" spans="1:14" ht="15" thickBot="1" x14ac:dyDescent="0.35">
      <c r="A53" t="s">
        <v>67</v>
      </c>
      <c r="B53" s="1" t="s">
        <v>51</v>
      </c>
      <c r="C53" s="2">
        <v>1</v>
      </c>
      <c r="D53" s="7">
        <v>0</v>
      </c>
      <c r="E53" s="2">
        <v>0</v>
      </c>
      <c r="F53" s="2">
        <v>6</v>
      </c>
      <c r="G53" s="2">
        <v>17</v>
      </c>
      <c r="H53" s="2">
        <v>24</v>
      </c>
      <c r="I53" s="6"/>
      <c r="J53">
        <v>1259</v>
      </c>
      <c r="K53">
        <f t="shared" si="0"/>
        <v>1906.2748212867357</v>
      </c>
    </row>
    <row r="54" spans="1:14" ht="15" thickBot="1" x14ac:dyDescent="0.35">
      <c r="A54" t="s">
        <v>67</v>
      </c>
      <c r="B54" s="1" t="s">
        <v>52</v>
      </c>
      <c r="C54" s="2">
        <v>0</v>
      </c>
      <c r="D54" s="7">
        <v>0</v>
      </c>
      <c r="E54" s="2">
        <v>1</v>
      </c>
      <c r="F54" s="2">
        <v>10</v>
      </c>
      <c r="G54" s="2">
        <v>10</v>
      </c>
      <c r="H54" s="2">
        <v>21</v>
      </c>
      <c r="I54" s="6"/>
      <c r="J54">
        <v>1259</v>
      </c>
      <c r="K54">
        <f t="shared" si="0"/>
        <v>1667.9904686258933</v>
      </c>
    </row>
    <row r="55" spans="1:14" ht="15" thickBot="1" x14ac:dyDescent="0.35">
      <c r="A55" t="s">
        <v>67</v>
      </c>
      <c r="B55" s="1" t="s">
        <v>53</v>
      </c>
      <c r="C55" s="2">
        <v>4</v>
      </c>
      <c r="D55" s="7">
        <v>0</v>
      </c>
      <c r="E55" s="2">
        <v>1</v>
      </c>
      <c r="F55" s="2">
        <v>7</v>
      </c>
      <c r="G55" s="2">
        <v>13</v>
      </c>
      <c r="H55" s="2">
        <v>25</v>
      </c>
      <c r="I55" s="6"/>
      <c r="J55">
        <v>1259</v>
      </c>
      <c r="K55">
        <f t="shared" si="0"/>
        <v>1985.7029388403496</v>
      </c>
    </row>
    <row r="56" spans="1:14" ht="15" thickBot="1" x14ac:dyDescent="0.35">
      <c r="A56" t="s">
        <v>67</v>
      </c>
      <c r="B56" s="1" t="s">
        <v>54</v>
      </c>
      <c r="C56" s="2">
        <v>1</v>
      </c>
      <c r="D56" s="7">
        <v>0</v>
      </c>
      <c r="E56" s="2">
        <v>0</v>
      </c>
      <c r="F56" s="2">
        <v>5</v>
      </c>
      <c r="G56" s="2">
        <v>16</v>
      </c>
      <c r="H56" s="2">
        <v>22</v>
      </c>
      <c r="I56" s="6"/>
      <c r="J56">
        <v>1259</v>
      </c>
      <c r="K56">
        <f t="shared" si="0"/>
        <v>1747.4185861795077</v>
      </c>
    </row>
    <row r="57" spans="1:14" ht="15" thickBot="1" x14ac:dyDescent="0.35">
      <c r="A57" t="s">
        <v>67</v>
      </c>
      <c r="B57" s="1" t="s">
        <v>55</v>
      </c>
      <c r="C57" s="2">
        <v>0</v>
      </c>
      <c r="D57" s="7">
        <v>0</v>
      </c>
      <c r="E57" s="2">
        <v>0</v>
      </c>
      <c r="F57" s="2">
        <v>5</v>
      </c>
      <c r="G57" s="2">
        <v>18</v>
      </c>
      <c r="H57" s="2">
        <v>23</v>
      </c>
      <c r="I57" s="6"/>
      <c r="J57">
        <v>1259</v>
      </c>
      <c r="K57">
        <f t="shared" si="0"/>
        <v>1826.8467037331216</v>
      </c>
    </row>
    <row r="58" spans="1:14" ht="15" thickBot="1" x14ac:dyDescent="0.35">
      <c r="A58" t="s">
        <v>67</v>
      </c>
      <c r="B58" s="1" t="s">
        <v>56</v>
      </c>
      <c r="C58" s="2">
        <v>0</v>
      </c>
      <c r="D58" s="7">
        <v>1</v>
      </c>
      <c r="E58" s="2">
        <v>2</v>
      </c>
      <c r="F58" s="2">
        <v>5</v>
      </c>
      <c r="G58" s="2">
        <v>18</v>
      </c>
      <c r="H58" s="2">
        <v>26</v>
      </c>
      <c r="I58" s="6"/>
      <c r="J58">
        <v>1259</v>
      </c>
      <c r="K58">
        <f t="shared" si="0"/>
        <v>2065.1310563939633</v>
      </c>
    </row>
    <row r="59" spans="1:14" ht="15" thickBot="1" x14ac:dyDescent="0.35">
      <c r="A59" t="s">
        <v>67</v>
      </c>
      <c r="B59" s="1" t="s">
        <v>57</v>
      </c>
      <c r="C59" s="2">
        <v>1</v>
      </c>
      <c r="D59" s="7">
        <v>1</v>
      </c>
      <c r="E59" s="2">
        <v>1</v>
      </c>
      <c r="F59" s="2">
        <v>6</v>
      </c>
      <c r="G59" s="2">
        <v>17</v>
      </c>
      <c r="H59" s="2">
        <v>26</v>
      </c>
      <c r="I59" s="6"/>
      <c r="J59">
        <v>1259</v>
      </c>
      <c r="K59">
        <f t="shared" si="0"/>
        <v>2065.1310563939633</v>
      </c>
    </row>
    <row r="60" spans="1:14" ht="15" thickBot="1" x14ac:dyDescent="0.35">
      <c r="A60" t="s">
        <v>67</v>
      </c>
      <c r="B60" s="1" t="s">
        <v>58</v>
      </c>
      <c r="C60" s="2">
        <v>1</v>
      </c>
      <c r="D60" s="7">
        <v>1</v>
      </c>
      <c r="E60" s="2">
        <v>1</v>
      </c>
      <c r="F60" s="2">
        <v>12</v>
      </c>
      <c r="G60" s="2">
        <v>10</v>
      </c>
      <c r="H60" s="2">
        <v>25</v>
      </c>
      <c r="I60" s="6"/>
      <c r="J60">
        <v>1259</v>
      </c>
      <c r="K60">
        <f t="shared" si="0"/>
        <v>1985.7029388403496</v>
      </c>
    </row>
    <row r="61" spans="1:14" ht="15" thickBot="1" x14ac:dyDescent="0.35">
      <c r="A61" t="s">
        <v>67</v>
      </c>
      <c r="B61" s="1" t="s">
        <v>59</v>
      </c>
      <c r="C61" s="2">
        <v>2</v>
      </c>
      <c r="D61" s="7">
        <v>0</v>
      </c>
      <c r="E61" s="2">
        <v>2</v>
      </c>
      <c r="F61" s="2">
        <v>4</v>
      </c>
      <c r="G61" s="2">
        <v>19</v>
      </c>
      <c r="H61" s="2">
        <v>27</v>
      </c>
      <c r="I61" s="6"/>
      <c r="J61">
        <v>1259</v>
      </c>
      <c r="K61">
        <f t="shared" si="0"/>
        <v>2144.5591739475776</v>
      </c>
      <c r="N61">
        <f>1365*100000/1259</f>
        <v>108419.38046068308</v>
      </c>
    </row>
    <row r="62" spans="1:14" ht="15" thickBot="1" x14ac:dyDescent="0.35">
      <c r="A62" t="s">
        <v>67</v>
      </c>
      <c r="B62" s="1" t="s">
        <v>60</v>
      </c>
      <c r="C62" s="2">
        <v>2</v>
      </c>
      <c r="D62" s="7">
        <v>0</v>
      </c>
      <c r="E62" s="2">
        <v>0</v>
      </c>
      <c r="F62" s="2">
        <v>4</v>
      </c>
      <c r="G62" s="2">
        <v>15</v>
      </c>
      <c r="H62" s="2">
        <v>21</v>
      </c>
      <c r="I62" s="6"/>
      <c r="J62">
        <v>1259</v>
      </c>
      <c r="K62">
        <f t="shared" si="0"/>
        <v>1667.9904686258933</v>
      </c>
    </row>
    <row r="63" spans="1:14" ht="15" thickBot="1" x14ac:dyDescent="0.35">
      <c r="A63" t="s">
        <v>67</v>
      </c>
      <c r="B63" s="1" t="s">
        <v>61</v>
      </c>
      <c r="C63" s="2">
        <v>5</v>
      </c>
      <c r="D63" s="7">
        <v>0</v>
      </c>
      <c r="E63" s="2">
        <v>0</v>
      </c>
      <c r="F63" s="2">
        <v>6</v>
      </c>
      <c r="G63" s="2">
        <v>26</v>
      </c>
      <c r="H63" s="2">
        <v>37</v>
      </c>
      <c r="I63" s="6"/>
      <c r="J63">
        <v>1259</v>
      </c>
      <c r="K63">
        <f t="shared" si="0"/>
        <v>2938.8403494837171</v>
      </c>
      <c r="N63">
        <f>1365*100000/1259</f>
        <v>108419.38046068308</v>
      </c>
    </row>
    <row r="64" spans="1:14" ht="15" thickBot="1" x14ac:dyDescent="0.35">
      <c r="A64" t="s">
        <v>67</v>
      </c>
      <c r="B64" s="1" t="s">
        <v>62</v>
      </c>
      <c r="C64" s="2">
        <v>3</v>
      </c>
      <c r="D64" s="7">
        <v>1</v>
      </c>
      <c r="E64" s="2">
        <v>0</v>
      </c>
      <c r="F64" s="2">
        <v>6</v>
      </c>
      <c r="G64" s="2">
        <v>25</v>
      </c>
      <c r="H64" s="2">
        <v>35</v>
      </c>
      <c r="I64" s="6"/>
      <c r="J64">
        <v>1259</v>
      </c>
      <c r="K64">
        <f>H64/J64*100000</f>
        <v>2779.9841143764893</v>
      </c>
    </row>
    <row r="65" spans="1:15" ht="15" thickBot="1" x14ac:dyDescent="0.35">
      <c r="A65" t="s">
        <v>67</v>
      </c>
      <c r="B65" s="1" t="s">
        <v>63</v>
      </c>
      <c r="C65" s="3"/>
      <c r="D65" s="8"/>
      <c r="E65" s="3"/>
      <c r="F65" s="3"/>
      <c r="G65" s="3"/>
      <c r="H65" s="3"/>
      <c r="I65" s="6"/>
      <c r="J65">
        <v>1259</v>
      </c>
      <c r="K65">
        <f t="shared" si="0"/>
        <v>0</v>
      </c>
    </row>
    <row r="66" spans="1:15" ht="15" thickBot="1" x14ac:dyDescent="0.35">
      <c r="A66" t="s">
        <v>67</v>
      </c>
      <c r="B66" s="1" t="s">
        <v>64</v>
      </c>
      <c r="C66" s="3"/>
      <c r="D66" s="8"/>
      <c r="E66" s="3"/>
      <c r="F66" s="3"/>
      <c r="G66" s="3"/>
      <c r="H66" s="3"/>
      <c r="I66" s="6"/>
      <c r="J66">
        <v>1259</v>
      </c>
      <c r="K66">
        <f t="shared" si="0"/>
        <v>0</v>
      </c>
      <c r="N66">
        <v>1353</v>
      </c>
      <c r="O66">
        <f>N66/J66*100000</f>
        <v>107466.24305003972</v>
      </c>
    </row>
  </sheetData>
  <autoFilter ref="H1:H66" xr:uid="{C9BAC718-715F-4B32-B96D-7F3E77229D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CDD6-832A-4EC4-A288-6DB963E0E057}">
  <dimension ref="A1:H66"/>
  <sheetViews>
    <sheetView topLeftCell="A46" workbookViewId="0">
      <selection activeCell="B56" sqref="B56:H56"/>
    </sheetView>
  </sheetViews>
  <sheetFormatPr defaultRowHeight="14.4" x14ac:dyDescent="0.3"/>
  <cols>
    <col min="5" max="5" width="16" customWidth="1"/>
    <col min="8" max="8" width="20" customWidth="1"/>
  </cols>
  <sheetData>
    <row r="1" spans="1:8" ht="15" thickBot="1" x14ac:dyDescent="0.35">
      <c r="A1" t="s">
        <v>66</v>
      </c>
      <c r="B1" s="9" t="s">
        <v>65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</row>
    <row r="2" spans="1:8" ht="15" thickBot="1" x14ac:dyDescent="0.35">
      <c r="A2" t="s">
        <v>67</v>
      </c>
      <c r="B2" s="1" t="s">
        <v>0</v>
      </c>
      <c r="C2" s="3"/>
      <c r="D2" s="12"/>
      <c r="E2" s="3"/>
      <c r="F2" s="3"/>
      <c r="G2" s="3"/>
      <c r="H2" s="3"/>
    </row>
    <row r="3" spans="1:8" ht="15" thickBot="1" x14ac:dyDescent="0.35">
      <c r="A3" t="s">
        <v>67</v>
      </c>
      <c r="B3" s="1" t="s">
        <v>1</v>
      </c>
      <c r="C3" s="3"/>
      <c r="D3" s="12"/>
      <c r="E3" s="3"/>
      <c r="F3" s="3"/>
      <c r="G3" s="3"/>
      <c r="H3" s="3"/>
    </row>
    <row r="4" spans="1:8" ht="15" thickBot="1" x14ac:dyDescent="0.35">
      <c r="A4" t="s">
        <v>67</v>
      </c>
      <c r="B4" s="1" t="s">
        <v>2</v>
      </c>
      <c r="C4" s="3"/>
      <c r="D4" s="12"/>
      <c r="E4" s="3"/>
      <c r="F4" s="3"/>
      <c r="G4" s="3"/>
      <c r="H4" s="3"/>
    </row>
    <row r="5" spans="1:8" ht="15" thickBot="1" x14ac:dyDescent="0.35">
      <c r="A5" t="s">
        <v>67</v>
      </c>
      <c r="B5" s="1" t="s">
        <v>3</v>
      </c>
      <c r="C5" s="3"/>
      <c r="D5" s="12"/>
      <c r="E5" s="3"/>
      <c r="F5" s="3"/>
      <c r="G5" s="3"/>
      <c r="H5" s="3"/>
    </row>
    <row r="6" spans="1:8" ht="15" thickBot="1" x14ac:dyDescent="0.35">
      <c r="A6" t="s">
        <v>67</v>
      </c>
      <c r="B6" s="1" t="s">
        <v>4</v>
      </c>
      <c r="C6" s="3"/>
      <c r="D6" s="12"/>
      <c r="E6" s="3"/>
      <c r="F6" s="3"/>
      <c r="G6" s="3"/>
      <c r="H6" s="3"/>
    </row>
    <row r="7" spans="1:8" ht="15" thickBot="1" x14ac:dyDescent="0.35">
      <c r="A7" t="s">
        <v>67</v>
      </c>
      <c r="B7" s="1" t="s">
        <v>5</v>
      </c>
      <c r="C7" s="3"/>
      <c r="D7" s="12"/>
      <c r="E7" s="3"/>
      <c r="F7" s="3"/>
      <c r="G7" s="3"/>
      <c r="H7" s="3"/>
    </row>
    <row r="8" spans="1:8" ht="15" thickBot="1" x14ac:dyDescent="0.35">
      <c r="A8" t="s">
        <v>67</v>
      </c>
      <c r="B8" s="1" t="s">
        <v>6</v>
      </c>
      <c r="C8" s="3"/>
      <c r="D8" s="12"/>
      <c r="E8" s="3"/>
      <c r="F8" s="3"/>
      <c r="G8" s="3"/>
      <c r="H8" s="3"/>
    </row>
    <row r="9" spans="1:8" ht="15" thickBot="1" x14ac:dyDescent="0.35">
      <c r="A9" t="s">
        <v>67</v>
      </c>
      <c r="B9" s="1" t="s">
        <v>7</v>
      </c>
      <c r="C9" s="3"/>
      <c r="D9" s="12"/>
      <c r="E9" s="3"/>
      <c r="F9" s="3"/>
      <c r="G9" s="3"/>
      <c r="H9" s="3"/>
    </row>
    <row r="10" spans="1:8" ht="15" thickBot="1" x14ac:dyDescent="0.35">
      <c r="A10" t="s">
        <v>67</v>
      </c>
      <c r="B10" s="1" t="s">
        <v>8</v>
      </c>
      <c r="C10" s="3"/>
      <c r="D10" s="12"/>
      <c r="E10" s="3"/>
      <c r="F10" s="3"/>
      <c r="G10" s="3"/>
      <c r="H10" s="3"/>
    </row>
    <row r="11" spans="1:8" ht="15" thickBot="1" x14ac:dyDescent="0.35">
      <c r="A11" t="s">
        <v>67</v>
      </c>
      <c r="B11" s="1" t="s">
        <v>9</v>
      </c>
      <c r="C11" s="3"/>
      <c r="D11" s="12"/>
      <c r="E11" s="3"/>
      <c r="F11" s="3"/>
      <c r="G11" s="3"/>
      <c r="H11" s="3"/>
    </row>
    <row r="12" spans="1:8" ht="15" thickBot="1" x14ac:dyDescent="0.35">
      <c r="A12" t="s">
        <v>67</v>
      </c>
      <c r="B12" s="1" t="s">
        <v>10</v>
      </c>
      <c r="C12" s="3"/>
      <c r="D12" s="12"/>
      <c r="E12" s="3"/>
      <c r="F12" s="3"/>
      <c r="G12" s="3"/>
      <c r="H12" s="3"/>
    </row>
    <row r="13" spans="1:8" ht="15" thickBot="1" x14ac:dyDescent="0.35">
      <c r="A13" t="s">
        <v>67</v>
      </c>
      <c r="B13" s="1" t="s">
        <v>11</v>
      </c>
      <c r="C13" s="3"/>
      <c r="D13" s="12"/>
      <c r="E13" s="3"/>
      <c r="F13" s="3"/>
      <c r="G13" s="3"/>
      <c r="H13" s="3"/>
    </row>
    <row r="14" spans="1:8" ht="15" thickBot="1" x14ac:dyDescent="0.35">
      <c r="A14" t="s">
        <v>67</v>
      </c>
      <c r="B14" s="1" t="s">
        <v>12</v>
      </c>
      <c r="C14" s="3"/>
      <c r="D14" s="12"/>
      <c r="E14" s="3"/>
      <c r="F14" s="3"/>
      <c r="G14" s="3"/>
      <c r="H14" s="3"/>
    </row>
    <row r="15" spans="1:8" ht="15" thickBot="1" x14ac:dyDescent="0.35">
      <c r="A15" t="s">
        <v>67</v>
      </c>
      <c r="B15" s="1" t="s">
        <v>13</v>
      </c>
      <c r="C15" s="10">
        <v>0.25</v>
      </c>
      <c r="D15" s="13">
        <v>0</v>
      </c>
      <c r="E15" s="10">
        <v>0</v>
      </c>
      <c r="F15" s="10">
        <v>0.08</v>
      </c>
      <c r="G15" s="10">
        <v>0.19</v>
      </c>
      <c r="H15" s="10">
        <v>0.16</v>
      </c>
    </row>
    <row r="16" spans="1:8" ht="15" thickBot="1" x14ac:dyDescent="0.35">
      <c r="A16" t="s">
        <v>67</v>
      </c>
      <c r="B16" s="1" t="s">
        <v>14</v>
      </c>
      <c r="C16" s="3"/>
      <c r="D16" s="13">
        <v>0</v>
      </c>
      <c r="E16" s="11"/>
      <c r="F16" s="10">
        <v>0</v>
      </c>
      <c r="G16" s="10">
        <v>0.1</v>
      </c>
      <c r="H16" s="10">
        <v>7.0000000000000007E-2</v>
      </c>
    </row>
    <row r="17" spans="1:8" ht="15" thickBot="1" x14ac:dyDescent="0.35">
      <c r="A17" t="s">
        <v>67</v>
      </c>
      <c r="B17" s="1" t="s">
        <v>15</v>
      </c>
      <c r="C17" s="3"/>
      <c r="D17" s="12"/>
      <c r="E17" s="11"/>
      <c r="F17" s="10">
        <v>0</v>
      </c>
      <c r="G17" s="10">
        <v>0.1</v>
      </c>
      <c r="H17" s="10">
        <v>0.06</v>
      </c>
    </row>
    <row r="18" spans="1:8" ht="15" thickBot="1" x14ac:dyDescent="0.35">
      <c r="A18" t="s">
        <v>67</v>
      </c>
      <c r="B18" s="1" t="s">
        <v>16</v>
      </c>
      <c r="C18" s="10">
        <v>0</v>
      </c>
      <c r="D18" s="13">
        <v>0</v>
      </c>
      <c r="E18" s="10">
        <v>0</v>
      </c>
      <c r="F18" s="10">
        <v>0.08</v>
      </c>
      <c r="G18" s="10">
        <v>0.1</v>
      </c>
      <c r="H18" s="10">
        <v>0.08</v>
      </c>
    </row>
    <row r="19" spans="1:8" ht="15" thickBot="1" x14ac:dyDescent="0.35">
      <c r="A19" t="s">
        <v>67</v>
      </c>
      <c r="B19" s="1" t="s">
        <v>17</v>
      </c>
      <c r="C19" s="10">
        <v>0</v>
      </c>
      <c r="D19" s="13">
        <v>0</v>
      </c>
      <c r="E19" s="11"/>
      <c r="F19" s="10">
        <v>0</v>
      </c>
      <c r="G19" s="10">
        <v>0.09</v>
      </c>
      <c r="H19" s="10">
        <v>0.06</v>
      </c>
    </row>
    <row r="20" spans="1:8" ht="15" thickBot="1" x14ac:dyDescent="0.35">
      <c r="A20" t="s">
        <v>67</v>
      </c>
      <c r="B20" s="1" t="s">
        <v>18</v>
      </c>
      <c r="C20" s="10">
        <v>0</v>
      </c>
      <c r="D20" s="13">
        <v>0</v>
      </c>
      <c r="E20" s="10">
        <v>0</v>
      </c>
      <c r="F20" s="10">
        <v>0</v>
      </c>
      <c r="G20" s="10">
        <v>0</v>
      </c>
      <c r="H20" s="10">
        <v>0</v>
      </c>
    </row>
    <row r="21" spans="1:8" ht="15" thickBot="1" x14ac:dyDescent="0.35">
      <c r="A21" t="s">
        <v>67</v>
      </c>
      <c r="B21" s="1" t="s">
        <v>19</v>
      </c>
      <c r="C21" s="10">
        <v>0</v>
      </c>
      <c r="D21" s="14"/>
      <c r="E21" s="10">
        <v>0</v>
      </c>
      <c r="F21" s="10">
        <v>0</v>
      </c>
      <c r="G21" s="10">
        <v>0.1</v>
      </c>
      <c r="H21" s="10">
        <v>0.06</v>
      </c>
    </row>
    <row r="22" spans="1:8" ht="15" thickBot="1" x14ac:dyDescent="0.35">
      <c r="A22" t="s">
        <v>67</v>
      </c>
      <c r="B22" s="1" t="s">
        <v>20</v>
      </c>
      <c r="C22" s="11"/>
      <c r="D22" s="13">
        <v>0</v>
      </c>
      <c r="E22" s="10">
        <v>0</v>
      </c>
      <c r="F22" s="10">
        <v>0</v>
      </c>
      <c r="G22" s="10">
        <v>0</v>
      </c>
      <c r="H22" s="10">
        <v>0</v>
      </c>
    </row>
    <row r="23" spans="1:8" ht="15" thickBot="1" x14ac:dyDescent="0.35">
      <c r="A23" t="s">
        <v>67</v>
      </c>
      <c r="B23" s="1" t="s">
        <v>21</v>
      </c>
      <c r="C23" s="11"/>
      <c r="D23" s="13">
        <v>0</v>
      </c>
      <c r="E23" s="11"/>
      <c r="F23" s="10">
        <v>0</v>
      </c>
      <c r="G23" s="10">
        <v>0</v>
      </c>
      <c r="H23" s="10">
        <v>0</v>
      </c>
    </row>
    <row r="24" spans="1:8" ht="15" thickBot="1" x14ac:dyDescent="0.35">
      <c r="A24" t="s">
        <v>67</v>
      </c>
      <c r="B24" s="1" t="s">
        <v>22</v>
      </c>
      <c r="C24" s="10">
        <v>0</v>
      </c>
      <c r="D24" s="12"/>
      <c r="E24" s="11"/>
      <c r="F24" s="10">
        <v>0</v>
      </c>
      <c r="G24" s="10">
        <v>0.06</v>
      </c>
      <c r="H24" s="10">
        <v>0.04</v>
      </c>
    </row>
    <row r="25" spans="1:8" ht="15" thickBot="1" x14ac:dyDescent="0.35">
      <c r="A25" t="s">
        <v>67</v>
      </c>
      <c r="B25" s="1" t="s">
        <v>23</v>
      </c>
      <c r="C25" s="10">
        <v>0</v>
      </c>
      <c r="D25" s="12"/>
      <c r="E25" s="11"/>
      <c r="F25" s="10">
        <v>0</v>
      </c>
      <c r="G25" s="10">
        <v>0.05</v>
      </c>
      <c r="H25" s="10">
        <v>0.04</v>
      </c>
    </row>
    <row r="26" spans="1:8" ht="15" thickBot="1" x14ac:dyDescent="0.35">
      <c r="A26" t="s">
        <v>67</v>
      </c>
      <c r="B26" s="1" t="s">
        <v>24</v>
      </c>
      <c r="C26" s="10">
        <v>0</v>
      </c>
      <c r="D26" s="13">
        <v>0</v>
      </c>
      <c r="E26" s="10">
        <v>0</v>
      </c>
      <c r="F26" s="10">
        <v>0</v>
      </c>
      <c r="G26" s="10">
        <v>0</v>
      </c>
      <c r="H26" s="10">
        <v>0</v>
      </c>
    </row>
    <row r="27" spans="1:8" ht="15" thickBot="1" x14ac:dyDescent="0.35">
      <c r="A27" t="s">
        <v>67</v>
      </c>
      <c r="B27" s="1" t="s">
        <v>25</v>
      </c>
      <c r="C27" s="11"/>
      <c r="D27" s="13">
        <v>0</v>
      </c>
      <c r="E27" s="10">
        <v>0</v>
      </c>
      <c r="F27" s="10">
        <v>0</v>
      </c>
      <c r="G27" s="10">
        <v>0</v>
      </c>
      <c r="H27" s="10">
        <v>0</v>
      </c>
    </row>
    <row r="28" spans="1:8" ht="15" thickBot="1" x14ac:dyDescent="0.35">
      <c r="A28" t="s">
        <v>67</v>
      </c>
      <c r="B28" s="1" t="s">
        <v>26</v>
      </c>
      <c r="C28" s="11"/>
      <c r="D28" s="12"/>
      <c r="E28" s="11"/>
      <c r="F28" s="10">
        <v>0</v>
      </c>
      <c r="G28" s="10">
        <v>0</v>
      </c>
      <c r="H28" s="10">
        <v>0</v>
      </c>
    </row>
    <row r="29" spans="1:8" ht="15" thickBot="1" x14ac:dyDescent="0.35">
      <c r="A29" t="s">
        <v>67</v>
      </c>
      <c r="B29" s="1" t="s">
        <v>27</v>
      </c>
      <c r="C29" s="10">
        <v>0</v>
      </c>
      <c r="D29" s="14"/>
      <c r="E29" s="10">
        <v>0</v>
      </c>
      <c r="F29" s="10">
        <v>0</v>
      </c>
      <c r="G29" s="10">
        <v>0</v>
      </c>
      <c r="H29" s="10">
        <v>0</v>
      </c>
    </row>
    <row r="30" spans="1:8" ht="15" thickBot="1" x14ac:dyDescent="0.35">
      <c r="A30" t="s">
        <v>67</v>
      </c>
      <c r="B30" s="1" t="s">
        <v>28</v>
      </c>
      <c r="C30" s="11"/>
      <c r="D30" s="13">
        <v>0</v>
      </c>
      <c r="E30" s="10">
        <v>0</v>
      </c>
      <c r="F30" s="10">
        <v>0</v>
      </c>
      <c r="G30" s="10">
        <v>0</v>
      </c>
      <c r="H30" s="10">
        <v>0</v>
      </c>
    </row>
    <row r="31" spans="1:8" ht="15" thickBot="1" x14ac:dyDescent="0.35">
      <c r="A31" t="s">
        <v>67</v>
      </c>
      <c r="B31" s="1" t="s">
        <v>29</v>
      </c>
      <c r="C31" s="10">
        <v>0</v>
      </c>
      <c r="D31" s="13">
        <v>0</v>
      </c>
      <c r="E31" s="10">
        <v>0</v>
      </c>
      <c r="F31" s="10">
        <v>0</v>
      </c>
      <c r="G31" s="10">
        <v>0.08</v>
      </c>
      <c r="H31" s="10">
        <v>0.06</v>
      </c>
    </row>
    <row r="32" spans="1:8" ht="15" thickBot="1" x14ac:dyDescent="0.35">
      <c r="A32" t="s">
        <v>67</v>
      </c>
      <c r="B32" s="1" t="s">
        <v>30</v>
      </c>
      <c r="C32" s="10">
        <v>0</v>
      </c>
      <c r="D32" s="13">
        <v>0</v>
      </c>
      <c r="E32" s="10">
        <v>0</v>
      </c>
      <c r="F32" s="10">
        <v>0</v>
      </c>
      <c r="G32" s="10">
        <v>0.11</v>
      </c>
      <c r="H32" s="10">
        <v>0.06</v>
      </c>
    </row>
    <row r="33" spans="1:8" ht="15" thickBot="1" x14ac:dyDescent="0.35">
      <c r="A33" t="s">
        <v>67</v>
      </c>
      <c r="B33" s="1" t="s">
        <v>31</v>
      </c>
      <c r="C33" s="10">
        <v>0</v>
      </c>
      <c r="D33" s="13">
        <v>0</v>
      </c>
      <c r="E33" s="11"/>
      <c r="F33" s="10">
        <v>0</v>
      </c>
      <c r="G33" s="10">
        <v>0.05</v>
      </c>
      <c r="H33" s="10">
        <v>0.03</v>
      </c>
    </row>
    <row r="34" spans="1:8" ht="15" thickBot="1" x14ac:dyDescent="0.35">
      <c r="A34" t="s">
        <v>67</v>
      </c>
      <c r="B34" s="1" t="s">
        <v>32</v>
      </c>
      <c r="C34" s="10">
        <v>0</v>
      </c>
      <c r="D34" s="12"/>
      <c r="E34" s="11"/>
      <c r="F34" s="10">
        <v>0</v>
      </c>
      <c r="G34" s="10">
        <v>0</v>
      </c>
      <c r="H34" s="10">
        <v>0</v>
      </c>
    </row>
    <row r="35" spans="1:8" ht="15" thickBot="1" x14ac:dyDescent="0.35">
      <c r="A35" t="s">
        <v>67</v>
      </c>
      <c r="B35" s="1" t="s">
        <v>33</v>
      </c>
      <c r="C35" s="10">
        <v>0</v>
      </c>
      <c r="D35" s="13">
        <v>0</v>
      </c>
      <c r="E35" s="10">
        <v>0</v>
      </c>
      <c r="F35" s="10">
        <v>0</v>
      </c>
      <c r="G35" s="10">
        <v>0.11</v>
      </c>
      <c r="H35" s="10">
        <v>0.08</v>
      </c>
    </row>
    <row r="36" spans="1:8" ht="15" thickBot="1" x14ac:dyDescent="0.35">
      <c r="A36" t="s">
        <v>67</v>
      </c>
      <c r="B36" s="1" t="s">
        <v>34</v>
      </c>
      <c r="C36" s="10">
        <v>0</v>
      </c>
      <c r="D36" s="14"/>
      <c r="E36" s="10">
        <v>0</v>
      </c>
      <c r="F36" s="10">
        <v>0</v>
      </c>
      <c r="G36" s="10">
        <v>0.08</v>
      </c>
      <c r="H36" s="10">
        <v>0.05</v>
      </c>
    </row>
    <row r="37" spans="1:8" ht="15" thickBot="1" x14ac:dyDescent="0.35">
      <c r="A37" t="s">
        <v>67</v>
      </c>
      <c r="B37" s="1" t="s">
        <v>35</v>
      </c>
      <c r="C37" s="10">
        <v>1</v>
      </c>
      <c r="D37" s="13">
        <v>0</v>
      </c>
      <c r="E37" s="11"/>
      <c r="F37" s="10">
        <v>0</v>
      </c>
      <c r="G37" s="10">
        <v>0</v>
      </c>
      <c r="H37" s="10">
        <v>0.04</v>
      </c>
    </row>
    <row r="38" spans="1:8" ht="15" thickBot="1" x14ac:dyDescent="0.35">
      <c r="A38" t="s">
        <v>67</v>
      </c>
      <c r="B38" s="1" t="s">
        <v>36</v>
      </c>
      <c r="C38" s="10">
        <v>0</v>
      </c>
      <c r="D38" s="14"/>
      <c r="E38" s="10">
        <v>0</v>
      </c>
      <c r="F38" s="10">
        <v>0.11</v>
      </c>
      <c r="G38" s="10">
        <v>0.09</v>
      </c>
      <c r="H38" s="10">
        <v>0.09</v>
      </c>
    </row>
    <row r="39" spans="1:8" ht="15" thickBot="1" x14ac:dyDescent="0.35">
      <c r="A39" t="s">
        <v>67</v>
      </c>
      <c r="B39" s="1" t="s">
        <v>37</v>
      </c>
      <c r="C39" s="10">
        <v>0</v>
      </c>
      <c r="D39" s="13">
        <v>0</v>
      </c>
      <c r="E39" s="11"/>
      <c r="F39" s="10">
        <v>0</v>
      </c>
      <c r="G39" s="10">
        <v>0.42</v>
      </c>
      <c r="H39" s="10">
        <v>0.24</v>
      </c>
    </row>
    <row r="40" spans="1:8" ht="15" thickBot="1" x14ac:dyDescent="0.35">
      <c r="A40" t="s">
        <v>67</v>
      </c>
      <c r="B40" s="1" t="s">
        <v>38</v>
      </c>
      <c r="C40" s="11"/>
      <c r="D40" s="12"/>
      <c r="E40" s="11"/>
      <c r="F40" s="10">
        <v>0.33</v>
      </c>
      <c r="G40" s="10">
        <v>0.16</v>
      </c>
      <c r="H40" s="10">
        <v>0.18</v>
      </c>
    </row>
    <row r="41" spans="1:8" ht="15" thickBot="1" x14ac:dyDescent="0.35">
      <c r="A41" t="s">
        <v>67</v>
      </c>
      <c r="B41" s="1" t="s">
        <v>39</v>
      </c>
      <c r="C41" s="11"/>
      <c r="D41" s="12"/>
      <c r="E41" s="11"/>
      <c r="F41" s="10">
        <v>0</v>
      </c>
      <c r="G41" s="10">
        <v>0.11</v>
      </c>
      <c r="H41" s="10">
        <v>7.0000000000000007E-2</v>
      </c>
    </row>
    <row r="42" spans="1:8" ht="15" thickBot="1" x14ac:dyDescent="0.35">
      <c r="A42" t="s">
        <v>67</v>
      </c>
      <c r="B42" s="1" t="s">
        <v>40</v>
      </c>
      <c r="C42" s="10">
        <v>0</v>
      </c>
      <c r="D42" s="13">
        <v>0</v>
      </c>
      <c r="E42" s="10">
        <v>0</v>
      </c>
      <c r="F42" s="10">
        <v>0.14000000000000001</v>
      </c>
      <c r="G42" s="10">
        <v>0.43</v>
      </c>
      <c r="H42" s="10">
        <v>0.31</v>
      </c>
    </row>
    <row r="43" spans="1:8" ht="15" thickBot="1" x14ac:dyDescent="0.35">
      <c r="A43" t="s">
        <v>67</v>
      </c>
      <c r="B43" s="1" t="s">
        <v>41</v>
      </c>
      <c r="C43" s="11"/>
      <c r="D43" s="12"/>
      <c r="E43" s="11"/>
      <c r="F43" s="10">
        <v>0.5</v>
      </c>
      <c r="G43" s="10">
        <v>0.11</v>
      </c>
      <c r="H43" s="10">
        <v>0.18</v>
      </c>
    </row>
    <row r="44" spans="1:8" ht="15" thickBot="1" x14ac:dyDescent="0.35">
      <c r="A44" t="s">
        <v>67</v>
      </c>
      <c r="B44" s="1" t="s">
        <v>42</v>
      </c>
      <c r="C44" s="10">
        <v>0</v>
      </c>
      <c r="D44" s="14"/>
      <c r="E44" s="10">
        <v>0</v>
      </c>
      <c r="F44" s="11"/>
      <c r="G44" s="10">
        <v>0.11</v>
      </c>
      <c r="H44" s="10">
        <v>0.08</v>
      </c>
    </row>
    <row r="45" spans="1:8" ht="15" thickBot="1" x14ac:dyDescent="0.35">
      <c r="A45" t="s">
        <v>67</v>
      </c>
      <c r="B45" s="1" t="s">
        <v>43</v>
      </c>
      <c r="C45" s="11"/>
      <c r="D45" s="13">
        <v>0</v>
      </c>
      <c r="E45" s="10">
        <v>0</v>
      </c>
      <c r="F45" s="10">
        <v>0</v>
      </c>
      <c r="G45" s="10">
        <v>0.2</v>
      </c>
      <c r="H45" s="10">
        <v>0.12</v>
      </c>
    </row>
    <row r="46" spans="1:8" ht="15" thickBot="1" x14ac:dyDescent="0.35">
      <c r="A46" t="s">
        <v>67</v>
      </c>
      <c r="B46" s="1" t="s">
        <v>44</v>
      </c>
      <c r="C46" s="11"/>
      <c r="D46" s="13">
        <v>0</v>
      </c>
      <c r="E46" s="11"/>
      <c r="F46" s="10">
        <v>0</v>
      </c>
      <c r="G46" s="10">
        <v>0.09</v>
      </c>
      <c r="H46" s="10">
        <v>0.08</v>
      </c>
    </row>
    <row r="47" spans="1:8" ht="15" thickBot="1" x14ac:dyDescent="0.35">
      <c r="A47" t="s">
        <v>67</v>
      </c>
      <c r="B47" s="1" t="s">
        <v>45</v>
      </c>
      <c r="C47" s="10">
        <v>0</v>
      </c>
      <c r="D47" s="13">
        <v>0</v>
      </c>
      <c r="E47" s="11"/>
      <c r="F47" s="10">
        <v>0</v>
      </c>
      <c r="G47" s="10">
        <v>0.31</v>
      </c>
      <c r="H47" s="10">
        <v>0.18</v>
      </c>
    </row>
    <row r="48" spans="1:8" ht="15" thickBot="1" x14ac:dyDescent="0.35">
      <c r="A48" t="s">
        <v>67</v>
      </c>
      <c r="B48" s="1" t="s">
        <v>46</v>
      </c>
      <c r="C48" s="10">
        <v>0</v>
      </c>
      <c r="D48" s="13">
        <v>0</v>
      </c>
      <c r="E48" s="10">
        <v>0</v>
      </c>
      <c r="F48" s="10">
        <v>0.5</v>
      </c>
      <c r="G48" s="10">
        <v>7.0000000000000007E-2</v>
      </c>
      <c r="H48" s="10">
        <v>0.11</v>
      </c>
    </row>
    <row r="49" spans="1:8" ht="15" thickBot="1" x14ac:dyDescent="0.35">
      <c r="A49" t="s">
        <v>67</v>
      </c>
      <c r="B49" s="1" t="s">
        <v>47</v>
      </c>
      <c r="C49" s="10">
        <v>0</v>
      </c>
      <c r="D49" s="14"/>
      <c r="E49" s="10">
        <v>0</v>
      </c>
      <c r="F49" s="10">
        <v>0</v>
      </c>
      <c r="G49" s="10">
        <v>0.33</v>
      </c>
      <c r="H49" s="10">
        <v>0.18</v>
      </c>
    </row>
    <row r="50" spans="1:8" ht="15" thickBot="1" x14ac:dyDescent="0.35">
      <c r="A50" t="s">
        <v>67</v>
      </c>
      <c r="B50" s="1" t="s">
        <v>48</v>
      </c>
      <c r="C50" s="10">
        <v>0</v>
      </c>
      <c r="D50" s="14"/>
      <c r="E50" s="10">
        <v>0</v>
      </c>
      <c r="F50" s="10">
        <v>0</v>
      </c>
      <c r="G50" s="10">
        <v>0.09</v>
      </c>
      <c r="H50" s="10">
        <v>0.06</v>
      </c>
    </row>
    <row r="51" spans="1:8" ht="15" thickBot="1" x14ac:dyDescent="0.35">
      <c r="A51" t="s">
        <v>67</v>
      </c>
      <c r="B51" s="1" t="s">
        <v>49</v>
      </c>
      <c r="C51" s="10">
        <v>0</v>
      </c>
      <c r="D51" s="12"/>
      <c r="E51" s="11"/>
      <c r="F51" s="10">
        <v>0.14000000000000001</v>
      </c>
      <c r="G51" s="10">
        <v>0.13</v>
      </c>
      <c r="H51" s="10">
        <v>0.13</v>
      </c>
    </row>
    <row r="52" spans="1:8" ht="15" thickBot="1" x14ac:dyDescent="0.35">
      <c r="A52" t="s">
        <v>67</v>
      </c>
      <c r="B52" s="1" t="s">
        <v>50</v>
      </c>
      <c r="C52" s="10">
        <v>0</v>
      </c>
      <c r="D52" s="14"/>
      <c r="E52" s="10">
        <v>0</v>
      </c>
      <c r="F52" s="10">
        <v>0.08</v>
      </c>
      <c r="G52" s="10">
        <v>0.09</v>
      </c>
      <c r="H52" s="10">
        <v>0.08</v>
      </c>
    </row>
    <row r="53" spans="1:8" ht="15" thickBot="1" x14ac:dyDescent="0.35">
      <c r="A53" t="s">
        <v>67</v>
      </c>
      <c r="B53" s="1" t="s">
        <v>51</v>
      </c>
      <c r="C53" s="10">
        <v>0</v>
      </c>
      <c r="D53" s="12"/>
      <c r="E53" s="11"/>
      <c r="F53" s="10">
        <v>0.17</v>
      </c>
      <c r="G53" s="10">
        <v>0.41</v>
      </c>
      <c r="H53" s="10">
        <v>0.33</v>
      </c>
    </row>
    <row r="54" spans="1:8" ht="15" thickBot="1" x14ac:dyDescent="0.35">
      <c r="A54" t="s">
        <v>67</v>
      </c>
      <c r="B54" s="1" t="s">
        <v>52</v>
      </c>
      <c r="C54" s="11"/>
      <c r="D54" s="14"/>
      <c r="E54" s="10">
        <v>0</v>
      </c>
      <c r="F54" s="10">
        <v>0</v>
      </c>
      <c r="G54" s="10">
        <v>0.2</v>
      </c>
      <c r="H54" s="10">
        <v>0.1</v>
      </c>
    </row>
    <row r="55" spans="1:8" ht="15" thickBot="1" x14ac:dyDescent="0.35">
      <c r="A55" t="s">
        <v>67</v>
      </c>
      <c r="B55" s="1" t="s">
        <v>53</v>
      </c>
      <c r="C55" s="10">
        <v>0</v>
      </c>
      <c r="D55" s="14"/>
      <c r="E55" s="10">
        <v>0</v>
      </c>
      <c r="F55" s="10">
        <v>0</v>
      </c>
      <c r="G55" s="10">
        <v>0.08</v>
      </c>
      <c r="H55" s="10">
        <v>0.04</v>
      </c>
    </row>
    <row r="56" spans="1:8" ht="15" thickBot="1" x14ac:dyDescent="0.35">
      <c r="A56" t="s">
        <v>67</v>
      </c>
      <c r="B56" s="1" t="s">
        <v>54</v>
      </c>
      <c r="C56" s="10">
        <v>0</v>
      </c>
      <c r="D56" s="12"/>
      <c r="E56" s="11"/>
      <c r="F56" s="10">
        <v>0</v>
      </c>
      <c r="G56" s="10">
        <v>0.31</v>
      </c>
      <c r="H56" s="10">
        <v>0.23</v>
      </c>
    </row>
    <row r="57" spans="1:8" ht="15" thickBot="1" x14ac:dyDescent="0.35">
      <c r="A57" t="s">
        <v>67</v>
      </c>
      <c r="B57" s="1" t="s">
        <v>55</v>
      </c>
      <c r="C57" s="11"/>
      <c r="D57" s="12"/>
      <c r="E57" s="11"/>
      <c r="F57" s="10">
        <v>0</v>
      </c>
      <c r="G57" s="10">
        <v>0.06</v>
      </c>
      <c r="H57" s="10">
        <v>0.04</v>
      </c>
    </row>
    <row r="58" spans="1:8" ht="15" thickBot="1" x14ac:dyDescent="0.35">
      <c r="A58" t="s">
        <v>67</v>
      </c>
      <c r="B58" s="1" t="s">
        <v>56</v>
      </c>
      <c r="C58" s="11"/>
      <c r="D58" s="13">
        <v>0</v>
      </c>
      <c r="E58" s="10">
        <v>0</v>
      </c>
      <c r="F58" s="10">
        <v>0</v>
      </c>
      <c r="G58" s="10">
        <v>0.06</v>
      </c>
      <c r="H58" s="10">
        <v>0.04</v>
      </c>
    </row>
    <row r="59" spans="1:8" ht="15" thickBot="1" x14ac:dyDescent="0.35">
      <c r="A59" t="s">
        <v>67</v>
      </c>
      <c r="B59" s="1" t="s">
        <v>57</v>
      </c>
      <c r="C59" s="10">
        <v>0</v>
      </c>
      <c r="D59" s="13">
        <v>0</v>
      </c>
      <c r="E59" s="10">
        <v>0</v>
      </c>
      <c r="F59" s="10">
        <v>0</v>
      </c>
      <c r="G59" s="10">
        <v>0.18</v>
      </c>
      <c r="H59" s="10">
        <v>0.12</v>
      </c>
    </row>
    <row r="60" spans="1:8" ht="15" thickBot="1" x14ac:dyDescent="0.35">
      <c r="A60" t="s">
        <v>67</v>
      </c>
      <c r="B60" s="1" t="s">
        <v>58</v>
      </c>
      <c r="C60" s="10">
        <v>0</v>
      </c>
      <c r="D60" s="13">
        <v>0</v>
      </c>
      <c r="E60" s="10">
        <v>0</v>
      </c>
      <c r="F60" s="10">
        <v>0</v>
      </c>
      <c r="G60" s="10">
        <v>0.2</v>
      </c>
      <c r="H60" s="10">
        <v>0.08</v>
      </c>
    </row>
    <row r="61" spans="1:8" ht="15" thickBot="1" x14ac:dyDescent="0.35">
      <c r="A61" t="s">
        <v>67</v>
      </c>
      <c r="B61" s="1" t="s">
        <v>59</v>
      </c>
      <c r="C61" s="10">
        <v>0</v>
      </c>
      <c r="D61" s="14"/>
      <c r="E61" s="10">
        <v>0</v>
      </c>
      <c r="F61" s="10">
        <v>0</v>
      </c>
      <c r="G61" s="10">
        <v>0.16</v>
      </c>
      <c r="H61" s="10">
        <v>0.11</v>
      </c>
    </row>
    <row r="62" spans="1:8" ht="15" thickBot="1" x14ac:dyDescent="0.35">
      <c r="A62" t="s">
        <v>67</v>
      </c>
      <c r="B62" s="1" t="s">
        <v>60</v>
      </c>
      <c r="C62" s="10">
        <v>0</v>
      </c>
      <c r="D62" s="12"/>
      <c r="E62" s="11"/>
      <c r="F62" s="10">
        <v>0</v>
      </c>
      <c r="G62" s="10">
        <v>0.13</v>
      </c>
      <c r="H62" s="10">
        <v>0.1</v>
      </c>
    </row>
    <row r="63" spans="1:8" ht="15" thickBot="1" x14ac:dyDescent="0.35">
      <c r="A63" t="s">
        <v>67</v>
      </c>
      <c r="B63" s="1" t="s">
        <v>61</v>
      </c>
      <c r="C63" s="10">
        <v>0</v>
      </c>
      <c r="D63" s="12"/>
      <c r="E63" s="11"/>
      <c r="F63" s="10">
        <v>0</v>
      </c>
      <c r="G63" s="10">
        <v>0.04</v>
      </c>
      <c r="H63" s="10">
        <v>0.03</v>
      </c>
    </row>
    <row r="64" spans="1:8" ht="15" thickBot="1" x14ac:dyDescent="0.35">
      <c r="A64" t="s">
        <v>67</v>
      </c>
      <c r="B64" s="1" t="s">
        <v>62</v>
      </c>
      <c r="C64" s="10">
        <v>0</v>
      </c>
      <c r="D64" s="13">
        <v>0</v>
      </c>
      <c r="E64" s="11"/>
      <c r="F64" s="10">
        <v>0.17</v>
      </c>
      <c r="G64" s="10">
        <v>0.08</v>
      </c>
      <c r="H64" s="10">
        <v>0.09</v>
      </c>
    </row>
    <row r="65" spans="1:8" ht="15" thickBot="1" x14ac:dyDescent="0.35">
      <c r="A65" t="s">
        <v>67</v>
      </c>
      <c r="B65" s="1" t="s">
        <v>63</v>
      </c>
      <c r="C65" s="3"/>
      <c r="D65" s="12"/>
      <c r="E65" s="3"/>
      <c r="F65" s="3"/>
      <c r="G65" s="3"/>
      <c r="H65" s="3"/>
    </row>
    <row r="66" spans="1:8" ht="15" thickBot="1" x14ac:dyDescent="0.35">
      <c r="A66" t="s">
        <v>67</v>
      </c>
      <c r="B66" s="1" t="s">
        <v>64</v>
      </c>
      <c r="C66" s="3"/>
      <c r="D66" s="12"/>
      <c r="E66" s="3"/>
      <c r="F66" s="3"/>
      <c r="G66" s="3"/>
      <c r="H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SARI cases</vt:lpstr>
      <vt:lpstr>Positivity SARS-CoV-2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2025-03-07T16:09:59Z</dcterms:modified>
</cp:coreProperties>
</file>