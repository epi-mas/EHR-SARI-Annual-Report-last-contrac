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.sanchez\Documents\Development for annual report\EHR Annual report - 2026\sources\"/>
    </mc:Choice>
  </mc:AlternateContent>
  <xr:revisionPtr revIDLastSave="0" documentId="13_ncr:1_{34D23EF8-13BC-49BA-AA29-C4555B103D4E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Read first" sheetId="7" r:id="rId1"/>
    <sheet name="SARI cases" sheetId="2" r:id="rId2"/>
    <sheet name="SARI_per_10x5pop" sheetId="8" r:id="rId3"/>
    <sheet name="Catchment population" sheetId="6" r:id="rId4"/>
    <sheet name="Positivity SARS-CoV-2" sheetId="3" r:id="rId5"/>
    <sheet name="Positivity Influenza" sheetId="4" r:id="rId6"/>
    <sheet name="Positivity RSV" sheetId="5" r:id="rId7"/>
  </sheets>
  <definedNames>
    <definedName name="_xlnm._FilterDatabase" localSheetId="3" hidden="1">'Catchment population'!$A$1:$A$67</definedName>
    <definedName name="_xlnm._FilterDatabase" localSheetId="5" hidden="1">'Positivity Influenza'!$A$1:$A$67</definedName>
    <definedName name="_xlnm._FilterDatabase" localSheetId="4" hidden="1">'Positivity SARS-CoV-2'!$A$1:$A$67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1" i="8" l="1"/>
  <c r="T19" i="8"/>
  <c r="T27" i="8"/>
  <c r="T35" i="8"/>
  <c r="T43" i="8"/>
  <c r="T51" i="8"/>
  <c r="T59" i="8"/>
  <c r="S5" i="8"/>
  <c r="S6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S35" i="8"/>
  <c r="S36" i="8"/>
  <c r="S37" i="8"/>
  <c r="S38" i="8"/>
  <c r="S39" i="8"/>
  <c r="S40" i="8"/>
  <c r="S41" i="8"/>
  <c r="S42" i="8"/>
  <c r="S43" i="8"/>
  <c r="S44" i="8"/>
  <c r="S45" i="8"/>
  <c r="S46" i="8"/>
  <c r="S47" i="8"/>
  <c r="S48" i="8"/>
  <c r="S49" i="8"/>
  <c r="S50" i="8"/>
  <c r="S51" i="8"/>
  <c r="S52" i="8"/>
  <c r="S53" i="8"/>
  <c r="S54" i="8"/>
  <c r="S55" i="8"/>
  <c r="S56" i="8"/>
  <c r="S57" i="8"/>
  <c r="S58" i="8"/>
  <c r="S59" i="8"/>
  <c r="S60" i="8"/>
  <c r="S61" i="8"/>
  <c r="S62" i="8"/>
  <c r="S63" i="8"/>
  <c r="S64" i="8"/>
  <c r="S65" i="8"/>
  <c r="S66" i="8"/>
  <c r="R5" i="8"/>
  <c r="R6" i="8"/>
  <c r="R7" i="8"/>
  <c r="R8" i="8"/>
  <c r="R9" i="8"/>
  <c r="R10" i="8"/>
  <c r="R11" i="8"/>
  <c r="R12" i="8"/>
  <c r="R13" i="8"/>
  <c r="R14" i="8"/>
  <c r="R15" i="8"/>
  <c r="R16" i="8"/>
  <c r="R17" i="8"/>
  <c r="R18" i="8"/>
  <c r="R19" i="8"/>
  <c r="R20" i="8"/>
  <c r="R21" i="8"/>
  <c r="R22" i="8"/>
  <c r="R23" i="8"/>
  <c r="R24" i="8"/>
  <c r="R25" i="8"/>
  <c r="R26" i="8"/>
  <c r="R27" i="8"/>
  <c r="R28" i="8"/>
  <c r="R29" i="8"/>
  <c r="R30" i="8"/>
  <c r="R31" i="8"/>
  <c r="R32" i="8"/>
  <c r="R33" i="8"/>
  <c r="R34" i="8"/>
  <c r="R35" i="8"/>
  <c r="R36" i="8"/>
  <c r="R37" i="8"/>
  <c r="R38" i="8"/>
  <c r="R39" i="8"/>
  <c r="R40" i="8"/>
  <c r="R41" i="8"/>
  <c r="R42" i="8"/>
  <c r="R43" i="8"/>
  <c r="R44" i="8"/>
  <c r="R45" i="8"/>
  <c r="R46" i="8"/>
  <c r="R47" i="8"/>
  <c r="R48" i="8"/>
  <c r="R49" i="8"/>
  <c r="R50" i="8"/>
  <c r="R51" i="8"/>
  <c r="R52" i="8"/>
  <c r="R53" i="8"/>
  <c r="R54" i="8"/>
  <c r="R55" i="8"/>
  <c r="R56" i="8"/>
  <c r="R57" i="8"/>
  <c r="R58" i="8"/>
  <c r="R59" i="8"/>
  <c r="R60" i="8"/>
  <c r="R61" i="8"/>
  <c r="R62" i="8"/>
  <c r="R63" i="8"/>
  <c r="R64" i="8"/>
  <c r="R65" i="8"/>
  <c r="R66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35" i="8"/>
  <c r="Q36" i="8"/>
  <c r="Q37" i="8"/>
  <c r="Q38" i="8"/>
  <c r="Q39" i="8"/>
  <c r="Q40" i="8"/>
  <c r="Q41" i="8"/>
  <c r="Q42" i="8"/>
  <c r="Q43" i="8"/>
  <c r="Q44" i="8"/>
  <c r="Q45" i="8"/>
  <c r="Q46" i="8"/>
  <c r="Q47" i="8"/>
  <c r="Q48" i="8"/>
  <c r="Q49" i="8"/>
  <c r="Q50" i="8"/>
  <c r="Q51" i="8"/>
  <c r="Q52" i="8"/>
  <c r="Q53" i="8"/>
  <c r="Q54" i="8"/>
  <c r="Q55" i="8"/>
  <c r="Q56" i="8"/>
  <c r="Q57" i="8"/>
  <c r="Q58" i="8"/>
  <c r="Q59" i="8"/>
  <c r="Q60" i="8"/>
  <c r="Q61" i="8"/>
  <c r="Q62" i="8"/>
  <c r="Q63" i="8"/>
  <c r="Q64" i="8"/>
  <c r="Q65" i="8"/>
  <c r="Q66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8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4" i="8"/>
  <c r="Q4" i="8"/>
  <c r="R4" i="8"/>
  <c r="S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4" i="8"/>
  <c r="N66" i="8"/>
  <c r="N65" i="8"/>
  <c r="N64" i="8"/>
  <c r="N63" i="8"/>
  <c r="N62" i="8"/>
  <c r="N61" i="8"/>
  <c r="N60" i="8"/>
  <c r="N59" i="8"/>
  <c r="N58" i="8"/>
  <c r="N57" i="8"/>
  <c r="N56" i="8"/>
  <c r="N55" i="8"/>
  <c r="N54" i="8"/>
  <c r="N53" i="8"/>
  <c r="N52" i="8"/>
  <c r="N51" i="8"/>
  <c r="N50" i="8"/>
  <c r="N49" i="8"/>
  <c r="N48" i="8"/>
  <c r="N47" i="8"/>
  <c r="N46" i="8"/>
  <c r="N45" i="8"/>
  <c r="N44" i="8"/>
  <c r="N43" i="8"/>
  <c r="N42" i="8"/>
  <c r="N41" i="8"/>
  <c r="N40" i="8"/>
  <c r="N39" i="8"/>
  <c r="N38" i="8"/>
  <c r="N37" i="8"/>
  <c r="N36" i="8"/>
  <c r="N35" i="8"/>
  <c r="N34" i="8"/>
  <c r="N33" i="8"/>
  <c r="N32" i="8"/>
  <c r="N31" i="8"/>
  <c r="N30" i="8"/>
  <c r="N29" i="8"/>
  <c r="N28" i="8"/>
  <c r="N27" i="8"/>
  <c r="N26" i="8"/>
  <c r="N25" i="8"/>
  <c r="N24" i="8"/>
  <c r="N23" i="8"/>
  <c r="N22" i="8"/>
  <c r="N21" i="8"/>
  <c r="N20" i="8"/>
  <c r="N19" i="8"/>
  <c r="N18" i="8"/>
  <c r="N17" i="8"/>
  <c r="N16" i="8"/>
  <c r="N15" i="8"/>
  <c r="N14" i="8"/>
  <c r="N13" i="8"/>
  <c r="N12" i="8"/>
  <c r="N11" i="8"/>
  <c r="N10" i="8"/>
  <c r="N9" i="8"/>
  <c r="N8" i="8"/>
  <c r="N7" i="8"/>
  <c r="N6" i="8"/>
  <c r="N5" i="8"/>
  <c r="N4" i="8"/>
  <c r="H66" i="8"/>
  <c r="T66" i="8" s="1"/>
  <c r="H65" i="8"/>
  <c r="T65" i="8" s="1"/>
  <c r="H64" i="8"/>
  <c r="T64" i="8" s="1"/>
  <c r="H63" i="8"/>
  <c r="T63" i="8" s="1"/>
  <c r="H62" i="8"/>
  <c r="T62" i="8" s="1"/>
  <c r="H61" i="8"/>
  <c r="T61" i="8" s="1"/>
  <c r="H60" i="8"/>
  <c r="T60" i="8" s="1"/>
  <c r="H59" i="8"/>
  <c r="H58" i="8"/>
  <c r="T58" i="8" s="1"/>
  <c r="H57" i="8"/>
  <c r="T57" i="8" s="1"/>
  <c r="H56" i="8"/>
  <c r="T56" i="8" s="1"/>
  <c r="H55" i="8"/>
  <c r="T55" i="8" s="1"/>
  <c r="H54" i="8"/>
  <c r="T54" i="8" s="1"/>
  <c r="H53" i="8"/>
  <c r="T53" i="8" s="1"/>
  <c r="H52" i="8"/>
  <c r="T52" i="8" s="1"/>
  <c r="H51" i="8"/>
  <c r="H50" i="8"/>
  <c r="T50" i="8" s="1"/>
  <c r="H49" i="8"/>
  <c r="T49" i="8" s="1"/>
  <c r="H48" i="8"/>
  <c r="T48" i="8" s="1"/>
  <c r="H47" i="8"/>
  <c r="T47" i="8" s="1"/>
  <c r="H46" i="8"/>
  <c r="T46" i="8" s="1"/>
  <c r="H45" i="8"/>
  <c r="T45" i="8" s="1"/>
  <c r="H44" i="8"/>
  <c r="T44" i="8" s="1"/>
  <c r="H43" i="8"/>
  <c r="H42" i="8"/>
  <c r="T42" i="8" s="1"/>
  <c r="H41" i="8"/>
  <c r="T41" i="8" s="1"/>
  <c r="H40" i="8"/>
  <c r="T40" i="8" s="1"/>
  <c r="H39" i="8"/>
  <c r="T39" i="8" s="1"/>
  <c r="H38" i="8"/>
  <c r="T38" i="8" s="1"/>
  <c r="H37" i="8"/>
  <c r="T37" i="8" s="1"/>
  <c r="H36" i="8"/>
  <c r="T36" i="8" s="1"/>
  <c r="H35" i="8"/>
  <c r="H34" i="8"/>
  <c r="T34" i="8" s="1"/>
  <c r="H33" i="8"/>
  <c r="T33" i="8" s="1"/>
  <c r="H32" i="8"/>
  <c r="T32" i="8" s="1"/>
  <c r="H31" i="8"/>
  <c r="T31" i="8" s="1"/>
  <c r="H30" i="8"/>
  <c r="T30" i="8" s="1"/>
  <c r="H29" i="8"/>
  <c r="T29" i="8" s="1"/>
  <c r="H28" i="8"/>
  <c r="T28" i="8" s="1"/>
  <c r="H27" i="8"/>
  <c r="H26" i="8"/>
  <c r="T26" i="8" s="1"/>
  <c r="H25" i="8"/>
  <c r="T25" i="8" s="1"/>
  <c r="H24" i="8"/>
  <c r="T24" i="8" s="1"/>
  <c r="H23" i="8"/>
  <c r="T23" i="8" s="1"/>
  <c r="H22" i="8"/>
  <c r="T22" i="8" s="1"/>
  <c r="H21" i="8"/>
  <c r="T21" i="8" s="1"/>
  <c r="H20" i="8"/>
  <c r="T20" i="8" s="1"/>
  <c r="H19" i="8"/>
  <c r="H18" i="8"/>
  <c r="T18" i="8" s="1"/>
  <c r="H17" i="8"/>
  <c r="T17" i="8" s="1"/>
  <c r="H16" i="8"/>
  <c r="T16" i="8" s="1"/>
  <c r="H15" i="8"/>
  <c r="T15" i="8" s="1"/>
  <c r="H14" i="8"/>
  <c r="T14" i="8" s="1"/>
  <c r="H13" i="8"/>
  <c r="T13" i="8" s="1"/>
  <c r="H12" i="8"/>
  <c r="T12" i="8" s="1"/>
  <c r="H11" i="8"/>
  <c r="H10" i="8"/>
  <c r="T10" i="8" s="1"/>
  <c r="H9" i="8"/>
  <c r="T9" i="8" s="1"/>
  <c r="H8" i="8"/>
  <c r="T8" i="8" s="1"/>
  <c r="H7" i="8"/>
  <c r="T7" i="8" s="1"/>
  <c r="H6" i="8"/>
  <c r="T6" i="8" s="1"/>
  <c r="H5" i="8"/>
  <c r="T5" i="8" s="1"/>
  <c r="H4" i="8"/>
  <c r="T4" i="8" s="1"/>
  <c r="G67" i="6"/>
  <c r="G66" i="6"/>
  <c r="G65" i="6"/>
  <c r="G64" i="6"/>
  <c r="G63" i="6"/>
  <c r="G62" i="6"/>
  <c r="G61" i="6"/>
  <c r="G60" i="6"/>
  <c r="G59" i="6"/>
  <c r="G58" i="6"/>
  <c r="G57" i="6"/>
  <c r="G56" i="6"/>
  <c r="G55" i="6"/>
  <c r="G54" i="6"/>
  <c r="G53" i="6"/>
  <c r="G52" i="6"/>
  <c r="G51" i="6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5" i="2"/>
</calcChain>
</file>

<file path=xl/sharedStrings.xml><?xml version="1.0" encoding="utf-8"?>
<sst xmlns="http://schemas.openxmlformats.org/spreadsheetml/2006/main" count="517" uniqueCount="100">
  <si>
    <t>Epi week</t>
  </si>
  <si>
    <t>age 0-4</t>
  </si>
  <si>
    <t>age 15-29</t>
  </si>
  <si>
    <t>age 30-64</t>
  </si>
  <si>
    <t>age 65+</t>
  </si>
  <si>
    <t>Total</t>
  </si>
  <si>
    <t>2024-W40</t>
  </si>
  <si>
    <t>2024-W41</t>
  </si>
  <si>
    <t>2024-W42</t>
  </si>
  <si>
    <t>2024-W43</t>
  </si>
  <si>
    <t>2024-W44</t>
  </si>
  <si>
    <t>2024-W45</t>
  </si>
  <si>
    <t>2024-W46</t>
  </si>
  <si>
    <t>2024-W47</t>
  </si>
  <si>
    <t>2024-W48</t>
  </si>
  <si>
    <t>2024-W49</t>
  </si>
  <si>
    <t>2024-W50</t>
  </si>
  <si>
    <t>2024-W51</t>
  </si>
  <si>
    <t>2024-W52</t>
  </si>
  <si>
    <t>age 5-14</t>
  </si>
  <si>
    <t>Test positivity for SARS-CoV-2 
expressed as a percentage, e.g, 5%</t>
  </si>
  <si>
    <t>Test positivity for Influenza virus
expressed as a percentage, e.g, 5%</t>
  </si>
  <si>
    <t>Test positivity for RSV
expressed as a percentage, e.g, 5%</t>
  </si>
  <si>
    <t>2025-W01</t>
  </si>
  <si>
    <t>2025-W02</t>
  </si>
  <si>
    <t>2025-W03</t>
  </si>
  <si>
    <t>2025-W04</t>
  </si>
  <si>
    <t>2025-W05</t>
  </si>
  <si>
    <t>2025-W06</t>
  </si>
  <si>
    <t>2025-W07</t>
  </si>
  <si>
    <t>2025-W08</t>
  </si>
  <si>
    <t>2025-W09</t>
  </si>
  <si>
    <t>2025-W10</t>
  </si>
  <si>
    <t>2025-W11</t>
  </si>
  <si>
    <t>2025-W12</t>
  </si>
  <si>
    <t>2025-W13</t>
  </si>
  <si>
    <t>2025-W14</t>
  </si>
  <si>
    <t>2025-W15</t>
  </si>
  <si>
    <t>2025-W16</t>
  </si>
  <si>
    <t>2025-W17</t>
  </si>
  <si>
    <t>2025-W18</t>
  </si>
  <si>
    <t>2025-W19</t>
  </si>
  <si>
    <t>2025-W20</t>
  </si>
  <si>
    <t>2025-W21</t>
  </si>
  <si>
    <t>2025-W22</t>
  </si>
  <si>
    <t>2025-W23</t>
  </si>
  <si>
    <t>2025-W24</t>
  </si>
  <si>
    <t>2025-W25</t>
  </si>
  <si>
    <t>2025-W26</t>
  </si>
  <si>
    <t>2025-W27</t>
  </si>
  <si>
    <t>2025-W28</t>
  </si>
  <si>
    <t>2025-W29</t>
  </si>
  <si>
    <t>2025-W30</t>
  </si>
  <si>
    <t>2025-W31</t>
  </si>
  <si>
    <t>2025-W32</t>
  </si>
  <si>
    <t>2025-W33</t>
  </si>
  <si>
    <t>2025-W34</t>
  </si>
  <si>
    <t>2025-W35</t>
  </si>
  <si>
    <t>2025-W36</t>
  </si>
  <si>
    <t>2025-W37</t>
  </si>
  <si>
    <t>2025-W38</t>
  </si>
  <si>
    <t>2025-W39</t>
  </si>
  <si>
    <t>2025-W40</t>
  </si>
  <si>
    <t>2025-W41</t>
  </si>
  <si>
    <t>2025-W42</t>
  </si>
  <si>
    <t>2025-W43</t>
  </si>
  <si>
    <t>2025-W44</t>
  </si>
  <si>
    <t>2025-W45</t>
  </si>
  <si>
    <t>2025-W46</t>
  </si>
  <si>
    <t>2025-W47</t>
  </si>
  <si>
    <t>2025-W48</t>
  </si>
  <si>
    <t>2025-W49</t>
  </si>
  <si>
    <t>2025-W50</t>
  </si>
  <si>
    <t>2025-W51</t>
  </si>
  <si>
    <t>2025-W52</t>
  </si>
  <si>
    <t xml:space="preserve">Please, complete the Excel sheets with aggregated data to the extent possible. </t>
  </si>
  <si>
    <r>
      <t xml:space="preserve">catchment population -
</t>
    </r>
    <r>
      <rPr>
        <b/>
        <i/>
        <sz val="11"/>
        <color theme="4" tint="-0.249977111117893"/>
        <rFont val="Calibri"/>
        <family val="2"/>
        <scheme val="minor"/>
      </rPr>
      <t xml:space="preserve"> if the population is stable throughout, you can simply fill in the first row (row number 3)</t>
    </r>
  </si>
  <si>
    <t xml:space="preserve">These templates cover the period from week 40 of 2024 to week 52 of 2025. However, countries are welcome to provide data from a shorter (week 01 of 2025 to week 52 of 2025) or a longer period (week 40 of 2020 to week 01 of 2025) according to data availability. </t>
  </si>
  <si>
    <r>
      <t xml:space="preserve">Number of SARI hospitalisations. 
</t>
    </r>
    <r>
      <rPr>
        <b/>
        <i/>
        <sz val="11"/>
        <color theme="4" tint="-0.249977111117893"/>
        <rFont val="Calibri"/>
        <family val="2"/>
        <scheme val="minor"/>
      </rPr>
      <t>In case you cannot provide the catchment population in the corresponding Excel sheet, then provide here SARI admission rates (number of  SARI hospitalisations per 100,000 population)</t>
    </r>
  </si>
  <si>
    <t>saricase0_4</t>
  </si>
  <si>
    <t>saricase05_14</t>
  </si>
  <si>
    <t>saricase15_29</t>
  </si>
  <si>
    <t>saricase30_64</t>
  </si>
  <si>
    <t>saricase65+</t>
  </si>
  <si>
    <t>saricase_total</t>
  </si>
  <si>
    <t>denom_age 0-4</t>
  </si>
  <si>
    <t>denom_age 15-29</t>
  </si>
  <si>
    <t>denom_age 30-64</t>
  </si>
  <si>
    <t>denom_age 65+</t>
  </si>
  <si>
    <t>denom_Total</t>
  </si>
  <si>
    <t>saricaserate0_4</t>
  </si>
  <si>
    <t>saricaserate05_14</t>
  </si>
  <si>
    <t>saricaserate15_29</t>
  </si>
  <si>
    <t>saricaserate30_64</t>
  </si>
  <si>
    <t>saricaserate_total</t>
  </si>
  <si>
    <t>denom_age 5-14</t>
  </si>
  <si>
    <t>saricaserate65plus</t>
  </si>
  <si>
    <t>week</t>
  </si>
  <si>
    <t>country</t>
  </si>
  <si>
    <t>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</si>
</sst>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4" tint="-0.249977111117893"/>
      <name val="Calibri"/>
      <family val="2"/>
      <scheme val="minor"/>
    </font>
    <font>
      <b/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1" fillId="0" borderId="0" xfId="1"/>
    <xf numFmtId="0" fontId="1" fillId="0" borderId="1" xfId="1" applyBorder="1"/>
    <xf numFmtId="164" fontId="1" fillId="0" borderId="1" xfId="1" applyNumberFormat="1" applyBorder="1"/>
    <xf numFmtId="164" fontId="1" fillId="0" borderId="0" xfId="1" applyNumberFormat="1"/>
    <xf numFmtId="0" fontId="2" fillId="0" borderId="1" xfId="1" applyFont="1" applyBorder="1" applyAlignment="1">
      <alignment vertical="center"/>
    </xf>
    <xf numFmtId="0" fontId="2" fillId="0" borderId="1" xfId="1" applyFont="1" applyBorder="1"/>
    <xf numFmtId="0" fontId="0" fillId="2" borderId="0" xfId="0" applyFill="1"/>
    <xf numFmtId="17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</cellXfs>
  <cellStyles count="2">
    <cellStyle name="Normal" xfId="0" builtinId="0"/>
    <cellStyle name="Normal 2" xfId="1" xr:uid="{B6E3702D-4461-4087-B4DC-C0BD6E5FDF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D3572-02D7-4D17-8055-14A6D8FBA40A}">
  <dimension ref="A2:A3"/>
  <sheetViews>
    <sheetView workbookViewId="0">
      <selection activeCell="C15" sqref="C15"/>
    </sheetView>
  </sheetViews>
  <sheetFormatPr defaultColWidth="8.88671875" defaultRowHeight="14.4" x14ac:dyDescent="0.3"/>
  <cols>
    <col min="1" max="16384" width="8.88671875" style="8"/>
  </cols>
  <sheetData>
    <row r="2" spans="1:1" x14ac:dyDescent="0.3">
      <c r="A2" s="8" t="s">
        <v>75</v>
      </c>
    </row>
    <row r="3" spans="1:1" x14ac:dyDescent="0.3">
      <c r="A3" s="8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5E59F-EA70-468F-B9C0-5EEA216F0F6D}">
  <dimension ref="A1:G67"/>
  <sheetViews>
    <sheetView workbookViewId="0">
      <selection activeCell="B2" sqref="B2:G2"/>
    </sheetView>
  </sheetViews>
  <sheetFormatPr defaultColWidth="8.88671875" defaultRowHeight="14.4" x14ac:dyDescent="0.3"/>
  <cols>
    <col min="1" max="1" width="15.44140625" style="2" customWidth="1"/>
    <col min="2" max="2" width="11" style="2" customWidth="1"/>
    <col min="3" max="3" width="15.5546875" style="2" customWidth="1"/>
    <col min="4" max="4" width="13.6640625" style="2" customWidth="1"/>
    <col min="5" max="5" width="12.21875" style="2" customWidth="1"/>
    <col min="6" max="6" width="11.6640625" style="2" customWidth="1"/>
    <col min="7" max="7" width="16.88671875" style="2" customWidth="1"/>
    <col min="8" max="10" width="8.88671875" style="2"/>
    <col min="11" max="15" width="8.77734375" style="2" customWidth="1"/>
    <col min="16" max="16384" width="8.88671875" style="2"/>
  </cols>
  <sheetData>
    <row r="1" spans="1:7" ht="87" customHeight="1" x14ac:dyDescent="0.3">
      <c r="A1" s="6" t="s">
        <v>0</v>
      </c>
      <c r="B1" s="12" t="s">
        <v>78</v>
      </c>
      <c r="C1" s="13"/>
      <c r="D1" s="13"/>
      <c r="E1" s="13"/>
      <c r="F1" s="13"/>
      <c r="G1" s="14"/>
    </row>
    <row r="2" spans="1:7" x14ac:dyDescent="0.3">
      <c r="A2" s="6"/>
      <c r="B2" s="9" t="s">
        <v>79</v>
      </c>
      <c r="C2" s="9" t="s">
        <v>80</v>
      </c>
      <c r="D2" s="10" t="s">
        <v>81</v>
      </c>
      <c r="E2" s="10" t="s">
        <v>82</v>
      </c>
      <c r="F2" s="10" t="s">
        <v>83</v>
      </c>
      <c r="G2" s="10" t="s">
        <v>84</v>
      </c>
    </row>
    <row r="3" spans="1:7" x14ac:dyDescent="0.3">
      <c r="A3" s="3" t="s">
        <v>6</v>
      </c>
      <c r="B3" s="3"/>
      <c r="C3" s="3"/>
      <c r="D3" s="3"/>
      <c r="E3" s="3"/>
      <c r="F3" s="3"/>
      <c r="G3" s="3"/>
    </row>
    <row r="4" spans="1:7" x14ac:dyDescent="0.3">
      <c r="A4" s="3" t="s">
        <v>7</v>
      </c>
      <c r="B4" s="3"/>
      <c r="C4" s="3"/>
      <c r="D4" s="3"/>
      <c r="E4" s="3"/>
      <c r="F4" s="3"/>
      <c r="G4" s="3"/>
    </row>
    <row r="5" spans="1:7" x14ac:dyDescent="0.3">
      <c r="A5" s="3" t="s">
        <v>8</v>
      </c>
      <c r="B5" s="3">
        <v>229</v>
      </c>
      <c r="C5" s="3">
        <v>114</v>
      </c>
      <c r="D5" s="3">
        <v>54</v>
      </c>
      <c r="E5" s="3">
        <v>471</v>
      </c>
      <c r="F5" s="3">
        <v>1781</v>
      </c>
      <c r="G5" s="3">
        <f>SUM(B5:F5)</f>
        <v>2649</v>
      </c>
    </row>
    <row r="6" spans="1:7" x14ac:dyDescent="0.3">
      <c r="A6" s="3" t="s">
        <v>9</v>
      </c>
      <c r="B6" s="3">
        <v>247</v>
      </c>
      <c r="C6" s="3">
        <v>101</v>
      </c>
      <c r="D6" s="3">
        <v>54</v>
      </c>
      <c r="E6" s="3">
        <v>446</v>
      </c>
      <c r="F6" s="3">
        <v>1709</v>
      </c>
      <c r="G6" s="3">
        <f t="shared" ref="G6:G67" si="0">SUM(B6:F6)</f>
        <v>2557</v>
      </c>
    </row>
    <row r="7" spans="1:7" x14ac:dyDescent="0.3">
      <c r="A7" s="3" t="s">
        <v>10</v>
      </c>
      <c r="B7" s="3">
        <v>247</v>
      </c>
      <c r="C7" s="3">
        <v>116</v>
      </c>
      <c r="D7" s="3">
        <v>54</v>
      </c>
      <c r="E7" s="3">
        <v>418</v>
      </c>
      <c r="F7" s="3">
        <v>1709</v>
      </c>
      <c r="G7" s="3">
        <f t="shared" si="0"/>
        <v>2544</v>
      </c>
    </row>
    <row r="8" spans="1:7" x14ac:dyDescent="0.3">
      <c r="A8" s="3" t="s">
        <v>11</v>
      </c>
      <c r="B8" s="3">
        <v>277</v>
      </c>
      <c r="C8" s="3">
        <v>130</v>
      </c>
      <c r="D8" s="3">
        <v>57</v>
      </c>
      <c r="E8" s="3">
        <v>472</v>
      </c>
      <c r="F8" s="3">
        <v>1654</v>
      </c>
      <c r="G8" s="3">
        <f t="shared" si="0"/>
        <v>2590</v>
      </c>
    </row>
    <row r="9" spans="1:7" x14ac:dyDescent="0.3">
      <c r="A9" s="3" t="s">
        <v>12</v>
      </c>
      <c r="B9" s="3">
        <v>239</v>
      </c>
      <c r="C9" s="3">
        <v>123</v>
      </c>
      <c r="D9" s="3">
        <v>60</v>
      </c>
      <c r="E9" s="3">
        <v>456</v>
      </c>
      <c r="F9" s="3">
        <v>1674</v>
      </c>
      <c r="G9" s="3">
        <f t="shared" si="0"/>
        <v>2552</v>
      </c>
    </row>
    <row r="10" spans="1:7" x14ac:dyDescent="0.3">
      <c r="A10" s="3" t="s">
        <v>13</v>
      </c>
      <c r="B10" s="3">
        <v>273</v>
      </c>
      <c r="C10" s="3">
        <v>152</v>
      </c>
      <c r="D10" s="3">
        <v>66</v>
      </c>
      <c r="E10" s="3">
        <v>420</v>
      </c>
      <c r="F10" s="3">
        <v>1614</v>
      </c>
      <c r="G10" s="3">
        <f t="shared" si="0"/>
        <v>2525</v>
      </c>
    </row>
    <row r="11" spans="1:7" x14ac:dyDescent="0.3">
      <c r="A11" s="3" t="s">
        <v>14</v>
      </c>
      <c r="B11" s="3">
        <v>329</v>
      </c>
      <c r="C11" s="3">
        <v>145</v>
      </c>
      <c r="D11" s="3">
        <v>53</v>
      </c>
      <c r="E11" s="3">
        <v>422</v>
      </c>
      <c r="F11" s="3">
        <v>1557</v>
      </c>
      <c r="G11" s="3">
        <f t="shared" si="0"/>
        <v>2506</v>
      </c>
    </row>
    <row r="12" spans="1:7" x14ac:dyDescent="0.3">
      <c r="A12" s="3" t="s">
        <v>15</v>
      </c>
      <c r="B12" s="3">
        <v>342</v>
      </c>
      <c r="C12" s="3">
        <v>159</v>
      </c>
      <c r="D12" s="3">
        <v>53</v>
      </c>
      <c r="E12" s="3">
        <v>456</v>
      </c>
      <c r="F12" s="3">
        <v>1625</v>
      </c>
      <c r="G12" s="3">
        <f t="shared" si="0"/>
        <v>2635</v>
      </c>
    </row>
    <row r="13" spans="1:7" x14ac:dyDescent="0.3">
      <c r="A13" s="3" t="s">
        <v>16</v>
      </c>
      <c r="B13" s="3">
        <v>370</v>
      </c>
      <c r="C13" s="3">
        <v>139</v>
      </c>
      <c r="D13" s="3">
        <v>55</v>
      </c>
      <c r="E13" s="3">
        <v>465</v>
      </c>
      <c r="F13" s="3">
        <v>1611</v>
      </c>
      <c r="G13" s="3">
        <f t="shared" si="0"/>
        <v>2640</v>
      </c>
    </row>
    <row r="14" spans="1:7" x14ac:dyDescent="0.3">
      <c r="A14" s="3" t="s">
        <v>17</v>
      </c>
      <c r="B14" s="3">
        <v>382</v>
      </c>
      <c r="C14" s="3">
        <v>144</v>
      </c>
      <c r="D14" s="3">
        <v>59</v>
      </c>
      <c r="E14" s="3">
        <v>495</v>
      </c>
      <c r="F14" s="3">
        <v>1825</v>
      </c>
      <c r="G14" s="3">
        <f t="shared" si="0"/>
        <v>2905</v>
      </c>
    </row>
    <row r="15" spans="1:7" x14ac:dyDescent="0.3">
      <c r="A15" s="3" t="s">
        <v>18</v>
      </c>
      <c r="B15" s="3">
        <v>499</v>
      </c>
      <c r="C15" s="3">
        <v>132</v>
      </c>
      <c r="D15" s="3">
        <v>43</v>
      </c>
      <c r="E15" s="3">
        <v>457</v>
      </c>
      <c r="F15" s="3">
        <v>1974</v>
      </c>
      <c r="G15" s="3">
        <f t="shared" si="0"/>
        <v>3105</v>
      </c>
    </row>
    <row r="16" spans="1:7" x14ac:dyDescent="0.3">
      <c r="A16" s="3" t="s">
        <v>23</v>
      </c>
      <c r="B16" s="3">
        <v>491</v>
      </c>
      <c r="C16" s="3">
        <v>115</v>
      </c>
      <c r="D16" s="3">
        <v>69</v>
      </c>
      <c r="E16" s="3">
        <v>518</v>
      </c>
      <c r="F16" s="3">
        <v>2268</v>
      </c>
      <c r="G16" s="3">
        <f t="shared" si="0"/>
        <v>3461</v>
      </c>
    </row>
    <row r="17" spans="1:7" x14ac:dyDescent="0.3">
      <c r="A17" s="3" t="s">
        <v>24</v>
      </c>
      <c r="B17" s="3">
        <v>375</v>
      </c>
      <c r="C17" s="3">
        <v>149</v>
      </c>
      <c r="D17" s="3">
        <v>57</v>
      </c>
      <c r="E17" s="3">
        <v>477</v>
      </c>
      <c r="F17" s="3">
        <v>2154</v>
      </c>
      <c r="G17" s="3">
        <f t="shared" si="0"/>
        <v>3212</v>
      </c>
    </row>
    <row r="18" spans="1:7" x14ac:dyDescent="0.3">
      <c r="A18" s="3" t="s">
        <v>25</v>
      </c>
      <c r="B18" s="3">
        <v>372</v>
      </c>
      <c r="C18" s="3">
        <v>133</v>
      </c>
      <c r="D18" s="3">
        <v>53</v>
      </c>
      <c r="E18" s="3">
        <v>473</v>
      </c>
      <c r="F18" s="3">
        <v>2009</v>
      </c>
      <c r="G18" s="3">
        <f t="shared" si="0"/>
        <v>3040</v>
      </c>
    </row>
    <row r="19" spans="1:7" x14ac:dyDescent="0.3">
      <c r="A19" s="3" t="s">
        <v>26</v>
      </c>
      <c r="B19" s="3">
        <v>437</v>
      </c>
      <c r="C19" s="3">
        <v>165</v>
      </c>
      <c r="D19" s="3">
        <v>66</v>
      </c>
      <c r="E19" s="3">
        <v>494</v>
      </c>
      <c r="F19" s="3">
        <v>1984</v>
      </c>
      <c r="G19" s="3">
        <f t="shared" si="0"/>
        <v>3146</v>
      </c>
    </row>
    <row r="20" spans="1:7" x14ac:dyDescent="0.3">
      <c r="A20" s="3" t="s">
        <v>27</v>
      </c>
      <c r="B20" s="3">
        <v>440</v>
      </c>
      <c r="C20" s="3">
        <v>175</v>
      </c>
      <c r="D20" s="3">
        <v>60</v>
      </c>
      <c r="E20" s="3">
        <v>511</v>
      </c>
      <c r="F20" s="3">
        <v>2032</v>
      </c>
      <c r="G20" s="3">
        <f t="shared" si="0"/>
        <v>3218</v>
      </c>
    </row>
    <row r="21" spans="1:7" x14ac:dyDescent="0.3">
      <c r="A21" s="3" t="s">
        <v>28</v>
      </c>
      <c r="B21" s="3">
        <v>376</v>
      </c>
      <c r="C21" s="3">
        <v>179</v>
      </c>
      <c r="D21" s="3">
        <v>64</v>
      </c>
      <c r="E21" s="3">
        <v>479</v>
      </c>
      <c r="F21" s="3">
        <v>1974</v>
      </c>
      <c r="G21" s="3">
        <f t="shared" si="0"/>
        <v>3072</v>
      </c>
    </row>
    <row r="22" spans="1:7" x14ac:dyDescent="0.3">
      <c r="A22" s="3" t="s">
        <v>29</v>
      </c>
      <c r="B22" s="3">
        <v>414</v>
      </c>
      <c r="C22" s="3">
        <v>165</v>
      </c>
      <c r="D22" s="3">
        <v>61</v>
      </c>
      <c r="E22" s="3">
        <v>524</v>
      </c>
      <c r="F22" s="3">
        <v>1988</v>
      </c>
      <c r="G22" s="3">
        <f t="shared" si="0"/>
        <v>3152</v>
      </c>
    </row>
    <row r="23" spans="1:7" x14ac:dyDescent="0.3">
      <c r="A23" s="3" t="s">
        <v>30</v>
      </c>
      <c r="B23" s="3">
        <v>400</v>
      </c>
      <c r="C23" s="3">
        <v>169</v>
      </c>
      <c r="D23" s="3">
        <v>66</v>
      </c>
      <c r="E23" s="3">
        <v>470</v>
      </c>
      <c r="F23" s="3">
        <v>1923</v>
      </c>
      <c r="G23" s="3">
        <f t="shared" si="0"/>
        <v>3028</v>
      </c>
    </row>
    <row r="24" spans="1:7" x14ac:dyDescent="0.3">
      <c r="A24" s="3" t="s">
        <v>31</v>
      </c>
      <c r="B24" s="3">
        <v>392</v>
      </c>
      <c r="C24" s="3">
        <v>141</v>
      </c>
      <c r="D24" s="3">
        <v>56</v>
      </c>
      <c r="E24" s="3">
        <v>487</v>
      </c>
      <c r="F24" s="3">
        <v>1894</v>
      </c>
      <c r="G24" s="3">
        <f t="shared" si="0"/>
        <v>2970</v>
      </c>
    </row>
    <row r="25" spans="1:7" x14ac:dyDescent="0.3">
      <c r="A25" s="3" t="s">
        <v>32</v>
      </c>
      <c r="B25" s="3">
        <v>362</v>
      </c>
      <c r="C25" s="3">
        <v>160</v>
      </c>
      <c r="D25" s="3">
        <v>62</v>
      </c>
      <c r="E25" s="3">
        <v>460</v>
      </c>
      <c r="F25" s="3">
        <v>1894</v>
      </c>
      <c r="G25" s="3">
        <f t="shared" si="0"/>
        <v>2938</v>
      </c>
    </row>
    <row r="26" spans="1:7" x14ac:dyDescent="0.3">
      <c r="A26" s="3" t="s">
        <v>33</v>
      </c>
      <c r="B26" s="3">
        <v>334</v>
      </c>
      <c r="C26" s="3">
        <v>178</v>
      </c>
      <c r="D26" s="3">
        <v>72</v>
      </c>
      <c r="E26" s="3">
        <v>457</v>
      </c>
      <c r="F26" s="3">
        <v>1860</v>
      </c>
      <c r="G26" s="3">
        <f t="shared" si="0"/>
        <v>2901</v>
      </c>
    </row>
    <row r="27" spans="1:7" x14ac:dyDescent="0.3">
      <c r="A27" s="3" t="s">
        <v>34</v>
      </c>
      <c r="B27" s="3">
        <v>268</v>
      </c>
      <c r="C27" s="3">
        <v>143</v>
      </c>
      <c r="D27" s="3">
        <v>68</v>
      </c>
      <c r="E27" s="3">
        <v>424</v>
      </c>
      <c r="F27" s="3">
        <v>1790</v>
      </c>
      <c r="G27" s="3">
        <f t="shared" si="0"/>
        <v>2693</v>
      </c>
    </row>
    <row r="28" spans="1:7" x14ac:dyDescent="0.3">
      <c r="A28" s="3" t="s">
        <v>35</v>
      </c>
      <c r="B28" s="3">
        <v>298</v>
      </c>
      <c r="C28" s="3">
        <v>154</v>
      </c>
      <c r="D28" s="3">
        <v>66</v>
      </c>
      <c r="E28" s="3">
        <v>475</v>
      </c>
      <c r="F28" s="3">
        <v>1820</v>
      </c>
      <c r="G28" s="3">
        <f t="shared" si="0"/>
        <v>2813</v>
      </c>
    </row>
    <row r="29" spans="1:7" x14ac:dyDescent="0.3">
      <c r="A29" s="3" t="s">
        <v>36</v>
      </c>
      <c r="B29" s="3">
        <v>306</v>
      </c>
      <c r="C29" s="3">
        <v>142</v>
      </c>
      <c r="D29" s="3">
        <v>85</v>
      </c>
      <c r="E29" s="3">
        <v>420</v>
      </c>
      <c r="F29" s="3">
        <v>1772</v>
      </c>
      <c r="G29" s="3">
        <f t="shared" si="0"/>
        <v>2725</v>
      </c>
    </row>
    <row r="30" spans="1:7" x14ac:dyDescent="0.3">
      <c r="A30" s="3" t="s">
        <v>37</v>
      </c>
      <c r="B30" s="3">
        <v>252</v>
      </c>
      <c r="C30" s="3">
        <v>153</v>
      </c>
      <c r="D30" s="3">
        <v>68</v>
      </c>
      <c r="E30" s="3">
        <v>438</v>
      </c>
      <c r="F30" s="3">
        <v>1745</v>
      </c>
      <c r="G30" s="3">
        <f t="shared" si="0"/>
        <v>2656</v>
      </c>
    </row>
    <row r="31" spans="1:7" x14ac:dyDescent="0.3">
      <c r="A31" s="3" t="s">
        <v>38</v>
      </c>
      <c r="B31" s="3">
        <v>245</v>
      </c>
      <c r="C31" s="3">
        <v>138</v>
      </c>
      <c r="D31" s="3">
        <v>59</v>
      </c>
      <c r="E31" s="3">
        <v>436</v>
      </c>
      <c r="F31" s="3">
        <v>1805</v>
      </c>
      <c r="G31" s="3">
        <f t="shared" si="0"/>
        <v>2683</v>
      </c>
    </row>
    <row r="32" spans="1:7" x14ac:dyDescent="0.3">
      <c r="A32" s="3" t="s">
        <v>39</v>
      </c>
      <c r="B32" s="3">
        <v>301</v>
      </c>
      <c r="C32" s="3">
        <v>115</v>
      </c>
      <c r="D32" s="3">
        <v>48</v>
      </c>
      <c r="E32" s="3">
        <v>433</v>
      </c>
      <c r="F32" s="3">
        <v>1794</v>
      </c>
      <c r="G32" s="3">
        <f t="shared" si="0"/>
        <v>2691</v>
      </c>
    </row>
    <row r="33" spans="1:7" x14ac:dyDescent="0.3">
      <c r="A33" s="3" t="s">
        <v>40</v>
      </c>
      <c r="B33" s="3">
        <v>228</v>
      </c>
      <c r="C33" s="3">
        <v>120</v>
      </c>
      <c r="D33" s="3">
        <v>61</v>
      </c>
      <c r="E33" s="3">
        <v>455</v>
      </c>
      <c r="F33" s="3">
        <v>1792</v>
      </c>
      <c r="G33" s="3">
        <f t="shared" si="0"/>
        <v>2656</v>
      </c>
    </row>
    <row r="34" spans="1:7" x14ac:dyDescent="0.3">
      <c r="A34" s="3" t="s">
        <v>41</v>
      </c>
      <c r="B34" s="3">
        <v>195</v>
      </c>
      <c r="C34" s="3">
        <v>100</v>
      </c>
      <c r="D34" s="3">
        <v>45</v>
      </c>
      <c r="E34" s="3">
        <v>392</v>
      </c>
      <c r="F34" s="3">
        <v>1652</v>
      </c>
      <c r="G34" s="3">
        <f t="shared" si="0"/>
        <v>2384</v>
      </c>
    </row>
    <row r="35" spans="1:7" x14ac:dyDescent="0.3">
      <c r="A35" s="3" t="s">
        <v>42</v>
      </c>
      <c r="B35" s="3">
        <v>181</v>
      </c>
      <c r="C35" s="3">
        <v>92</v>
      </c>
      <c r="D35" s="3">
        <v>44</v>
      </c>
      <c r="E35" s="3">
        <v>354</v>
      </c>
      <c r="F35" s="3">
        <v>1464</v>
      </c>
      <c r="G35" s="3">
        <f t="shared" si="0"/>
        <v>2135</v>
      </c>
    </row>
    <row r="36" spans="1:7" x14ac:dyDescent="0.3">
      <c r="A36" s="3" t="s">
        <v>43</v>
      </c>
      <c r="B36" s="3">
        <v>207</v>
      </c>
      <c r="C36" s="3">
        <v>109</v>
      </c>
      <c r="D36" s="3">
        <v>59</v>
      </c>
      <c r="E36" s="3">
        <v>438</v>
      </c>
      <c r="F36" s="3">
        <v>1568</v>
      </c>
      <c r="G36" s="3">
        <f t="shared" si="0"/>
        <v>2381</v>
      </c>
    </row>
    <row r="37" spans="1:7" x14ac:dyDescent="0.3">
      <c r="A37" s="3" t="s">
        <v>44</v>
      </c>
      <c r="B37" s="3">
        <v>180</v>
      </c>
      <c r="C37" s="3">
        <v>108</v>
      </c>
      <c r="D37" s="3">
        <v>51</v>
      </c>
      <c r="E37" s="3">
        <v>422</v>
      </c>
      <c r="F37" s="3">
        <v>1652</v>
      </c>
      <c r="G37" s="3">
        <f t="shared" si="0"/>
        <v>2413</v>
      </c>
    </row>
    <row r="38" spans="1:7" x14ac:dyDescent="0.3">
      <c r="A38" s="3" t="s">
        <v>45</v>
      </c>
      <c r="B38" s="3">
        <v>218</v>
      </c>
      <c r="C38" s="3">
        <v>112</v>
      </c>
      <c r="D38" s="3">
        <v>64</v>
      </c>
      <c r="E38" s="3">
        <v>416</v>
      </c>
      <c r="F38" s="3">
        <v>1538</v>
      </c>
      <c r="G38" s="3">
        <f t="shared" si="0"/>
        <v>2348</v>
      </c>
    </row>
    <row r="39" spans="1:7" x14ac:dyDescent="0.3">
      <c r="A39" s="3" t="s">
        <v>46</v>
      </c>
      <c r="B39" s="3">
        <v>194</v>
      </c>
      <c r="C39" s="3">
        <v>105</v>
      </c>
      <c r="D39" s="3">
        <v>56</v>
      </c>
      <c r="E39" s="3">
        <v>388</v>
      </c>
      <c r="F39" s="3">
        <v>1482</v>
      </c>
      <c r="G39" s="3">
        <f t="shared" si="0"/>
        <v>2225</v>
      </c>
    </row>
    <row r="40" spans="1:7" x14ac:dyDescent="0.3">
      <c r="A40" s="3" t="s">
        <v>47</v>
      </c>
      <c r="B40" s="3">
        <v>207</v>
      </c>
      <c r="C40" s="3">
        <v>94</v>
      </c>
      <c r="D40" s="3">
        <v>48</v>
      </c>
      <c r="E40" s="3">
        <v>384</v>
      </c>
      <c r="F40" s="3">
        <v>1432</v>
      </c>
      <c r="G40" s="3">
        <f t="shared" si="0"/>
        <v>2165</v>
      </c>
    </row>
    <row r="41" spans="1:7" x14ac:dyDescent="0.3">
      <c r="A41" s="3" t="s">
        <v>48</v>
      </c>
      <c r="B41" s="3">
        <v>193</v>
      </c>
      <c r="C41" s="3">
        <v>90</v>
      </c>
      <c r="D41" s="3">
        <v>51</v>
      </c>
      <c r="E41" s="3">
        <v>364</v>
      </c>
      <c r="F41" s="3">
        <v>1491</v>
      </c>
      <c r="G41" s="3">
        <f t="shared" si="0"/>
        <v>2189</v>
      </c>
    </row>
    <row r="42" spans="1:7" x14ac:dyDescent="0.3">
      <c r="A42" s="3" t="s">
        <v>49</v>
      </c>
      <c r="B42" s="3">
        <v>167</v>
      </c>
      <c r="C42" s="3">
        <v>89</v>
      </c>
      <c r="D42" s="3">
        <v>44</v>
      </c>
      <c r="E42" s="3">
        <v>349</v>
      </c>
      <c r="F42" s="3">
        <v>1446</v>
      </c>
      <c r="G42" s="3">
        <f t="shared" si="0"/>
        <v>2095</v>
      </c>
    </row>
    <row r="43" spans="1:7" x14ac:dyDescent="0.3">
      <c r="A43" s="3" t="s">
        <v>50</v>
      </c>
      <c r="B43" s="3">
        <v>138</v>
      </c>
      <c r="C43" s="3">
        <v>76</v>
      </c>
      <c r="D43" s="3">
        <v>39</v>
      </c>
      <c r="E43" s="3">
        <v>369</v>
      </c>
      <c r="F43" s="3">
        <v>1345</v>
      </c>
      <c r="G43" s="3">
        <f t="shared" si="0"/>
        <v>1967</v>
      </c>
    </row>
    <row r="44" spans="1:7" x14ac:dyDescent="0.3">
      <c r="A44" s="3" t="s">
        <v>51</v>
      </c>
      <c r="B44" s="3">
        <v>162</v>
      </c>
      <c r="C44" s="3">
        <v>79</v>
      </c>
      <c r="D44" s="3">
        <v>46</v>
      </c>
      <c r="E44" s="3">
        <v>376</v>
      </c>
      <c r="F44" s="3">
        <v>1464</v>
      </c>
      <c r="G44" s="3">
        <f t="shared" si="0"/>
        <v>2127</v>
      </c>
    </row>
    <row r="45" spans="1:7" x14ac:dyDescent="0.3">
      <c r="A45" s="3" t="s">
        <v>52</v>
      </c>
      <c r="B45" s="3">
        <v>140</v>
      </c>
      <c r="C45" s="3">
        <v>60</v>
      </c>
      <c r="D45" s="3">
        <v>44</v>
      </c>
      <c r="E45" s="3">
        <v>390</v>
      </c>
      <c r="F45" s="3">
        <v>1540</v>
      </c>
      <c r="G45" s="3">
        <f t="shared" si="0"/>
        <v>2174</v>
      </c>
    </row>
    <row r="46" spans="1:7" x14ac:dyDescent="0.3">
      <c r="A46" s="3" t="s">
        <v>53</v>
      </c>
      <c r="B46" s="3">
        <v>150</v>
      </c>
      <c r="C46" s="3">
        <v>63</v>
      </c>
      <c r="D46" s="3">
        <v>49</v>
      </c>
      <c r="E46" s="3">
        <v>390</v>
      </c>
      <c r="F46" s="3">
        <v>1415</v>
      </c>
      <c r="G46" s="3">
        <f t="shared" si="0"/>
        <v>2067</v>
      </c>
    </row>
    <row r="47" spans="1:7" x14ac:dyDescent="0.3">
      <c r="A47" s="3" t="s">
        <v>54</v>
      </c>
      <c r="B47" s="3">
        <v>155</v>
      </c>
      <c r="C47" s="3">
        <v>60</v>
      </c>
      <c r="D47" s="3">
        <v>45</v>
      </c>
      <c r="E47" s="3">
        <v>417</v>
      </c>
      <c r="F47" s="3">
        <v>1532</v>
      </c>
      <c r="G47" s="3">
        <f t="shared" si="0"/>
        <v>2209</v>
      </c>
    </row>
    <row r="48" spans="1:7" x14ac:dyDescent="0.3">
      <c r="A48" s="3" t="s">
        <v>55</v>
      </c>
      <c r="B48" s="3">
        <v>144</v>
      </c>
      <c r="C48" s="3">
        <v>42</v>
      </c>
      <c r="D48" s="3">
        <v>60</v>
      </c>
      <c r="E48" s="3">
        <v>410</v>
      </c>
      <c r="F48" s="3">
        <v>1665</v>
      </c>
      <c r="G48" s="3">
        <f t="shared" si="0"/>
        <v>2321</v>
      </c>
    </row>
    <row r="49" spans="1:7" x14ac:dyDescent="0.3">
      <c r="A49" s="3" t="s">
        <v>56</v>
      </c>
      <c r="B49" s="3">
        <v>130</v>
      </c>
      <c r="C49" s="3">
        <v>62</v>
      </c>
      <c r="D49" s="3">
        <v>55</v>
      </c>
      <c r="E49" s="3">
        <v>402</v>
      </c>
      <c r="F49" s="3">
        <v>1477</v>
      </c>
      <c r="G49" s="3">
        <f t="shared" si="0"/>
        <v>2126</v>
      </c>
    </row>
    <row r="50" spans="1:7" x14ac:dyDescent="0.3">
      <c r="A50" s="3" t="s">
        <v>57</v>
      </c>
      <c r="B50" s="3">
        <v>130</v>
      </c>
      <c r="C50" s="3">
        <v>52</v>
      </c>
      <c r="D50" s="3">
        <v>46</v>
      </c>
      <c r="E50" s="3">
        <v>378</v>
      </c>
      <c r="F50" s="3">
        <v>1542</v>
      </c>
      <c r="G50" s="3">
        <f t="shared" si="0"/>
        <v>2148</v>
      </c>
    </row>
    <row r="51" spans="1:7" x14ac:dyDescent="0.3">
      <c r="A51" s="3" t="s">
        <v>58</v>
      </c>
      <c r="B51" s="3">
        <v>120</v>
      </c>
      <c r="C51" s="3">
        <v>50</v>
      </c>
      <c r="D51" s="3">
        <v>50</v>
      </c>
      <c r="E51" s="3">
        <v>414</v>
      </c>
      <c r="F51" s="3">
        <v>1474</v>
      </c>
      <c r="G51" s="3">
        <f t="shared" si="0"/>
        <v>2108</v>
      </c>
    </row>
    <row r="52" spans="1:7" x14ac:dyDescent="0.3">
      <c r="A52" s="3" t="s">
        <v>59</v>
      </c>
      <c r="B52" s="3">
        <v>127</v>
      </c>
      <c r="C52" s="3">
        <v>63</v>
      </c>
      <c r="D52" s="3">
        <v>53</v>
      </c>
      <c r="E52" s="3">
        <v>389</v>
      </c>
      <c r="F52" s="3">
        <v>1534</v>
      </c>
      <c r="G52" s="3">
        <f t="shared" si="0"/>
        <v>2166</v>
      </c>
    </row>
    <row r="53" spans="1:7" x14ac:dyDescent="0.3">
      <c r="A53" s="3" t="s">
        <v>60</v>
      </c>
      <c r="B53" s="3">
        <v>146</v>
      </c>
      <c r="C53" s="3">
        <v>54</v>
      </c>
      <c r="D53" s="3">
        <v>41</v>
      </c>
      <c r="E53" s="3">
        <v>400</v>
      </c>
      <c r="F53" s="3">
        <v>1484</v>
      </c>
      <c r="G53" s="3">
        <f t="shared" si="0"/>
        <v>2125</v>
      </c>
    </row>
    <row r="54" spans="1:7" x14ac:dyDescent="0.3">
      <c r="A54" s="3" t="s">
        <v>61</v>
      </c>
      <c r="B54" s="3">
        <v>178</v>
      </c>
      <c r="C54" s="3">
        <v>69</v>
      </c>
      <c r="D54" s="3">
        <v>57</v>
      </c>
      <c r="E54" s="3">
        <v>417</v>
      </c>
      <c r="F54" s="3">
        <v>1457</v>
      </c>
      <c r="G54" s="3">
        <f t="shared" si="0"/>
        <v>2178</v>
      </c>
    </row>
    <row r="55" spans="1:7" x14ac:dyDescent="0.3">
      <c r="A55" s="3" t="s">
        <v>62</v>
      </c>
      <c r="B55" s="3">
        <v>177</v>
      </c>
      <c r="C55" s="3">
        <v>75</v>
      </c>
      <c r="D55" s="3">
        <v>45</v>
      </c>
      <c r="E55" s="3">
        <v>367</v>
      </c>
      <c r="F55" s="3">
        <v>1496</v>
      </c>
      <c r="G55" s="3">
        <f t="shared" si="0"/>
        <v>2160</v>
      </c>
    </row>
    <row r="56" spans="1:7" x14ac:dyDescent="0.3">
      <c r="A56" s="3" t="s">
        <v>63</v>
      </c>
      <c r="B56" s="3">
        <v>161</v>
      </c>
      <c r="C56" s="3">
        <v>56</v>
      </c>
      <c r="D56" s="3">
        <v>44</v>
      </c>
      <c r="E56" s="3">
        <v>387</v>
      </c>
      <c r="F56" s="3">
        <v>1622</v>
      </c>
      <c r="G56" s="3">
        <f t="shared" si="0"/>
        <v>2270</v>
      </c>
    </row>
    <row r="57" spans="1:7" x14ac:dyDescent="0.3">
      <c r="A57" s="3" t="s">
        <v>64</v>
      </c>
      <c r="B57" s="3">
        <v>184</v>
      </c>
      <c r="C57" s="3">
        <v>77</v>
      </c>
      <c r="D57" s="3">
        <v>42</v>
      </c>
      <c r="E57" s="3">
        <v>420</v>
      </c>
      <c r="F57" s="3">
        <v>1753</v>
      </c>
      <c r="G57" s="3">
        <f t="shared" si="0"/>
        <v>2476</v>
      </c>
    </row>
    <row r="58" spans="1:7" x14ac:dyDescent="0.3">
      <c r="A58" s="3" t="s">
        <v>65</v>
      </c>
      <c r="B58" s="3">
        <v>208</v>
      </c>
      <c r="C58" s="3">
        <v>63</v>
      </c>
      <c r="D58" s="3">
        <v>58</v>
      </c>
      <c r="E58" s="3">
        <v>403</v>
      </c>
      <c r="F58" s="3">
        <v>1777</v>
      </c>
      <c r="G58" s="3">
        <f t="shared" si="0"/>
        <v>2509</v>
      </c>
    </row>
    <row r="59" spans="1:7" x14ac:dyDescent="0.3">
      <c r="A59" s="3" t="s">
        <v>66</v>
      </c>
      <c r="B59" s="3">
        <v>200</v>
      </c>
      <c r="C59" s="3">
        <v>67</v>
      </c>
      <c r="D59" s="3">
        <v>43</v>
      </c>
      <c r="E59" s="3">
        <v>358</v>
      </c>
      <c r="F59" s="3">
        <v>1578</v>
      </c>
      <c r="G59" s="3">
        <f t="shared" si="0"/>
        <v>2246</v>
      </c>
    </row>
    <row r="60" spans="1:7" x14ac:dyDescent="0.3">
      <c r="A60" s="3" t="s">
        <v>67</v>
      </c>
      <c r="B60" s="3">
        <v>208</v>
      </c>
      <c r="C60" s="3">
        <v>72</v>
      </c>
      <c r="D60" s="3">
        <v>49</v>
      </c>
      <c r="E60" s="3">
        <v>418</v>
      </c>
      <c r="F60" s="3">
        <v>1528</v>
      </c>
      <c r="G60" s="3">
        <f t="shared" si="0"/>
        <v>2275</v>
      </c>
    </row>
    <row r="61" spans="1:7" x14ac:dyDescent="0.3">
      <c r="A61" s="3" t="s">
        <v>68</v>
      </c>
      <c r="B61" s="3">
        <v>219</v>
      </c>
      <c r="C61" s="3">
        <v>75</v>
      </c>
      <c r="D61" s="3">
        <v>57</v>
      </c>
      <c r="E61" s="3">
        <v>401</v>
      </c>
      <c r="F61" s="3">
        <v>1660</v>
      </c>
      <c r="G61" s="3">
        <f t="shared" si="0"/>
        <v>2412</v>
      </c>
    </row>
    <row r="62" spans="1:7" x14ac:dyDescent="0.3">
      <c r="A62" s="3" t="s">
        <v>69</v>
      </c>
      <c r="B62" s="3">
        <v>241</v>
      </c>
      <c r="C62" s="3">
        <v>79</v>
      </c>
      <c r="D62" s="3">
        <v>40</v>
      </c>
      <c r="E62" s="3">
        <v>388</v>
      </c>
      <c r="F62" s="3">
        <v>1586</v>
      </c>
      <c r="G62" s="3">
        <f t="shared" si="0"/>
        <v>2334</v>
      </c>
    </row>
    <row r="63" spans="1:7" x14ac:dyDescent="0.3">
      <c r="A63" s="3" t="s">
        <v>70</v>
      </c>
      <c r="B63" s="3">
        <v>244</v>
      </c>
      <c r="C63" s="3">
        <v>78</v>
      </c>
      <c r="D63" s="3">
        <v>48</v>
      </c>
      <c r="E63" s="3">
        <v>419</v>
      </c>
      <c r="F63" s="3">
        <v>1699</v>
      </c>
      <c r="G63" s="3">
        <f t="shared" si="0"/>
        <v>2488</v>
      </c>
    </row>
    <row r="64" spans="1:7" x14ac:dyDescent="0.3">
      <c r="A64" s="3" t="s">
        <v>71</v>
      </c>
      <c r="B64" s="3">
        <v>270</v>
      </c>
      <c r="C64" s="3">
        <v>114</v>
      </c>
      <c r="D64" s="3">
        <v>60</v>
      </c>
      <c r="E64" s="3">
        <v>496</v>
      </c>
      <c r="F64" s="3">
        <v>1914</v>
      </c>
      <c r="G64" s="3">
        <f t="shared" si="0"/>
        <v>2854</v>
      </c>
    </row>
    <row r="65" spans="1:7" x14ac:dyDescent="0.3">
      <c r="A65" s="3" t="s">
        <v>72</v>
      </c>
      <c r="B65" s="3">
        <v>373</v>
      </c>
      <c r="C65" s="3">
        <v>107</v>
      </c>
      <c r="D65" s="3">
        <v>48</v>
      </c>
      <c r="E65" s="3">
        <v>492</v>
      </c>
      <c r="F65" s="3">
        <v>1921</v>
      </c>
      <c r="G65" s="3">
        <f t="shared" si="0"/>
        <v>2941</v>
      </c>
    </row>
    <row r="66" spans="1:7" x14ac:dyDescent="0.3">
      <c r="A66" s="3" t="s">
        <v>73</v>
      </c>
      <c r="B66" s="3">
        <v>324</v>
      </c>
      <c r="C66" s="3">
        <v>134</v>
      </c>
      <c r="D66" s="3">
        <v>47</v>
      </c>
      <c r="E66" s="3">
        <v>509</v>
      </c>
      <c r="F66" s="3">
        <v>2270</v>
      </c>
      <c r="G66" s="3">
        <f t="shared" si="0"/>
        <v>3284</v>
      </c>
    </row>
    <row r="67" spans="1:7" x14ac:dyDescent="0.3">
      <c r="A67" s="3" t="s">
        <v>74</v>
      </c>
      <c r="B67" s="3">
        <v>393</v>
      </c>
      <c r="C67" s="3">
        <v>145</v>
      </c>
      <c r="D67" s="3">
        <v>71</v>
      </c>
      <c r="E67" s="3">
        <v>507</v>
      </c>
      <c r="F67" s="3">
        <v>2425</v>
      </c>
      <c r="G67" s="3">
        <f t="shared" si="0"/>
        <v>3541</v>
      </c>
    </row>
  </sheetData>
  <mergeCells count="1">
    <mergeCell ref="B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4E5B4-DE01-4598-AB9C-B0790AE60303}">
  <dimension ref="A1:T66"/>
  <sheetViews>
    <sheetView tabSelected="1" topLeftCell="I1" workbookViewId="0">
      <selection activeCell="V1" sqref="V1"/>
    </sheetView>
  </sheetViews>
  <sheetFormatPr defaultRowHeight="14.4" x14ac:dyDescent="0.3"/>
  <cols>
    <col min="2" max="2" width="22.21875" customWidth="1"/>
    <col min="3" max="3" width="10" bestFit="1" customWidth="1"/>
    <col min="4" max="4" width="11.6640625" bestFit="1" customWidth="1"/>
    <col min="5" max="5" width="9.33203125" customWidth="1"/>
    <col min="6" max="6" width="11.6640625" bestFit="1" customWidth="1"/>
    <col min="7" max="7" width="10" bestFit="1" customWidth="1"/>
    <col min="8" max="8" width="11.6640625" bestFit="1" customWidth="1"/>
    <col min="9" max="9" width="14.33203125" bestFit="1" customWidth="1"/>
    <col min="10" max="10" width="16.109375" customWidth="1"/>
    <col min="11" max="12" width="16.21875" bestFit="1" customWidth="1"/>
    <col min="13" max="13" width="14.5546875" bestFit="1" customWidth="1"/>
    <col min="14" max="14" width="12.33203125" bestFit="1" customWidth="1"/>
    <col min="15" max="15" width="14.33203125" bestFit="1" customWidth="1"/>
    <col min="16" max="18" width="16.21875" bestFit="1" customWidth="1"/>
    <col min="19" max="19" width="14.33203125" bestFit="1" customWidth="1"/>
    <col min="20" max="20" width="16.33203125" bestFit="1" customWidth="1"/>
  </cols>
  <sheetData>
    <row r="1" spans="1:20" ht="20.399999999999999" x14ac:dyDescent="0.3">
      <c r="A1" t="s">
        <v>98</v>
      </c>
      <c r="B1" s="6" t="s">
        <v>97</v>
      </c>
      <c r="C1" s="9" t="s">
        <v>79</v>
      </c>
      <c r="D1" s="9" t="s">
        <v>80</v>
      </c>
      <c r="E1" s="10" t="s">
        <v>81</v>
      </c>
      <c r="F1" s="10" t="s">
        <v>82</v>
      </c>
      <c r="G1" s="10" t="s">
        <v>83</v>
      </c>
      <c r="H1" s="10" t="s">
        <v>84</v>
      </c>
      <c r="I1" s="1" t="s">
        <v>85</v>
      </c>
      <c r="J1" s="1" t="s">
        <v>95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93</v>
      </c>
      <c r="S1" s="1" t="s">
        <v>96</v>
      </c>
      <c r="T1" s="1" t="s">
        <v>94</v>
      </c>
    </row>
    <row r="2" spans="1:20" x14ac:dyDescent="0.3">
      <c r="A2" t="s">
        <v>99</v>
      </c>
      <c r="B2" s="3" t="s">
        <v>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11"/>
      <c r="P2" s="11"/>
      <c r="Q2" s="11"/>
      <c r="R2" s="11"/>
      <c r="S2" s="11"/>
      <c r="T2" s="11"/>
    </row>
    <row r="3" spans="1:20" x14ac:dyDescent="0.3">
      <c r="A3" t="s">
        <v>99</v>
      </c>
      <c r="B3" s="3" t="s">
        <v>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11"/>
      <c r="P3" s="11"/>
      <c r="Q3" s="11"/>
      <c r="R3" s="11"/>
      <c r="S3" s="11"/>
      <c r="T3" s="11"/>
    </row>
    <row r="4" spans="1:20" x14ac:dyDescent="0.3">
      <c r="A4" t="s">
        <v>99</v>
      </c>
      <c r="B4" s="3" t="s">
        <v>8</v>
      </c>
      <c r="C4" s="3">
        <v>229</v>
      </c>
      <c r="D4" s="3">
        <v>114</v>
      </c>
      <c r="E4" s="3">
        <v>54</v>
      </c>
      <c r="F4" s="3">
        <v>471</v>
      </c>
      <c r="G4" s="3">
        <v>1781</v>
      </c>
      <c r="H4" s="3">
        <f>SUM(C4:G4)</f>
        <v>2649</v>
      </c>
      <c r="I4" s="3">
        <v>1002185</v>
      </c>
      <c r="J4" s="3">
        <v>2546139</v>
      </c>
      <c r="K4" s="3">
        <v>4218772</v>
      </c>
      <c r="L4" s="3">
        <v>14008227</v>
      </c>
      <c r="M4" s="3">
        <v>7095653</v>
      </c>
      <c r="N4" s="3">
        <f>SUM(I4:M4)</f>
        <v>28870976</v>
      </c>
      <c r="O4" s="11">
        <f>C4/I4*100000</f>
        <v>22.850072591387818</v>
      </c>
      <c r="P4" s="11">
        <f t="shared" ref="P4:T19" si="0">D4/J4*100000</f>
        <v>4.4773674964328336</v>
      </c>
      <c r="Q4" s="11">
        <f t="shared" si="0"/>
        <v>1.2799933250718456</v>
      </c>
      <c r="R4" s="11">
        <f t="shared" si="0"/>
        <v>3.3623098769030513</v>
      </c>
      <c r="S4" s="11">
        <f t="shared" si="0"/>
        <v>25.099874528813626</v>
      </c>
      <c r="T4" s="11">
        <f t="shared" si="0"/>
        <v>9.1753046381251551</v>
      </c>
    </row>
    <row r="5" spans="1:20" x14ac:dyDescent="0.3">
      <c r="A5" t="s">
        <v>99</v>
      </c>
      <c r="B5" s="3" t="s">
        <v>9</v>
      </c>
      <c r="C5" s="3">
        <v>247</v>
      </c>
      <c r="D5" s="3">
        <v>101</v>
      </c>
      <c r="E5" s="3">
        <v>54</v>
      </c>
      <c r="F5" s="3">
        <v>446</v>
      </c>
      <c r="G5" s="3">
        <v>1709</v>
      </c>
      <c r="H5" s="3">
        <f t="shared" ref="H5:H66" si="1">SUM(C5:G5)</f>
        <v>2557</v>
      </c>
      <c r="I5" s="3">
        <v>1002185</v>
      </c>
      <c r="J5" s="3">
        <v>2546139</v>
      </c>
      <c r="K5" s="3">
        <v>4218772</v>
      </c>
      <c r="L5" s="3">
        <v>14008227</v>
      </c>
      <c r="M5" s="3">
        <v>7095653</v>
      </c>
      <c r="N5" s="3">
        <f t="shared" ref="N5:N66" si="2">SUM(I5:M5)</f>
        <v>28870976</v>
      </c>
      <c r="O5" s="11">
        <f t="shared" ref="O5:T66" si="3">C5/I5*100000</f>
        <v>24.646148166256726</v>
      </c>
      <c r="P5" s="11">
        <f t="shared" si="0"/>
        <v>3.9667905012255806</v>
      </c>
      <c r="Q5" s="11">
        <f t="shared" si="0"/>
        <v>1.2799933250718456</v>
      </c>
      <c r="R5" s="11">
        <f t="shared" si="0"/>
        <v>3.1838433229273058</v>
      </c>
      <c r="S5" s="11">
        <f t="shared" si="0"/>
        <v>24.085168764594325</v>
      </c>
      <c r="T5" s="11">
        <f t="shared" si="0"/>
        <v>8.85664551139525</v>
      </c>
    </row>
    <row r="6" spans="1:20" x14ac:dyDescent="0.3">
      <c r="A6" t="s">
        <v>99</v>
      </c>
      <c r="B6" s="3" t="s">
        <v>10</v>
      </c>
      <c r="C6" s="3">
        <v>247</v>
      </c>
      <c r="D6" s="3">
        <v>116</v>
      </c>
      <c r="E6" s="3">
        <v>54</v>
      </c>
      <c r="F6" s="3">
        <v>418</v>
      </c>
      <c r="G6" s="3">
        <v>1709</v>
      </c>
      <c r="H6" s="3">
        <f t="shared" si="1"/>
        <v>2544</v>
      </c>
      <c r="I6" s="3">
        <v>1002185</v>
      </c>
      <c r="J6" s="3">
        <v>2546139</v>
      </c>
      <c r="K6" s="3">
        <v>4218772</v>
      </c>
      <c r="L6" s="3">
        <v>14008227</v>
      </c>
      <c r="M6" s="3">
        <v>7095653</v>
      </c>
      <c r="N6" s="3">
        <f t="shared" si="2"/>
        <v>28870976</v>
      </c>
      <c r="O6" s="11">
        <f t="shared" si="3"/>
        <v>24.646148166256726</v>
      </c>
      <c r="P6" s="11">
        <f t="shared" si="0"/>
        <v>4.5559178033877963</v>
      </c>
      <c r="Q6" s="11">
        <f t="shared" si="0"/>
        <v>1.2799933250718456</v>
      </c>
      <c r="R6" s="11">
        <f t="shared" si="0"/>
        <v>2.9839607824744703</v>
      </c>
      <c r="S6" s="11">
        <f t="shared" si="0"/>
        <v>24.085168764594325</v>
      </c>
      <c r="T6" s="11">
        <f t="shared" si="0"/>
        <v>8.8116175913138512</v>
      </c>
    </row>
    <row r="7" spans="1:20" x14ac:dyDescent="0.3">
      <c r="A7" t="s">
        <v>99</v>
      </c>
      <c r="B7" s="3" t="s">
        <v>11</v>
      </c>
      <c r="C7" s="3">
        <v>277</v>
      </c>
      <c r="D7" s="3">
        <v>130</v>
      </c>
      <c r="E7" s="3">
        <v>57</v>
      </c>
      <c r="F7" s="3">
        <v>472</v>
      </c>
      <c r="G7" s="3">
        <v>1654</v>
      </c>
      <c r="H7" s="3">
        <f t="shared" si="1"/>
        <v>2590</v>
      </c>
      <c r="I7" s="3">
        <v>1002185</v>
      </c>
      <c r="J7" s="3">
        <v>2546139</v>
      </c>
      <c r="K7" s="3">
        <v>4218772</v>
      </c>
      <c r="L7" s="3">
        <v>14008227</v>
      </c>
      <c r="M7" s="3">
        <v>7095653</v>
      </c>
      <c r="N7" s="3">
        <f t="shared" si="2"/>
        <v>28870976</v>
      </c>
      <c r="O7" s="11">
        <f t="shared" si="3"/>
        <v>27.639607457704916</v>
      </c>
      <c r="P7" s="11">
        <f t="shared" si="0"/>
        <v>5.1057699520725306</v>
      </c>
      <c r="Q7" s="11">
        <f t="shared" si="0"/>
        <v>1.3511040653536148</v>
      </c>
      <c r="R7" s="11">
        <f t="shared" si="0"/>
        <v>3.369448539062081</v>
      </c>
      <c r="S7" s="11">
        <f t="shared" si="0"/>
        <v>23.310046305815685</v>
      </c>
      <c r="T7" s="11">
        <f t="shared" si="0"/>
        <v>8.9709471546788038</v>
      </c>
    </row>
    <row r="8" spans="1:20" x14ac:dyDescent="0.3">
      <c r="A8" t="s">
        <v>99</v>
      </c>
      <c r="B8" s="3" t="s">
        <v>12</v>
      </c>
      <c r="C8" s="3">
        <v>239</v>
      </c>
      <c r="D8" s="3">
        <v>123</v>
      </c>
      <c r="E8" s="3">
        <v>60</v>
      </c>
      <c r="F8" s="3">
        <v>456</v>
      </c>
      <c r="G8" s="3">
        <v>1674</v>
      </c>
      <c r="H8" s="3">
        <f t="shared" si="1"/>
        <v>2552</v>
      </c>
      <c r="I8" s="3">
        <v>1002185</v>
      </c>
      <c r="J8" s="3">
        <v>2546139</v>
      </c>
      <c r="K8" s="3">
        <v>4218772</v>
      </c>
      <c r="L8" s="3">
        <v>14008227</v>
      </c>
      <c r="M8" s="3">
        <v>7095653</v>
      </c>
      <c r="N8" s="3">
        <f t="shared" si="2"/>
        <v>28870976</v>
      </c>
      <c r="O8" s="11">
        <f t="shared" si="3"/>
        <v>23.847892355203879</v>
      </c>
      <c r="P8" s="11">
        <f t="shared" si="0"/>
        <v>4.8308438777301639</v>
      </c>
      <c r="Q8" s="11">
        <f t="shared" si="0"/>
        <v>1.4222148056353838</v>
      </c>
      <c r="R8" s="11">
        <f t="shared" si="0"/>
        <v>3.2552299445176036</v>
      </c>
      <c r="S8" s="11">
        <f t="shared" si="0"/>
        <v>23.591909018098825</v>
      </c>
      <c r="T8" s="11">
        <f t="shared" si="0"/>
        <v>8.8393270805947122</v>
      </c>
    </row>
    <row r="9" spans="1:20" x14ac:dyDescent="0.3">
      <c r="A9" t="s">
        <v>99</v>
      </c>
      <c r="B9" s="3" t="s">
        <v>13</v>
      </c>
      <c r="C9" s="3">
        <v>273</v>
      </c>
      <c r="D9" s="3">
        <v>152</v>
      </c>
      <c r="E9" s="3">
        <v>66</v>
      </c>
      <c r="F9" s="3">
        <v>420</v>
      </c>
      <c r="G9" s="3">
        <v>1614</v>
      </c>
      <c r="H9" s="3">
        <f t="shared" si="1"/>
        <v>2525</v>
      </c>
      <c r="I9" s="3">
        <v>1002185</v>
      </c>
      <c r="J9" s="3">
        <v>2546139</v>
      </c>
      <c r="K9" s="3">
        <v>4218772</v>
      </c>
      <c r="L9" s="3">
        <v>14008227</v>
      </c>
      <c r="M9" s="3">
        <v>7095653</v>
      </c>
      <c r="N9" s="3">
        <f t="shared" si="2"/>
        <v>28870976</v>
      </c>
      <c r="O9" s="11">
        <f t="shared" si="3"/>
        <v>27.240479552178492</v>
      </c>
      <c r="P9" s="11">
        <f t="shared" si="0"/>
        <v>5.9698233285771121</v>
      </c>
      <c r="Q9" s="11">
        <f t="shared" si="0"/>
        <v>1.5644362861989223</v>
      </c>
      <c r="R9" s="11">
        <f t="shared" si="0"/>
        <v>2.9982381067925297</v>
      </c>
      <c r="S9" s="11">
        <f t="shared" si="0"/>
        <v>22.746320881249407</v>
      </c>
      <c r="T9" s="11">
        <f t="shared" si="0"/>
        <v>8.7458075542718046</v>
      </c>
    </row>
    <row r="10" spans="1:20" x14ac:dyDescent="0.3">
      <c r="A10" t="s">
        <v>99</v>
      </c>
      <c r="B10" s="3" t="s">
        <v>14</v>
      </c>
      <c r="C10" s="3">
        <v>329</v>
      </c>
      <c r="D10" s="3">
        <v>145</v>
      </c>
      <c r="E10" s="3">
        <v>53</v>
      </c>
      <c r="F10" s="3">
        <v>422</v>
      </c>
      <c r="G10" s="3">
        <v>1557</v>
      </c>
      <c r="H10" s="3">
        <f t="shared" si="1"/>
        <v>2506</v>
      </c>
      <c r="I10" s="3">
        <v>1002185</v>
      </c>
      <c r="J10" s="3">
        <v>2546139</v>
      </c>
      <c r="K10" s="3">
        <v>4218772</v>
      </c>
      <c r="L10" s="3">
        <v>14008227</v>
      </c>
      <c r="M10" s="3">
        <v>7095653</v>
      </c>
      <c r="N10" s="3">
        <f t="shared" si="2"/>
        <v>28870976</v>
      </c>
      <c r="O10" s="11">
        <f t="shared" si="3"/>
        <v>32.828270229548437</v>
      </c>
      <c r="P10" s="11">
        <f t="shared" si="0"/>
        <v>5.6948972542347454</v>
      </c>
      <c r="Q10" s="11">
        <f t="shared" si="0"/>
        <v>1.2562897449779225</v>
      </c>
      <c r="R10" s="11">
        <f t="shared" si="0"/>
        <v>3.0125154311105895</v>
      </c>
      <c r="S10" s="11">
        <f t="shared" si="0"/>
        <v>21.94301215124246</v>
      </c>
      <c r="T10" s="11">
        <f t="shared" si="0"/>
        <v>8.6799975172297597</v>
      </c>
    </row>
    <row r="11" spans="1:20" x14ac:dyDescent="0.3">
      <c r="A11" t="s">
        <v>99</v>
      </c>
      <c r="B11" s="3" t="s">
        <v>15</v>
      </c>
      <c r="C11" s="3">
        <v>342</v>
      </c>
      <c r="D11" s="3">
        <v>159</v>
      </c>
      <c r="E11" s="3">
        <v>53</v>
      </c>
      <c r="F11" s="3">
        <v>456</v>
      </c>
      <c r="G11" s="3">
        <v>1625</v>
      </c>
      <c r="H11" s="3">
        <f t="shared" si="1"/>
        <v>2635</v>
      </c>
      <c r="I11" s="3">
        <v>1002185</v>
      </c>
      <c r="J11" s="3">
        <v>2546139</v>
      </c>
      <c r="K11" s="3">
        <v>4218772</v>
      </c>
      <c r="L11" s="3">
        <v>14008227</v>
      </c>
      <c r="M11" s="3">
        <v>7095653</v>
      </c>
      <c r="N11" s="3">
        <f t="shared" si="2"/>
        <v>28870976</v>
      </c>
      <c r="O11" s="11">
        <f t="shared" si="3"/>
        <v>34.125435922509318</v>
      </c>
      <c r="P11" s="11">
        <f t="shared" si="0"/>
        <v>6.2447494029194797</v>
      </c>
      <c r="Q11" s="11">
        <f t="shared" si="0"/>
        <v>1.2562897449779225</v>
      </c>
      <c r="R11" s="11">
        <f t="shared" si="0"/>
        <v>3.2552299445176036</v>
      </c>
      <c r="S11" s="11">
        <f t="shared" si="0"/>
        <v>22.901345373005132</v>
      </c>
      <c r="T11" s="11">
        <f t="shared" si="0"/>
        <v>9.126813031883648</v>
      </c>
    </row>
    <row r="12" spans="1:20" x14ac:dyDescent="0.3">
      <c r="A12" t="s">
        <v>99</v>
      </c>
      <c r="B12" s="3" t="s">
        <v>16</v>
      </c>
      <c r="C12" s="3">
        <v>370</v>
      </c>
      <c r="D12" s="3">
        <v>139</v>
      </c>
      <c r="E12" s="3">
        <v>55</v>
      </c>
      <c r="F12" s="3">
        <v>465</v>
      </c>
      <c r="G12" s="3">
        <v>1611</v>
      </c>
      <c r="H12" s="3">
        <f t="shared" si="1"/>
        <v>2640</v>
      </c>
      <c r="I12" s="3">
        <v>1002185</v>
      </c>
      <c r="J12" s="3">
        <v>2546139</v>
      </c>
      <c r="K12" s="3">
        <v>4218772</v>
      </c>
      <c r="L12" s="3">
        <v>14008227</v>
      </c>
      <c r="M12" s="3">
        <v>7095653</v>
      </c>
      <c r="N12" s="3">
        <f t="shared" si="2"/>
        <v>28870976</v>
      </c>
      <c r="O12" s="11">
        <f t="shared" si="3"/>
        <v>36.919331261194294</v>
      </c>
      <c r="P12" s="11">
        <f t="shared" si="0"/>
        <v>5.4592463333698591</v>
      </c>
      <c r="Q12" s="11">
        <f t="shared" si="0"/>
        <v>1.3036969051657685</v>
      </c>
      <c r="R12" s="11">
        <f t="shared" si="0"/>
        <v>3.3194779039488722</v>
      </c>
      <c r="S12" s="11">
        <f t="shared" si="0"/>
        <v>22.704041474406935</v>
      </c>
      <c r="T12" s="11">
        <f t="shared" si="0"/>
        <v>9.1441314626841859</v>
      </c>
    </row>
    <row r="13" spans="1:20" x14ac:dyDescent="0.3">
      <c r="A13" t="s">
        <v>99</v>
      </c>
      <c r="B13" s="3" t="s">
        <v>17</v>
      </c>
      <c r="C13" s="3">
        <v>382</v>
      </c>
      <c r="D13" s="3">
        <v>144</v>
      </c>
      <c r="E13" s="3">
        <v>59</v>
      </c>
      <c r="F13" s="3">
        <v>495</v>
      </c>
      <c r="G13" s="3">
        <v>1825</v>
      </c>
      <c r="H13" s="3">
        <f t="shared" si="1"/>
        <v>2905</v>
      </c>
      <c r="I13" s="3">
        <v>1002185</v>
      </c>
      <c r="J13" s="3">
        <v>2546139</v>
      </c>
      <c r="K13" s="3">
        <v>4218772</v>
      </c>
      <c r="L13" s="3">
        <v>14008227</v>
      </c>
      <c r="M13" s="3">
        <v>7095653</v>
      </c>
      <c r="N13" s="3">
        <f t="shared" si="2"/>
        <v>28870976</v>
      </c>
      <c r="O13" s="11">
        <f t="shared" si="3"/>
        <v>38.116714977773562</v>
      </c>
      <c r="P13" s="11">
        <f t="shared" si="0"/>
        <v>5.655622100757264</v>
      </c>
      <c r="Q13" s="11">
        <f t="shared" si="0"/>
        <v>1.3985112255414609</v>
      </c>
      <c r="R13" s="11">
        <f t="shared" si="0"/>
        <v>3.5336377687197675</v>
      </c>
      <c r="S13" s="11">
        <f t="shared" si="0"/>
        <v>25.719972495836537</v>
      </c>
      <c r="T13" s="11">
        <f t="shared" si="0"/>
        <v>10.062008295112712</v>
      </c>
    </row>
    <row r="14" spans="1:20" x14ac:dyDescent="0.3">
      <c r="A14" t="s">
        <v>99</v>
      </c>
      <c r="B14" s="3" t="s">
        <v>18</v>
      </c>
      <c r="C14" s="3">
        <v>499</v>
      </c>
      <c r="D14" s="3">
        <v>132</v>
      </c>
      <c r="E14" s="3">
        <v>43</v>
      </c>
      <c r="F14" s="3">
        <v>457</v>
      </c>
      <c r="G14" s="3">
        <v>1974</v>
      </c>
      <c r="H14" s="3">
        <f t="shared" si="1"/>
        <v>3105</v>
      </c>
      <c r="I14" s="3">
        <v>1002185</v>
      </c>
      <c r="J14" s="3">
        <v>2546139</v>
      </c>
      <c r="K14" s="3">
        <v>4218772</v>
      </c>
      <c r="L14" s="3">
        <v>14008227</v>
      </c>
      <c r="M14" s="3">
        <v>7095653</v>
      </c>
      <c r="N14" s="3">
        <f t="shared" si="2"/>
        <v>28870976</v>
      </c>
      <c r="O14" s="11">
        <f t="shared" si="3"/>
        <v>49.791206214421486</v>
      </c>
      <c r="P14" s="11">
        <f t="shared" si="0"/>
        <v>5.1843202590274924</v>
      </c>
      <c r="Q14" s="11">
        <f t="shared" si="0"/>
        <v>1.0192539440386919</v>
      </c>
      <c r="R14" s="11">
        <f t="shared" si="0"/>
        <v>3.2623686066766333</v>
      </c>
      <c r="S14" s="11">
        <f t="shared" si="0"/>
        <v>27.81984970234593</v>
      </c>
      <c r="T14" s="11">
        <f t="shared" si="0"/>
        <v>10.75474552713424</v>
      </c>
    </row>
    <row r="15" spans="1:20" x14ac:dyDescent="0.3">
      <c r="A15" t="s">
        <v>99</v>
      </c>
      <c r="B15" s="3" t="s">
        <v>23</v>
      </c>
      <c r="C15" s="3">
        <v>491</v>
      </c>
      <c r="D15" s="3">
        <v>115</v>
      </c>
      <c r="E15" s="3">
        <v>69</v>
      </c>
      <c r="F15" s="3">
        <v>518</v>
      </c>
      <c r="G15" s="3">
        <v>2268</v>
      </c>
      <c r="H15" s="3">
        <f t="shared" si="1"/>
        <v>3461</v>
      </c>
      <c r="I15" s="3">
        <v>1002185</v>
      </c>
      <c r="J15" s="3">
        <v>2546139</v>
      </c>
      <c r="K15" s="3">
        <v>4218772</v>
      </c>
      <c r="L15" s="3">
        <v>14008227</v>
      </c>
      <c r="M15" s="3">
        <v>7095653</v>
      </c>
      <c r="N15" s="3">
        <f t="shared" si="2"/>
        <v>28870976</v>
      </c>
      <c r="O15" s="11">
        <f t="shared" si="3"/>
        <v>48.992950403368638</v>
      </c>
      <c r="P15" s="11">
        <f t="shared" si="0"/>
        <v>4.5166426499103149</v>
      </c>
      <c r="Q15" s="11">
        <f t="shared" si="0"/>
        <v>1.6355470264806915</v>
      </c>
      <c r="R15" s="11">
        <f t="shared" si="0"/>
        <v>3.6978269983774537</v>
      </c>
      <c r="S15" s="11">
        <f t="shared" si="0"/>
        <v>31.963231572908089</v>
      </c>
      <c r="T15" s="11">
        <f t="shared" si="0"/>
        <v>11.987817800132563</v>
      </c>
    </row>
    <row r="16" spans="1:20" x14ac:dyDescent="0.3">
      <c r="A16" t="s">
        <v>99</v>
      </c>
      <c r="B16" s="3" t="s">
        <v>24</v>
      </c>
      <c r="C16" s="3">
        <v>375</v>
      </c>
      <c r="D16" s="3">
        <v>149</v>
      </c>
      <c r="E16" s="3">
        <v>57</v>
      </c>
      <c r="F16" s="3">
        <v>477</v>
      </c>
      <c r="G16" s="3">
        <v>2154</v>
      </c>
      <c r="H16" s="3">
        <f t="shared" si="1"/>
        <v>3212</v>
      </c>
      <c r="I16" s="3">
        <v>1002185</v>
      </c>
      <c r="J16" s="3">
        <v>2546139</v>
      </c>
      <c r="K16" s="3">
        <v>4218772</v>
      </c>
      <c r="L16" s="3">
        <v>14008227</v>
      </c>
      <c r="M16" s="3">
        <v>7095653</v>
      </c>
      <c r="N16" s="3">
        <f t="shared" si="2"/>
        <v>28870976</v>
      </c>
      <c r="O16" s="11">
        <f t="shared" si="3"/>
        <v>37.418241143102321</v>
      </c>
      <c r="P16" s="11">
        <f t="shared" si="0"/>
        <v>5.8519978681446698</v>
      </c>
      <c r="Q16" s="11">
        <f t="shared" si="0"/>
        <v>1.3511040653536148</v>
      </c>
      <c r="R16" s="11">
        <f t="shared" si="0"/>
        <v>3.4051418498572299</v>
      </c>
      <c r="S16" s="11">
        <f t="shared" si="0"/>
        <v>30.356614112894189</v>
      </c>
      <c r="T16" s="11">
        <f t="shared" si="0"/>
        <v>11.125359946265759</v>
      </c>
    </row>
    <row r="17" spans="1:20" x14ac:dyDescent="0.3">
      <c r="A17" t="s">
        <v>99</v>
      </c>
      <c r="B17" s="3" t="s">
        <v>25</v>
      </c>
      <c r="C17" s="3">
        <v>372</v>
      </c>
      <c r="D17" s="3">
        <v>133</v>
      </c>
      <c r="E17" s="3">
        <v>53</v>
      </c>
      <c r="F17" s="3">
        <v>473</v>
      </c>
      <c r="G17" s="3">
        <v>2009</v>
      </c>
      <c r="H17" s="3">
        <f t="shared" si="1"/>
        <v>3040</v>
      </c>
      <c r="I17" s="3">
        <v>1002185</v>
      </c>
      <c r="J17" s="3">
        <v>2546139</v>
      </c>
      <c r="K17" s="3">
        <v>4218772</v>
      </c>
      <c r="L17" s="3">
        <v>14008227</v>
      </c>
      <c r="M17" s="3">
        <v>7095653</v>
      </c>
      <c r="N17" s="3">
        <f t="shared" si="2"/>
        <v>28870976</v>
      </c>
      <c r="O17" s="11">
        <f t="shared" si="3"/>
        <v>37.118895213957501</v>
      </c>
      <c r="P17" s="11">
        <f t="shared" si="0"/>
        <v>5.2235954125049728</v>
      </c>
      <c r="Q17" s="11">
        <f t="shared" si="0"/>
        <v>1.2562897449779225</v>
      </c>
      <c r="R17" s="11">
        <f t="shared" si="0"/>
        <v>3.3765872012211111</v>
      </c>
      <c r="S17" s="11">
        <f t="shared" si="0"/>
        <v>28.313109448841427</v>
      </c>
      <c r="T17" s="11">
        <f t="shared" si="0"/>
        <v>10.529605926727243</v>
      </c>
    </row>
    <row r="18" spans="1:20" x14ac:dyDescent="0.3">
      <c r="A18" t="s">
        <v>99</v>
      </c>
      <c r="B18" s="3" t="s">
        <v>26</v>
      </c>
      <c r="C18" s="3">
        <v>437</v>
      </c>
      <c r="D18" s="3">
        <v>165</v>
      </c>
      <c r="E18" s="3">
        <v>66</v>
      </c>
      <c r="F18" s="3">
        <v>494</v>
      </c>
      <c r="G18" s="3">
        <v>1984</v>
      </c>
      <c r="H18" s="3">
        <f t="shared" si="1"/>
        <v>3146</v>
      </c>
      <c r="I18" s="3">
        <v>1002185</v>
      </c>
      <c r="J18" s="3">
        <v>2546139</v>
      </c>
      <c r="K18" s="3">
        <v>4218772</v>
      </c>
      <c r="L18" s="3">
        <v>14008227</v>
      </c>
      <c r="M18" s="3">
        <v>7095653</v>
      </c>
      <c r="N18" s="3">
        <f t="shared" si="2"/>
        <v>28870976</v>
      </c>
      <c r="O18" s="11">
        <f t="shared" si="3"/>
        <v>43.6047236787619</v>
      </c>
      <c r="P18" s="11">
        <f t="shared" si="0"/>
        <v>6.480400323784365</v>
      </c>
      <c r="Q18" s="11">
        <f t="shared" si="0"/>
        <v>1.5644362861989223</v>
      </c>
      <c r="R18" s="11">
        <f t="shared" si="0"/>
        <v>3.5264991065607374</v>
      </c>
      <c r="S18" s="11">
        <f t="shared" si="0"/>
        <v>27.960781058487502</v>
      </c>
      <c r="T18" s="11">
        <f t="shared" si="0"/>
        <v>10.896756659698653</v>
      </c>
    </row>
    <row r="19" spans="1:20" x14ac:dyDescent="0.3">
      <c r="A19" t="s">
        <v>99</v>
      </c>
      <c r="B19" s="3" t="s">
        <v>27</v>
      </c>
      <c r="C19" s="3">
        <v>440</v>
      </c>
      <c r="D19" s="3">
        <v>175</v>
      </c>
      <c r="E19" s="3">
        <v>60</v>
      </c>
      <c r="F19" s="3">
        <v>511</v>
      </c>
      <c r="G19" s="3">
        <v>2032</v>
      </c>
      <c r="H19" s="3">
        <f t="shared" si="1"/>
        <v>3218</v>
      </c>
      <c r="I19" s="3">
        <v>1002185</v>
      </c>
      <c r="J19" s="3">
        <v>2546139</v>
      </c>
      <c r="K19" s="3">
        <v>4218772</v>
      </c>
      <c r="L19" s="3">
        <v>14008227</v>
      </c>
      <c r="M19" s="3">
        <v>7095653</v>
      </c>
      <c r="N19" s="3">
        <f t="shared" si="2"/>
        <v>28870976</v>
      </c>
      <c r="O19" s="11">
        <f t="shared" si="3"/>
        <v>43.904069607906727</v>
      </c>
      <c r="P19" s="11">
        <f t="shared" si="0"/>
        <v>6.8731518585591749</v>
      </c>
      <c r="Q19" s="11">
        <f t="shared" si="0"/>
        <v>1.4222148056353838</v>
      </c>
      <c r="R19" s="11">
        <f t="shared" si="0"/>
        <v>3.6478563632642449</v>
      </c>
      <c r="S19" s="11">
        <f t="shared" si="0"/>
        <v>28.637251567967038</v>
      </c>
      <c r="T19" s="11">
        <f t="shared" si="0"/>
        <v>11.146142063226405</v>
      </c>
    </row>
    <row r="20" spans="1:20" x14ac:dyDescent="0.3">
      <c r="A20" t="s">
        <v>99</v>
      </c>
      <c r="B20" s="3" t="s">
        <v>28</v>
      </c>
      <c r="C20" s="3">
        <v>376</v>
      </c>
      <c r="D20" s="3">
        <v>179</v>
      </c>
      <c r="E20" s="3">
        <v>64</v>
      </c>
      <c r="F20" s="3">
        <v>479</v>
      </c>
      <c r="G20" s="3">
        <v>1974</v>
      </c>
      <c r="H20" s="3">
        <f t="shared" si="1"/>
        <v>3072</v>
      </c>
      <c r="I20" s="3">
        <v>1002185</v>
      </c>
      <c r="J20" s="3">
        <v>2546139</v>
      </c>
      <c r="K20" s="3">
        <v>4218772</v>
      </c>
      <c r="L20" s="3">
        <v>14008227</v>
      </c>
      <c r="M20" s="3">
        <v>7095653</v>
      </c>
      <c r="N20" s="3">
        <f t="shared" si="2"/>
        <v>28870976</v>
      </c>
      <c r="O20" s="11">
        <f t="shared" si="3"/>
        <v>37.518023119483928</v>
      </c>
      <c r="P20" s="11">
        <f t="shared" si="3"/>
        <v>7.0302524724690993</v>
      </c>
      <c r="Q20" s="11">
        <f t="shared" si="3"/>
        <v>1.5170291260110762</v>
      </c>
      <c r="R20" s="11">
        <f t="shared" si="3"/>
        <v>3.4194191741752897</v>
      </c>
      <c r="S20" s="11">
        <f t="shared" si="3"/>
        <v>27.81984970234593</v>
      </c>
      <c r="T20" s="11">
        <f t="shared" si="3"/>
        <v>10.640443883850688</v>
      </c>
    </row>
    <row r="21" spans="1:20" x14ac:dyDescent="0.3">
      <c r="A21" t="s">
        <v>99</v>
      </c>
      <c r="B21" s="3" t="s">
        <v>29</v>
      </c>
      <c r="C21" s="3">
        <v>414</v>
      </c>
      <c r="D21" s="3">
        <v>165</v>
      </c>
      <c r="E21" s="3">
        <v>61</v>
      </c>
      <c r="F21" s="3">
        <v>524</v>
      </c>
      <c r="G21" s="3">
        <v>1988</v>
      </c>
      <c r="H21" s="3">
        <f t="shared" si="1"/>
        <v>3152</v>
      </c>
      <c r="I21" s="3">
        <v>1002185</v>
      </c>
      <c r="J21" s="3">
        <v>2546139</v>
      </c>
      <c r="K21" s="3">
        <v>4218772</v>
      </c>
      <c r="L21" s="3">
        <v>14008227</v>
      </c>
      <c r="M21" s="3">
        <v>7095653</v>
      </c>
      <c r="N21" s="3">
        <f t="shared" si="2"/>
        <v>28870976</v>
      </c>
      <c r="O21" s="11">
        <f t="shared" si="3"/>
        <v>41.309738221984965</v>
      </c>
      <c r="P21" s="11">
        <f t="shared" si="3"/>
        <v>6.480400323784365</v>
      </c>
      <c r="Q21" s="11">
        <f t="shared" si="3"/>
        <v>1.445918385729307</v>
      </c>
      <c r="R21" s="11">
        <f t="shared" si="3"/>
        <v>3.7406589713316327</v>
      </c>
      <c r="S21" s="11">
        <f t="shared" si="3"/>
        <v>28.017153600944127</v>
      </c>
      <c r="T21" s="11">
        <f t="shared" si="3"/>
        <v>10.917538776659301</v>
      </c>
    </row>
    <row r="22" spans="1:20" x14ac:dyDescent="0.3">
      <c r="A22" t="s">
        <v>99</v>
      </c>
      <c r="B22" s="3" t="s">
        <v>30</v>
      </c>
      <c r="C22" s="3">
        <v>400</v>
      </c>
      <c r="D22" s="3">
        <v>169</v>
      </c>
      <c r="E22" s="3">
        <v>66</v>
      </c>
      <c r="F22" s="3">
        <v>470</v>
      </c>
      <c r="G22" s="3">
        <v>1923</v>
      </c>
      <c r="H22" s="3">
        <f t="shared" si="1"/>
        <v>3028</v>
      </c>
      <c r="I22" s="3">
        <v>1002185</v>
      </c>
      <c r="J22" s="3">
        <v>2546139</v>
      </c>
      <c r="K22" s="3">
        <v>4218772</v>
      </c>
      <c r="L22" s="3">
        <v>14008227</v>
      </c>
      <c r="M22" s="3">
        <v>7095653</v>
      </c>
      <c r="N22" s="3">
        <f t="shared" si="2"/>
        <v>28870976</v>
      </c>
      <c r="O22" s="11">
        <f t="shared" si="3"/>
        <v>39.912790552642477</v>
      </c>
      <c r="P22" s="11">
        <f t="shared" si="3"/>
        <v>6.6375009376942895</v>
      </c>
      <c r="Q22" s="11">
        <f t="shared" si="3"/>
        <v>1.5644362861989223</v>
      </c>
      <c r="R22" s="11">
        <f t="shared" si="3"/>
        <v>3.3551712147440211</v>
      </c>
      <c r="S22" s="11">
        <f t="shared" si="3"/>
        <v>27.101099786023923</v>
      </c>
      <c r="T22" s="11">
        <f t="shared" si="3"/>
        <v>10.488041692805952</v>
      </c>
    </row>
    <row r="23" spans="1:20" x14ac:dyDescent="0.3">
      <c r="A23" t="s">
        <v>99</v>
      </c>
      <c r="B23" s="3" t="s">
        <v>31</v>
      </c>
      <c r="C23" s="3">
        <v>392</v>
      </c>
      <c r="D23" s="3">
        <v>141</v>
      </c>
      <c r="E23" s="3">
        <v>56</v>
      </c>
      <c r="F23" s="3">
        <v>487</v>
      </c>
      <c r="G23" s="3">
        <v>1894</v>
      </c>
      <c r="H23" s="3">
        <f t="shared" si="1"/>
        <v>2970</v>
      </c>
      <c r="I23" s="3">
        <v>1002185</v>
      </c>
      <c r="J23" s="3">
        <v>2546139</v>
      </c>
      <c r="K23" s="3">
        <v>4218772</v>
      </c>
      <c r="L23" s="3">
        <v>14008227</v>
      </c>
      <c r="M23" s="3">
        <v>7095653</v>
      </c>
      <c r="N23" s="3">
        <f t="shared" si="2"/>
        <v>28870976</v>
      </c>
      <c r="O23" s="11">
        <f t="shared" si="3"/>
        <v>39.114534741589623</v>
      </c>
      <c r="P23" s="11">
        <f t="shared" si="3"/>
        <v>5.5377966403248209</v>
      </c>
      <c r="Q23" s="11">
        <f t="shared" si="3"/>
        <v>1.3274004852596917</v>
      </c>
      <c r="R23" s="11">
        <f t="shared" si="3"/>
        <v>3.4765284714475286</v>
      </c>
      <c r="S23" s="11">
        <f t="shared" si="3"/>
        <v>26.692398853213366</v>
      </c>
      <c r="T23" s="11">
        <f t="shared" si="3"/>
        <v>10.287147895519707</v>
      </c>
    </row>
    <row r="24" spans="1:20" x14ac:dyDescent="0.3">
      <c r="A24" t="s">
        <v>99</v>
      </c>
      <c r="B24" s="3" t="s">
        <v>32</v>
      </c>
      <c r="C24" s="3">
        <v>362</v>
      </c>
      <c r="D24" s="3">
        <v>160</v>
      </c>
      <c r="E24" s="3">
        <v>62</v>
      </c>
      <c r="F24" s="3">
        <v>460</v>
      </c>
      <c r="G24" s="3">
        <v>1894</v>
      </c>
      <c r="H24" s="3">
        <f t="shared" si="1"/>
        <v>2938</v>
      </c>
      <c r="I24" s="3">
        <v>1002185</v>
      </c>
      <c r="J24" s="3">
        <v>2546139</v>
      </c>
      <c r="K24" s="3">
        <v>4218772</v>
      </c>
      <c r="L24" s="3">
        <v>14008227</v>
      </c>
      <c r="M24" s="3">
        <v>7095653</v>
      </c>
      <c r="N24" s="3">
        <f t="shared" si="2"/>
        <v>28870976</v>
      </c>
      <c r="O24" s="11">
        <f t="shared" si="3"/>
        <v>36.12107545014144</v>
      </c>
      <c r="P24" s="11">
        <f t="shared" si="3"/>
        <v>6.2840245563969601</v>
      </c>
      <c r="Q24" s="11">
        <f t="shared" si="3"/>
        <v>1.4696219658232301</v>
      </c>
      <c r="R24" s="11">
        <f t="shared" si="3"/>
        <v>3.2837845931537233</v>
      </c>
      <c r="S24" s="11">
        <f t="shared" si="3"/>
        <v>26.692398853213366</v>
      </c>
      <c r="T24" s="11">
        <f t="shared" si="3"/>
        <v>10.176309938396264</v>
      </c>
    </row>
    <row r="25" spans="1:20" x14ac:dyDescent="0.3">
      <c r="A25" t="s">
        <v>99</v>
      </c>
      <c r="B25" s="3" t="s">
        <v>33</v>
      </c>
      <c r="C25" s="3">
        <v>334</v>
      </c>
      <c r="D25" s="3">
        <v>178</v>
      </c>
      <c r="E25" s="3">
        <v>72</v>
      </c>
      <c r="F25" s="3">
        <v>457</v>
      </c>
      <c r="G25" s="3">
        <v>1860</v>
      </c>
      <c r="H25" s="3">
        <f t="shared" si="1"/>
        <v>2901</v>
      </c>
      <c r="I25" s="3">
        <v>1002185</v>
      </c>
      <c r="J25" s="3">
        <v>2546139</v>
      </c>
      <c r="K25" s="3">
        <v>4218772</v>
      </c>
      <c r="L25" s="3">
        <v>14008227</v>
      </c>
      <c r="M25" s="3">
        <v>7095653</v>
      </c>
      <c r="N25" s="3">
        <f t="shared" si="2"/>
        <v>28870976</v>
      </c>
      <c r="O25" s="11">
        <f t="shared" si="3"/>
        <v>33.327180111456464</v>
      </c>
      <c r="P25" s="11">
        <f t="shared" si="3"/>
        <v>6.990977318991618</v>
      </c>
      <c r="Q25" s="11">
        <f t="shared" si="3"/>
        <v>1.7066577667624607</v>
      </c>
      <c r="R25" s="11">
        <f t="shared" si="3"/>
        <v>3.2623686066766333</v>
      </c>
      <c r="S25" s="11">
        <f t="shared" si="3"/>
        <v>26.21323224233203</v>
      </c>
      <c r="T25" s="11">
        <f t="shared" ref="T25:T66" si="4">H25/N25*100000</f>
        <v>10.04815355047228</v>
      </c>
    </row>
    <row r="26" spans="1:20" x14ac:dyDescent="0.3">
      <c r="A26" t="s">
        <v>99</v>
      </c>
      <c r="B26" s="3" t="s">
        <v>34</v>
      </c>
      <c r="C26" s="3">
        <v>268</v>
      </c>
      <c r="D26" s="3">
        <v>143</v>
      </c>
      <c r="E26" s="3">
        <v>68</v>
      </c>
      <c r="F26" s="3">
        <v>424</v>
      </c>
      <c r="G26" s="3">
        <v>1790</v>
      </c>
      <c r="H26" s="3">
        <f t="shared" si="1"/>
        <v>2693</v>
      </c>
      <c r="I26" s="3">
        <v>1002185</v>
      </c>
      <c r="J26" s="3">
        <v>2546139</v>
      </c>
      <c r="K26" s="3">
        <v>4218772</v>
      </c>
      <c r="L26" s="3">
        <v>14008227</v>
      </c>
      <c r="M26" s="3">
        <v>7095653</v>
      </c>
      <c r="N26" s="3">
        <f t="shared" si="2"/>
        <v>28870976</v>
      </c>
      <c r="O26" s="11">
        <f t="shared" si="3"/>
        <v>26.741569670270462</v>
      </c>
      <c r="P26" s="11">
        <f t="shared" si="3"/>
        <v>5.6163469472797836</v>
      </c>
      <c r="Q26" s="11">
        <f t="shared" si="3"/>
        <v>1.6118434463867684</v>
      </c>
      <c r="R26" s="11">
        <f t="shared" si="3"/>
        <v>3.0267927554286493</v>
      </c>
      <c r="S26" s="11">
        <f t="shared" si="3"/>
        <v>25.22671274934104</v>
      </c>
      <c r="T26" s="11">
        <f t="shared" si="4"/>
        <v>9.3277068291698892</v>
      </c>
    </row>
    <row r="27" spans="1:20" x14ac:dyDescent="0.3">
      <c r="A27" t="s">
        <v>99</v>
      </c>
      <c r="B27" s="3" t="s">
        <v>35</v>
      </c>
      <c r="C27" s="3">
        <v>298</v>
      </c>
      <c r="D27" s="3">
        <v>154</v>
      </c>
      <c r="E27" s="3">
        <v>66</v>
      </c>
      <c r="F27" s="3">
        <v>475</v>
      </c>
      <c r="G27" s="3">
        <v>1820</v>
      </c>
      <c r="H27" s="3">
        <f t="shared" si="1"/>
        <v>2813</v>
      </c>
      <c r="I27" s="3">
        <v>1002185</v>
      </c>
      <c r="J27" s="3">
        <v>2546139</v>
      </c>
      <c r="K27" s="3">
        <v>4218772</v>
      </c>
      <c r="L27" s="3">
        <v>14008227</v>
      </c>
      <c r="M27" s="3">
        <v>7095653</v>
      </c>
      <c r="N27" s="3">
        <f t="shared" si="2"/>
        <v>28870976</v>
      </c>
      <c r="O27" s="11">
        <f t="shared" si="3"/>
        <v>29.735028961718644</v>
      </c>
      <c r="P27" s="11">
        <f t="shared" si="3"/>
        <v>6.0483736355320747</v>
      </c>
      <c r="Q27" s="11">
        <f t="shared" si="3"/>
        <v>1.5644362861989223</v>
      </c>
      <c r="R27" s="11">
        <f t="shared" si="3"/>
        <v>3.3908645255391709</v>
      </c>
      <c r="S27" s="11">
        <f t="shared" si="3"/>
        <v>25.649506817765751</v>
      </c>
      <c r="T27" s="11">
        <f t="shared" si="4"/>
        <v>9.7433491683828084</v>
      </c>
    </row>
    <row r="28" spans="1:20" x14ac:dyDescent="0.3">
      <c r="A28" t="s">
        <v>99</v>
      </c>
      <c r="B28" s="3" t="s">
        <v>36</v>
      </c>
      <c r="C28" s="3">
        <v>306</v>
      </c>
      <c r="D28" s="3">
        <v>142</v>
      </c>
      <c r="E28" s="3">
        <v>85</v>
      </c>
      <c r="F28" s="3">
        <v>420</v>
      </c>
      <c r="G28" s="3">
        <v>1772</v>
      </c>
      <c r="H28" s="3">
        <f t="shared" si="1"/>
        <v>2725</v>
      </c>
      <c r="I28" s="3">
        <v>1002185</v>
      </c>
      <c r="J28" s="3">
        <v>2546139</v>
      </c>
      <c r="K28" s="3">
        <v>4218772</v>
      </c>
      <c r="L28" s="3">
        <v>14008227</v>
      </c>
      <c r="M28" s="3">
        <v>7095653</v>
      </c>
      <c r="N28" s="3">
        <f t="shared" si="2"/>
        <v>28870976</v>
      </c>
      <c r="O28" s="11">
        <f t="shared" si="3"/>
        <v>30.533284772771498</v>
      </c>
      <c r="P28" s="11">
        <f t="shared" si="3"/>
        <v>5.5770717938023022</v>
      </c>
      <c r="Q28" s="11">
        <f t="shared" si="3"/>
        <v>2.0148043079834603</v>
      </c>
      <c r="R28" s="11">
        <f t="shared" si="3"/>
        <v>2.9982381067925297</v>
      </c>
      <c r="S28" s="11">
        <f t="shared" si="3"/>
        <v>24.973036308286215</v>
      </c>
      <c r="T28" s="11">
        <f t="shared" si="4"/>
        <v>9.4385447862933347</v>
      </c>
    </row>
    <row r="29" spans="1:20" x14ac:dyDescent="0.3">
      <c r="A29" t="s">
        <v>99</v>
      </c>
      <c r="B29" s="3" t="s">
        <v>37</v>
      </c>
      <c r="C29" s="3">
        <v>252</v>
      </c>
      <c r="D29" s="3">
        <v>153</v>
      </c>
      <c r="E29" s="3">
        <v>68</v>
      </c>
      <c r="F29" s="3">
        <v>438</v>
      </c>
      <c r="G29" s="3">
        <v>1745</v>
      </c>
      <c r="H29" s="3">
        <f t="shared" si="1"/>
        <v>2656</v>
      </c>
      <c r="I29" s="3">
        <v>1002185</v>
      </c>
      <c r="J29" s="3">
        <v>2546139</v>
      </c>
      <c r="K29" s="3">
        <v>4218772</v>
      </c>
      <c r="L29" s="3">
        <v>14008227</v>
      </c>
      <c r="M29" s="3">
        <v>7095653</v>
      </c>
      <c r="N29" s="3">
        <f t="shared" si="2"/>
        <v>28870976</v>
      </c>
      <c r="O29" s="11">
        <f t="shared" si="3"/>
        <v>25.145058048164763</v>
      </c>
      <c r="P29" s="11">
        <f t="shared" si="3"/>
        <v>6.0090984820545925</v>
      </c>
      <c r="Q29" s="11">
        <f t="shared" si="3"/>
        <v>1.6118434463867684</v>
      </c>
      <c r="R29" s="11">
        <f t="shared" si="3"/>
        <v>3.1267340256550669</v>
      </c>
      <c r="S29" s="11">
        <f t="shared" si="3"/>
        <v>24.592521646703975</v>
      </c>
      <c r="T29" s="11">
        <f t="shared" si="4"/>
        <v>9.1995504412459077</v>
      </c>
    </row>
    <row r="30" spans="1:20" x14ac:dyDescent="0.3">
      <c r="A30" t="s">
        <v>99</v>
      </c>
      <c r="B30" s="3" t="s">
        <v>38</v>
      </c>
      <c r="C30" s="3">
        <v>245</v>
      </c>
      <c r="D30" s="3">
        <v>138</v>
      </c>
      <c r="E30" s="3">
        <v>59</v>
      </c>
      <c r="F30" s="3">
        <v>436</v>
      </c>
      <c r="G30" s="3">
        <v>1805</v>
      </c>
      <c r="H30" s="3">
        <f t="shared" si="1"/>
        <v>2683</v>
      </c>
      <c r="I30" s="3">
        <v>1002185</v>
      </c>
      <c r="J30" s="3">
        <v>2546139</v>
      </c>
      <c r="K30" s="3">
        <v>4218772</v>
      </c>
      <c r="L30" s="3">
        <v>14008227</v>
      </c>
      <c r="M30" s="3">
        <v>7095653</v>
      </c>
      <c r="N30" s="3">
        <f t="shared" si="2"/>
        <v>28870976</v>
      </c>
      <c r="O30" s="11">
        <f t="shared" si="3"/>
        <v>24.446584213493516</v>
      </c>
      <c r="P30" s="11">
        <f t="shared" si="3"/>
        <v>5.4199711798923786</v>
      </c>
      <c r="Q30" s="11">
        <f t="shared" si="3"/>
        <v>1.3985112255414609</v>
      </c>
      <c r="R30" s="11">
        <f t="shared" si="3"/>
        <v>3.112456701337007</v>
      </c>
      <c r="S30" s="11">
        <f t="shared" si="3"/>
        <v>25.438109783553397</v>
      </c>
      <c r="T30" s="11">
        <f t="shared" si="4"/>
        <v>9.2930699675688135</v>
      </c>
    </row>
    <row r="31" spans="1:20" x14ac:dyDescent="0.3">
      <c r="A31" t="s">
        <v>99</v>
      </c>
      <c r="B31" s="3" t="s">
        <v>39</v>
      </c>
      <c r="C31" s="3">
        <v>301</v>
      </c>
      <c r="D31" s="3">
        <v>115</v>
      </c>
      <c r="E31" s="3">
        <v>48</v>
      </c>
      <c r="F31" s="3">
        <v>433</v>
      </c>
      <c r="G31" s="3">
        <v>1794</v>
      </c>
      <c r="H31" s="3">
        <f t="shared" si="1"/>
        <v>2691</v>
      </c>
      <c r="I31" s="3">
        <v>1002185</v>
      </c>
      <c r="J31" s="3">
        <v>2546139</v>
      </c>
      <c r="K31" s="3">
        <v>4218772</v>
      </c>
      <c r="L31" s="3">
        <v>14008227</v>
      </c>
      <c r="M31" s="3">
        <v>7095653</v>
      </c>
      <c r="N31" s="3">
        <f t="shared" si="2"/>
        <v>28870976</v>
      </c>
      <c r="O31" s="11">
        <f t="shared" si="3"/>
        <v>30.034374890863464</v>
      </c>
      <c r="P31" s="11">
        <f t="shared" si="3"/>
        <v>4.5166426499103149</v>
      </c>
      <c r="Q31" s="11">
        <f t="shared" si="3"/>
        <v>1.1377718445083072</v>
      </c>
      <c r="R31" s="11">
        <f t="shared" si="3"/>
        <v>3.0910407148599179</v>
      </c>
      <c r="S31" s="11">
        <f t="shared" si="3"/>
        <v>25.283085291797669</v>
      </c>
      <c r="T31" s="11">
        <f t="shared" si="4"/>
        <v>9.3207794568496745</v>
      </c>
    </row>
    <row r="32" spans="1:20" x14ac:dyDescent="0.3">
      <c r="A32" t="s">
        <v>99</v>
      </c>
      <c r="B32" s="3" t="s">
        <v>40</v>
      </c>
      <c r="C32" s="3">
        <v>228</v>
      </c>
      <c r="D32" s="3">
        <v>120</v>
      </c>
      <c r="E32" s="3">
        <v>61</v>
      </c>
      <c r="F32" s="3">
        <v>455</v>
      </c>
      <c r="G32" s="3">
        <v>1792</v>
      </c>
      <c r="H32" s="3">
        <f t="shared" si="1"/>
        <v>2656</v>
      </c>
      <c r="I32" s="3">
        <v>1002185</v>
      </c>
      <c r="J32" s="3">
        <v>2546139</v>
      </c>
      <c r="K32" s="3">
        <v>4218772</v>
      </c>
      <c r="L32" s="3">
        <v>14008227</v>
      </c>
      <c r="M32" s="3">
        <v>7095653</v>
      </c>
      <c r="N32" s="3">
        <f t="shared" si="2"/>
        <v>28870976</v>
      </c>
      <c r="O32" s="11">
        <f t="shared" si="3"/>
        <v>22.750290615006211</v>
      </c>
      <c r="P32" s="11">
        <f t="shared" si="3"/>
        <v>4.7130184172977199</v>
      </c>
      <c r="Q32" s="11">
        <f t="shared" si="3"/>
        <v>1.445918385729307</v>
      </c>
      <c r="R32" s="11">
        <f t="shared" si="3"/>
        <v>3.2480912823585744</v>
      </c>
      <c r="S32" s="11">
        <f t="shared" si="3"/>
        <v>25.254899020569354</v>
      </c>
      <c r="T32" s="11">
        <f t="shared" si="4"/>
        <v>9.1995504412459077</v>
      </c>
    </row>
    <row r="33" spans="1:20" x14ac:dyDescent="0.3">
      <c r="A33" t="s">
        <v>99</v>
      </c>
      <c r="B33" s="3" t="s">
        <v>41</v>
      </c>
      <c r="C33" s="3">
        <v>195</v>
      </c>
      <c r="D33" s="3">
        <v>100</v>
      </c>
      <c r="E33" s="3">
        <v>45</v>
      </c>
      <c r="F33" s="3">
        <v>392</v>
      </c>
      <c r="G33" s="3">
        <v>1652</v>
      </c>
      <c r="H33" s="3">
        <f t="shared" si="1"/>
        <v>2384</v>
      </c>
      <c r="I33" s="3">
        <v>1002185</v>
      </c>
      <c r="J33" s="3">
        <v>2546139</v>
      </c>
      <c r="K33" s="3">
        <v>4218772</v>
      </c>
      <c r="L33" s="3">
        <v>14008227</v>
      </c>
      <c r="M33" s="3">
        <v>7095653</v>
      </c>
      <c r="N33" s="3">
        <f t="shared" si="2"/>
        <v>28870976</v>
      </c>
      <c r="O33" s="11">
        <f t="shared" si="3"/>
        <v>19.457485394413208</v>
      </c>
      <c r="P33" s="11">
        <f t="shared" si="3"/>
        <v>3.9275153477481002</v>
      </c>
      <c r="Q33" s="11">
        <f t="shared" si="3"/>
        <v>1.0666611042265379</v>
      </c>
      <c r="R33" s="11">
        <f t="shared" si="3"/>
        <v>2.7983555663396946</v>
      </c>
      <c r="S33" s="11">
        <f t="shared" si="3"/>
        <v>23.281860034587375</v>
      </c>
      <c r="T33" s="11">
        <f t="shared" si="4"/>
        <v>8.2574278056966275</v>
      </c>
    </row>
    <row r="34" spans="1:20" x14ac:dyDescent="0.3">
      <c r="A34" t="s">
        <v>99</v>
      </c>
      <c r="B34" s="3" t="s">
        <v>42</v>
      </c>
      <c r="C34" s="3">
        <v>181</v>
      </c>
      <c r="D34" s="3">
        <v>92</v>
      </c>
      <c r="E34" s="3">
        <v>44</v>
      </c>
      <c r="F34" s="3">
        <v>354</v>
      </c>
      <c r="G34" s="3">
        <v>1464</v>
      </c>
      <c r="H34" s="3">
        <f t="shared" si="1"/>
        <v>2135</v>
      </c>
      <c r="I34" s="3">
        <v>1002185</v>
      </c>
      <c r="J34" s="3">
        <v>2546139</v>
      </c>
      <c r="K34" s="3">
        <v>4218772</v>
      </c>
      <c r="L34" s="3">
        <v>14008227</v>
      </c>
      <c r="M34" s="3">
        <v>7095653</v>
      </c>
      <c r="N34" s="3">
        <f t="shared" si="2"/>
        <v>28870976</v>
      </c>
      <c r="O34" s="11">
        <f t="shared" si="3"/>
        <v>18.06053772507072</v>
      </c>
      <c r="P34" s="11">
        <f t="shared" si="3"/>
        <v>3.6133141199282521</v>
      </c>
      <c r="Q34" s="11">
        <f t="shared" si="3"/>
        <v>1.0429575241326148</v>
      </c>
      <c r="R34" s="11">
        <f t="shared" si="3"/>
        <v>2.5270864042965608</v>
      </c>
      <c r="S34" s="11">
        <f t="shared" si="3"/>
        <v>20.632350539125856</v>
      </c>
      <c r="T34" s="11">
        <f t="shared" si="4"/>
        <v>7.3949699518298235</v>
      </c>
    </row>
    <row r="35" spans="1:20" x14ac:dyDescent="0.3">
      <c r="A35" t="s">
        <v>99</v>
      </c>
      <c r="B35" s="3" t="s">
        <v>43</v>
      </c>
      <c r="C35" s="3">
        <v>207</v>
      </c>
      <c r="D35" s="3">
        <v>109</v>
      </c>
      <c r="E35" s="3">
        <v>59</v>
      </c>
      <c r="F35" s="3">
        <v>438</v>
      </c>
      <c r="G35" s="3">
        <v>1568</v>
      </c>
      <c r="H35" s="3">
        <f t="shared" si="1"/>
        <v>2381</v>
      </c>
      <c r="I35" s="3">
        <v>1002185</v>
      </c>
      <c r="J35" s="3">
        <v>2546139</v>
      </c>
      <c r="K35" s="3">
        <v>4218772</v>
      </c>
      <c r="L35" s="3">
        <v>14008227</v>
      </c>
      <c r="M35" s="3">
        <v>7095653</v>
      </c>
      <c r="N35" s="3">
        <f t="shared" si="2"/>
        <v>28870976</v>
      </c>
      <c r="O35" s="11">
        <f t="shared" si="3"/>
        <v>20.654869110992482</v>
      </c>
      <c r="P35" s="11">
        <f t="shared" si="3"/>
        <v>4.2809917290454287</v>
      </c>
      <c r="Q35" s="11">
        <f t="shared" si="3"/>
        <v>1.3985112255414609</v>
      </c>
      <c r="R35" s="11">
        <f t="shared" si="3"/>
        <v>3.1267340256550669</v>
      </c>
      <c r="S35" s="11">
        <f t="shared" si="3"/>
        <v>22.098036642998185</v>
      </c>
      <c r="T35" s="11">
        <f t="shared" si="4"/>
        <v>8.2470367472163044</v>
      </c>
    </row>
    <row r="36" spans="1:20" x14ac:dyDescent="0.3">
      <c r="A36" t="s">
        <v>99</v>
      </c>
      <c r="B36" s="3" t="s">
        <v>44</v>
      </c>
      <c r="C36" s="3">
        <v>180</v>
      </c>
      <c r="D36" s="3">
        <v>108</v>
      </c>
      <c r="E36" s="3">
        <v>51</v>
      </c>
      <c r="F36" s="3">
        <v>422</v>
      </c>
      <c r="G36" s="3">
        <v>1652</v>
      </c>
      <c r="H36" s="3">
        <f t="shared" si="1"/>
        <v>2413</v>
      </c>
      <c r="I36" s="3">
        <v>1002185</v>
      </c>
      <c r="J36" s="3">
        <v>2546139</v>
      </c>
      <c r="K36" s="3">
        <v>4218772</v>
      </c>
      <c r="L36" s="3">
        <v>14008227</v>
      </c>
      <c r="M36" s="3">
        <v>7095653</v>
      </c>
      <c r="N36" s="3">
        <f t="shared" si="2"/>
        <v>28870976</v>
      </c>
      <c r="O36" s="11">
        <f t="shared" si="3"/>
        <v>17.960755748689117</v>
      </c>
      <c r="P36" s="11">
        <f t="shared" si="3"/>
        <v>4.2417165755679482</v>
      </c>
      <c r="Q36" s="11">
        <f t="shared" si="3"/>
        <v>1.2088825847900764</v>
      </c>
      <c r="R36" s="11">
        <f t="shared" si="3"/>
        <v>3.0125154311105895</v>
      </c>
      <c r="S36" s="11">
        <f t="shared" si="3"/>
        <v>23.281860034587375</v>
      </c>
      <c r="T36" s="11">
        <f t="shared" si="4"/>
        <v>8.3578747043397499</v>
      </c>
    </row>
    <row r="37" spans="1:20" x14ac:dyDescent="0.3">
      <c r="A37" t="s">
        <v>99</v>
      </c>
      <c r="B37" s="3" t="s">
        <v>45</v>
      </c>
      <c r="C37" s="3">
        <v>218</v>
      </c>
      <c r="D37" s="3">
        <v>112</v>
      </c>
      <c r="E37" s="3">
        <v>64</v>
      </c>
      <c r="F37" s="3">
        <v>416</v>
      </c>
      <c r="G37" s="3">
        <v>1538</v>
      </c>
      <c r="H37" s="3">
        <f t="shared" si="1"/>
        <v>2348</v>
      </c>
      <c r="I37" s="3">
        <v>1002185</v>
      </c>
      <c r="J37" s="3">
        <v>2546139</v>
      </c>
      <c r="K37" s="3">
        <v>4218772</v>
      </c>
      <c r="L37" s="3">
        <v>14008227</v>
      </c>
      <c r="M37" s="3">
        <v>7095653</v>
      </c>
      <c r="N37" s="3">
        <f t="shared" si="2"/>
        <v>28870976</v>
      </c>
      <c r="O37" s="11">
        <f t="shared" si="3"/>
        <v>21.75247085119015</v>
      </c>
      <c r="P37" s="11">
        <f t="shared" si="3"/>
        <v>4.3988171894778727</v>
      </c>
      <c r="Q37" s="11">
        <f t="shared" si="3"/>
        <v>1.5170291260110762</v>
      </c>
      <c r="R37" s="11">
        <f t="shared" si="3"/>
        <v>2.9696834581564104</v>
      </c>
      <c r="S37" s="11">
        <f t="shared" si="3"/>
        <v>21.675242574573474</v>
      </c>
      <c r="T37" s="11">
        <f t="shared" si="4"/>
        <v>8.1327351039327525</v>
      </c>
    </row>
    <row r="38" spans="1:20" x14ac:dyDescent="0.3">
      <c r="A38" t="s">
        <v>99</v>
      </c>
      <c r="B38" s="3" t="s">
        <v>46</v>
      </c>
      <c r="C38" s="3">
        <v>194</v>
      </c>
      <c r="D38" s="3">
        <v>105</v>
      </c>
      <c r="E38" s="3">
        <v>56</v>
      </c>
      <c r="F38" s="3">
        <v>388</v>
      </c>
      <c r="G38" s="3">
        <v>1482</v>
      </c>
      <c r="H38" s="3">
        <f t="shared" si="1"/>
        <v>2225</v>
      </c>
      <c r="I38" s="3">
        <v>1002185</v>
      </c>
      <c r="J38" s="3">
        <v>2546139</v>
      </c>
      <c r="K38" s="3">
        <v>4218772</v>
      </c>
      <c r="L38" s="3">
        <v>14008227</v>
      </c>
      <c r="M38" s="3">
        <v>7095653</v>
      </c>
      <c r="N38" s="3">
        <f t="shared" si="2"/>
        <v>28870976</v>
      </c>
      <c r="O38" s="11">
        <f t="shared" si="3"/>
        <v>19.357703418031601</v>
      </c>
      <c r="P38" s="11">
        <f t="shared" si="3"/>
        <v>4.1238911151355051</v>
      </c>
      <c r="Q38" s="11">
        <f t="shared" si="3"/>
        <v>1.3274004852596917</v>
      </c>
      <c r="R38" s="11">
        <f t="shared" si="3"/>
        <v>2.7698009177035754</v>
      </c>
      <c r="S38" s="11">
        <f t="shared" si="3"/>
        <v>20.886026980180681</v>
      </c>
      <c r="T38" s="11">
        <f t="shared" si="4"/>
        <v>7.706701706239512</v>
      </c>
    </row>
    <row r="39" spans="1:20" x14ac:dyDescent="0.3">
      <c r="A39" t="s">
        <v>99</v>
      </c>
      <c r="B39" s="3" t="s">
        <v>47</v>
      </c>
      <c r="C39" s="3">
        <v>207</v>
      </c>
      <c r="D39" s="3">
        <v>94</v>
      </c>
      <c r="E39" s="3">
        <v>48</v>
      </c>
      <c r="F39" s="3">
        <v>384</v>
      </c>
      <c r="G39" s="3">
        <v>1432</v>
      </c>
      <c r="H39" s="3">
        <f t="shared" si="1"/>
        <v>2165</v>
      </c>
      <c r="I39" s="3">
        <v>1002185</v>
      </c>
      <c r="J39" s="3">
        <v>2546139</v>
      </c>
      <c r="K39" s="3">
        <v>4218772</v>
      </c>
      <c r="L39" s="3">
        <v>14008227</v>
      </c>
      <c r="M39" s="3">
        <v>7095653</v>
      </c>
      <c r="N39" s="3">
        <f t="shared" si="2"/>
        <v>28870976</v>
      </c>
      <c r="O39" s="11">
        <f t="shared" si="3"/>
        <v>20.654869110992482</v>
      </c>
      <c r="P39" s="11">
        <f t="shared" si="3"/>
        <v>3.6918644268832139</v>
      </c>
      <c r="Q39" s="11">
        <f t="shared" si="3"/>
        <v>1.1377718445083072</v>
      </c>
      <c r="R39" s="11">
        <f t="shared" si="3"/>
        <v>2.7412462690674562</v>
      </c>
      <c r="S39" s="11">
        <f t="shared" si="3"/>
        <v>20.181370199472831</v>
      </c>
      <c r="T39" s="11">
        <f t="shared" si="4"/>
        <v>7.4988805366330533</v>
      </c>
    </row>
    <row r="40" spans="1:20" x14ac:dyDescent="0.3">
      <c r="A40" t="s">
        <v>99</v>
      </c>
      <c r="B40" s="3" t="s">
        <v>48</v>
      </c>
      <c r="C40" s="3">
        <v>193</v>
      </c>
      <c r="D40" s="3">
        <v>90</v>
      </c>
      <c r="E40" s="3">
        <v>51</v>
      </c>
      <c r="F40" s="3">
        <v>364</v>
      </c>
      <c r="G40" s="3">
        <v>1491</v>
      </c>
      <c r="H40" s="3">
        <f t="shared" si="1"/>
        <v>2189</v>
      </c>
      <c r="I40" s="3">
        <v>1002185</v>
      </c>
      <c r="J40" s="3">
        <v>2546139</v>
      </c>
      <c r="K40" s="3">
        <v>4218772</v>
      </c>
      <c r="L40" s="3">
        <v>14008227</v>
      </c>
      <c r="M40" s="3">
        <v>7095653</v>
      </c>
      <c r="N40" s="3">
        <f t="shared" si="2"/>
        <v>28870976</v>
      </c>
      <c r="O40" s="11">
        <f t="shared" si="3"/>
        <v>19.257921441649994</v>
      </c>
      <c r="P40" s="11">
        <f t="shared" si="3"/>
        <v>3.5347638129732899</v>
      </c>
      <c r="Q40" s="11">
        <f t="shared" si="3"/>
        <v>1.2088825847900764</v>
      </c>
      <c r="R40" s="11">
        <f t="shared" si="3"/>
        <v>2.5984730258868591</v>
      </c>
      <c r="S40" s="11">
        <f t="shared" si="3"/>
        <v>21.012865200708095</v>
      </c>
      <c r="T40" s="11">
        <f t="shared" si="4"/>
        <v>7.5820090044756361</v>
      </c>
    </row>
    <row r="41" spans="1:20" x14ac:dyDescent="0.3">
      <c r="A41" t="s">
        <v>99</v>
      </c>
      <c r="B41" s="3" t="s">
        <v>49</v>
      </c>
      <c r="C41" s="3">
        <v>167</v>
      </c>
      <c r="D41" s="3">
        <v>89</v>
      </c>
      <c r="E41" s="3">
        <v>44</v>
      </c>
      <c r="F41" s="3">
        <v>349</v>
      </c>
      <c r="G41" s="3">
        <v>1446</v>
      </c>
      <c r="H41" s="3">
        <f t="shared" si="1"/>
        <v>2095</v>
      </c>
      <c r="I41" s="3">
        <v>1002185</v>
      </c>
      <c r="J41" s="3">
        <v>2546139</v>
      </c>
      <c r="K41" s="3">
        <v>4218772</v>
      </c>
      <c r="L41" s="3">
        <v>14008227</v>
      </c>
      <c r="M41" s="3">
        <v>7095653</v>
      </c>
      <c r="N41" s="3">
        <f t="shared" si="2"/>
        <v>28870976</v>
      </c>
      <c r="O41" s="11">
        <f t="shared" si="3"/>
        <v>16.663590055728232</v>
      </c>
      <c r="P41" s="11">
        <f t="shared" si="3"/>
        <v>3.495488659495809</v>
      </c>
      <c r="Q41" s="11">
        <f t="shared" si="3"/>
        <v>1.0429575241326148</v>
      </c>
      <c r="R41" s="11">
        <f t="shared" si="3"/>
        <v>2.4913930935014119</v>
      </c>
      <c r="S41" s="11">
        <f t="shared" si="3"/>
        <v>20.378674098071031</v>
      </c>
      <c r="T41" s="11">
        <f t="shared" si="4"/>
        <v>7.2564225054255189</v>
      </c>
    </row>
    <row r="42" spans="1:20" x14ac:dyDescent="0.3">
      <c r="A42" t="s">
        <v>99</v>
      </c>
      <c r="B42" s="3" t="s">
        <v>50</v>
      </c>
      <c r="C42" s="3">
        <v>138</v>
      </c>
      <c r="D42" s="3">
        <v>76</v>
      </c>
      <c r="E42" s="3">
        <v>39</v>
      </c>
      <c r="F42" s="3">
        <v>369</v>
      </c>
      <c r="G42" s="3">
        <v>1345</v>
      </c>
      <c r="H42" s="3">
        <f t="shared" si="1"/>
        <v>1967</v>
      </c>
      <c r="I42" s="3">
        <v>1002185</v>
      </c>
      <c r="J42" s="3">
        <v>2546139</v>
      </c>
      <c r="K42" s="3">
        <v>4218772</v>
      </c>
      <c r="L42" s="3">
        <v>14008227</v>
      </c>
      <c r="M42" s="3">
        <v>7095653</v>
      </c>
      <c r="N42" s="3">
        <f t="shared" si="2"/>
        <v>28870976</v>
      </c>
      <c r="O42" s="11">
        <f t="shared" si="3"/>
        <v>13.769912740661653</v>
      </c>
      <c r="P42" s="11">
        <f t="shared" si="3"/>
        <v>2.984911664288556</v>
      </c>
      <c r="Q42" s="11">
        <f t="shared" si="3"/>
        <v>0.92443962366299959</v>
      </c>
      <c r="R42" s="11">
        <f t="shared" si="3"/>
        <v>2.6341663366820085</v>
      </c>
      <c r="S42" s="11">
        <f t="shared" si="3"/>
        <v>18.955267401041173</v>
      </c>
      <c r="T42" s="11">
        <f t="shared" si="4"/>
        <v>6.8130706769317388</v>
      </c>
    </row>
    <row r="43" spans="1:20" x14ac:dyDescent="0.3">
      <c r="A43" t="s">
        <v>99</v>
      </c>
      <c r="B43" s="3" t="s">
        <v>51</v>
      </c>
      <c r="C43" s="3">
        <v>162</v>
      </c>
      <c r="D43" s="3">
        <v>79</v>
      </c>
      <c r="E43" s="3">
        <v>46</v>
      </c>
      <c r="F43" s="3">
        <v>376</v>
      </c>
      <c r="G43" s="3">
        <v>1464</v>
      </c>
      <c r="H43" s="3">
        <f t="shared" si="1"/>
        <v>2127</v>
      </c>
      <c r="I43" s="3">
        <v>1002185</v>
      </c>
      <c r="J43" s="3">
        <v>2546139</v>
      </c>
      <c r="K43" s="3">
        <v>4218772</v>
      </c>
      <c r="L43" s="3">
        <v>14008227</v>
      </c>
      <c r="M43" s="3">
        <v>7095653</v>
      </c>
      <c r="N43" s="3">
        <f t="shared" si="2"/>
        <v>28870976</v>
      </c>
      <c r="O43" s="11">
        <f t="shared" si="3"/>
        <v>16.164680173820202</v>
      </c>
      <c r="P43" s="11">
        <f t="shared" si="3"/>
        <v>3.1027371247209987</v>
      </c>
      <c r="Q43" s="11">
        <f t="shared" si="3"/>
        <v>1.0903646843204611</v>
      </c>
      <c r="R43" s="11">
        <f t="shared" si="3"/>
        <v>2.6841369717952173</v>
      </c>
      <c r="S43" s="11">
        <f t="shared" si="3"/>
        <v>20.632350539125856</v>
      </c>
      <c r="T43" s="11">
        <f t="shared" si="4"/>
        <v>7.3672604625489635</v>
      </c>
    </row>
    <row r="44" spans="1:20" x14ac:dyDescent="0.3">
      <c r="A44" t="s">
        <v>99</v>
      </c>
      <c r="B44" s="3" t="s">
        <v>52</v>
      </c>
      <c r="C44" s="3">
        <v>140</v>
      </c>
      <c r="D44" s="3">
        <v>60</v>
      </c>
      <c r="E44" s="3">
        <v>44</v>
      </c>
      <c r="F44" s="3">
        <v>390</v>
      </c>
      <c r="G44" s="3">
        <v>1540</v>
      </c>
      <c r="H44" s="3">
        <f t="shared" si="1"/>
        <v>2174</v>
      </c>
      <c r="I44" s="3">
        <v>1002185</v>
      </c>
      <c r="J44" s="3">
        <v>2546139</v>
      </c>
      <c r="K44" s="3">
        <v>4218772</v>
      </c>
      <c r="L44" s="3">
        <v>14008227</v>
      </c>
      <c r="M44" s="3">
        <v>7095653</v>
      </c>
      <c r="N44" s="3">
        <f t="shared" si="2"/>
        <v>28870976</v>
      </c>
      <c r="O44" s="11">
        <f t="shared" si="3"/>
        <v>13.969476693424866</v>
      </c>
      <c r="P44" s="11">
        <f t="shared" si="3"/>
        <v>2.3565092086488599</v>
      </c>
      <c r="Q44" s="11">
        <f t="shared" si="3"/>
        <v>1.0429575241326148</v>
      </c>
      <c r="R44" s="11">
        <f t="shared" si="3"/>
        <v>2.7840782420216348</v>
      </c>
      <c r="S44" s="11">
        <f t="shared" si="3"/>
        <v>21.703428845801788</v>
      </c>
      <c r="T44" s="11">
        <f t="shared" si="4"/>
        <v>7.5300537120740216</v>
      </c>
    </row>
    <row r="45" spans="1:20" x14ac:dyDescent="0.3">
      <c r="A45" t="s">
        <v>99</v>
      </c>
      <c r="B45" s="3" t="s">
        <v>53</v>
      </c>
      <c r="C45" s="3">
        <v>150</v>
      </c>
      <c r="D45" s="3">
        <v>63</v>
      </c>
      <c r="E45" s="3">
        <v>49</v>
      </c>
      <c r="F45" s="3">
        <v>390</v>
      </c>
      <c r="G45" s="3">
        <v>1415</v>
      </c>
      <c r="H45" s="3">
        <f t="shared" si="1"/>
        <v>2067</v>
      </c>
      <c r="I45" s="3">
        <v>1002185</v>
      </c>
      <c r="J45" s="3">
        <v>2546139</v>
      </c>
      <c r="K45" s="3">
        <v>4218772</v>
      </c>
      <c r="L45" s="3">
        <v>14008227</v>
      </c>
      <c r="M45" s="3">
        <v>7095653</v>
      </c>
      <c r="N45" s="3">
        <f t="shared" si="2"/>
        <v>28870976</v>
      </c>
      <c r="O45" s="11">
        <f t="shared" si="3"/>
        <v>14.967296457240927</v>
      </c>
      <c r="P45" s="11">
        <f t="shared" si="3"/>
        <v>2.4743346690813031</v>
      </c>
      <c r="Q45" s="11">
        <f t="shared" si="3"/>
        <v>1.1614754246022303</v>
      </c>
      <c r="R45" s="11">
        <f t="shared" si="3"/>
        <v>2.7840782420216348</v>
      </c>
      <c r="S45" s="11">
        <f t="shared" si="3"/>
        <v>19.941786894032163</v>
      </c>
      <c r="T45" s="11">
        <f t="shared" si="4"/>
        <v>7.159439292942503</v>
      </c>
    </row>
    <row r="46" spans="1:20" x14ac:dyDescent="0.3">
      <c r="A46" t="s">
        <v>99</v>
      </c>
      <c r="B46" s="3" t="s">
        <v>54</v>
      </c>
      <c r="C46" s="3">
        <v>155</v>
      </c>
      <c r="D46" s="3">
        <v>60</v>
      </c>
      <c r="E46" s="3">
        <v>45</v>
      </c>
      <c r="F46" s="3">
        <v>417</v>
      </c>
      <c r="G46" s="3">
        <v>1532</v>
      </c>
      <c r="H46" s="3">
        <f t="shared" si="1"/>
        <v>2209</v>
      </c>
      <c r="I46" s="3">
        <v>1002185</v>
      </c>
      <c r="J46" s="3">
        <v>2546139</v>
      </c>
      <c r="K46" s="3">
        <v>4218772</v>
      </c>
      <c r="L46" s="3">
        <v>14008227</v>
      </c>
      <c r="M46" s="3">
        <v>7095653</v>
      </c>
      <c r="N46" s="3">
        <f t="shared" si="2"/>
        <v>28870976</v>
      </c>
      <c r="O46" s="11">
        <f t="shared" si="3"/>
        <v>15.466206339148959</v>
      </c>
      <c r="P46" s="11">
        <f t="shared" si="3"/>
        <v>2.3565092086488599</v>
      </c>
      <c r="Q46" s="11">
        <f t="shared" si="3"/>
        <v>1.0666611042265379</v>
      </c>
      <c r="R46" s="11">
        <f t="shared" si="3"/>
        <v>2.9768221203154401</v>
      </c>
      <c r="S46" s="11">
        <f t="shared" si="3"/>
        <v>21.590683760888535</v>
      </c>
      <c r="T46" s="11">
        <f t="shared" si="4"/>
        <v>7.6512827276777902</v>
      </c>
    </row>
    <row r="47" spans="1:20" x14ac:dyDescent="0.3">
      <c r="A47" t="s">
        <v>99</v>
      </c>
      <c r="B47" s="3" t="s">
        <v>55</v>
      </c>
      <c r="C47" s="3">
        <v>144</v>
      </c>
      <c r="D47" s="3">
        <v>42</v>
      </c>
      <c r="E47" s="3">
        <v>60</v>
      </c>
      <c r="F47" s="3">
        <v>410</v>
      </c>
      <c r="G47" s="3">
        <v>1665</v>
      </c>
      <c r="H47" s="3">
        <f t="shared" si="1"/>
        <v>2321</v>
      </c>
      <c r="I47" s="3">
        <v>1002185</v>
      </c>
      <c r="J47" s="3">
        <v>2546139</v>
      </c>
      <c r="K47" s="3">
        <v>4218772</v>
      </c>
      <c r="L47" s="3">
        <v>14008227</v>
      </c>
      <c r="M47" s="3">
        <v>7095653</v>
      </c>
      <c r="N47" s="3">
        <f t="shared" si="2"/>
        <v>28870976</v>
      </c>
      <c r="O47" s="11">
        <f t="shared" si="3"/>
        <v>14.368604598951292</v>
      </c>
      <c r="P47" s="11">
        <f t="shared" si="3"/>
        <v>1.6495564460542023</v>
      </c>
      <c r="Q47" s="11">
        <f t="shared" si="3"/>
        <v>1.4222148056353838</v>
      </c>
      <c r="R47" s="11">
        <f t="shared" si="3"/>
        <v>2.9268514852022314</v>
      </c>
      <c r="S47" s="11">
        <f t="shared" si="3"/>
        <v>23.465070797571414</v>
      </c>
      <c r="T47" s="11">
        <f t="shared" si="4"/>
        <v>8.0392155776098448</v>
      </c>
    </row>
    <row r="48" spans="1:20" x14ac:dyDescent="0.3">
      <c r="A48" t="s">
        <v>99</v>
      </c>
      <c r="B48" s="3" t="s">
        <v>56</v>
      </c>
      <c r="C48" s="3">
        <v>130</v>
      </c>
      <c r="D48" s="3">
        <v>62</v>
      </c>
      <c r="E48" s="3">
        <v>55</v>
      </c>
      <c r="F48" s="3">
        <v>402</v>
      </c>
      <c r="G48" s="3">
        <v>1477</v>
      </c>
      <c r="H48" s="3">
        <f t="shared" si="1"/>
        <v>2126</v>
      </c>
      <c r="I48" s="3">
        <v>1002185</v>
      </c>
      <c r="J48" s="3">
        <v>2546139</v>
      </c>
      <c r="K48" s="3">
        <v>4218772</v>
      </c>
      <c r="L48" s="3">
        <v>14008227</v>
      </c>
      <c r="M48" s="3">
        <v>7095653</v>
      </c>
      <c r="N48" s="3">
        <f t="shared" si="2"/>
        <v>28870976</v>
      </c>
      <c r="O48" s="11">
        <f t="shared" si="3"/>
        <v>12.971656929608804</v>
      </c>
      <c r="P48" s="11">
        <f t="shared" si="3"/>
        <v>2.4350595156038222</v>
      </c>
      <c r="Q48" s="11">
        <f t="shared" si="3"/>
        <v>1.3036969051657685</v>
      </c>
      <c r="R48" s="11">
        <f t="shared" si="3"/>
        <v>2.8697421879299925</v>
      </c>
      <c r="S48" s="11">
        <f t="shared" si="3"/>
        <v>20.815561302109899</v>
      </c>
      <c r="T48" s="11">
        <f t="shared" si="4"/>
        <v>7.3637967763888543</v>
      </c>
    </row>
    <row r="49" spans="1:20" x14ac:dyDescent="0.3">
      <c r="A49" t="s">
        <v>99</v>
      </c>
      <c r="B49" s="3" t="s">
        <v>57</v>
      </c>
      <c r="C49" s="3">
        <v>130</v>
      </c>
      <c r="D49" s="3">
        <v>52</v>
      </c>
      <c r="E49" s="3">
        <v>46</v>
      </c>
      <c r="F49" s="3">
        <v>378</v>
      </c>
      <c r="G49" s="3">
        <v>1542</v>
      </c>
      <c r="H49" s="3">
        <f t="shared" si="1"/>
        <v>2148</v>
      </c>
      <c r="I49" s="3">
        <v>1002185</v>
      </c>
      <c r="J49" s="3">
        <v>2546139</v>
      </c>
      <c r="K49" s="3">
        <v>4218772</v>
      </c>
      <c r="L49" s="3">
        <v>14008227</v>
      </c>
      <c r="M49" s="3">
        <v>7095653</v>
      </c>
      <c r="N49" s="3">
        <f t="shared" si="2"/>
        <v>28870976</v>
      </c>
      <c r="O49" s="11">
        <f t="shared" si="3"/>
        <v>12.971656929608804</v>
      </c>
      <c r="P49" s="11">
        <f t="shared" si="3"/>
        <v>2.0423079808290123</v>
      </c>
      <c r="Q49" s="11">
        <f t="shared" si="3"/>
        <v>1.0903646843204611</v>
      </c>
      <c r="R49" s="11">
        <f t="shared" si="3"/>
        <v>2.6984142961132767</v>
      </c>
      <c r="S49" s="11">
        <f t="shared" si="3"/>
        <v>21.731615117030103</v>
      </c>
      <c r="T49" s="11">
        <f t="shared" si="4"/>
        <v>7.4399978719112232</v>
      </c>
    </row>
    <row r="50" spans="1:20" x14ac:dyDescent="0.3">
      <c r="A50" t="s">
        <v>99</v>
      </c>
      <c r="B50" s="3" t="s">
        <v>58</v>
      </c>
      <c r="C50" s="3">
        <v>120</v>
      </c>
      <c r="D50" s="3">
        <v>50</v>
      </c>
      <c r="E50" s="3">
        <v>50</v>
      </c>
      <c r="F50" s="3">
        <v>414</v>
      </c>
      <c r="G50" s="3">
        <v>1474</v>
      </c>
      <c r="H50" s="3">
        <f t="shared" si="1"/>
        <v>2108</v>
      </c>
      <c r="I50" s="3">
        <v>1002185</v>
      </c>
      <c r="J50" s="3">
        <v>2546139</v>
      </c>
      <c r="K50" s="3">
        <v>4218772</v>
      </c>
      <c r="L50" s="3">
        <v>14008227</v>
      </c>
      <c r="M50" s="3">
        <v>7095653</v>
      </c>
      <c r="N50" s="3">
        <f t="shared" si="2"/>
        <v>28870976</v>
      </c>
      <c r="O50" s="11">
        <f t="shared" si="3"/>
        <v>11.973837165792743</v>
      </c>
      <c r="P50" s="11">
        <f t="shared" si="3"/>
        <v>1.9637576738740501</v>
      </c>
      <c r="Q50" s="11">
        <f t="shared" si="3"/>
        <v>1.1851790046961532</v>
      </c>
      <c r="R50" s="11">
        <f t="shared" si="3"/>
        <v>2.955406133838351</v>
      </c>
      <c r="S50" s="11">
        <f t="shared" si="3"/>
        <v>20.773281895267424</v>
      </c>
      <c r="T50" s="11">
        <f t="shared" si="4"/>
        <v>7.3014504255069168</v>
      </c>
    </row>
    <row r="51" spans="1:20" x14ac:dyDescent="0.3">
      <c r="A51" t="s">
        <v>99</v>
      </c>
      <c r="B51" s="3" t="s">
        <v>59</v>
      </c>
      <c r="C51" s="3">
        <v>127</v>
      </c>
      <c r="D51" s="3">
        <v>63</v>
      </c>
      <c r="E51" s="3">
        <v>53</v>
      </c>
      <c r="F51" s="3">
        <v>389</v>
      </c>
      <c r="G51" s="3">
        <v>1534</v>
      </c>
      <c r="H51" s="3">
        <f t="shared" si="1"/>
        <v>2166</v>
      </c>
      <c r="I51" s="3">
        <v>1002185</v>
      </c>
      <c r="J51" s="3">
        <v>2546139</v>
      </c>
      <c r="K51" s="3">
        <v>4218772</v>
      </c>
      <c r="L51" s="3">
        <v>14008227</v>
      </c>
      <c r="M51" s="3">
        <v>7095653</v>
      </c>
      <c r="N51" s="3">
        <f t="shared" si="2"/>
        <v>28870976</v>
      </c>
      <c r="O51" s="11">
        <f t="shared" si="3"/>
        <v>12.672311000463987</v>
      </c>
      <c r="P51" s="11">
        <f t="shared" si="3"/>
        <v>2.4743346690813031</v>
      </c>
      <c r="Q51" s="11">
        <f t="shared" si="3"/>
        <v>1.2562897449779225</v>
      </c>
      <c r="R51" s="11">
        <f t="shared" si="3"/>
        <v>2.7769395798626051</v>
      </c>
      <c r="S51" s="11">
        <f t="shared" si="3"/>
        <v>21.618870032116845</v>
      </c>
      <c r="T51" s="11">
        <f t="shared" si="4"/>
        <v>7.5023442227931607</v>
      </c>
    </row>
    <row r="52" spans="1:20" x14ac:dyDescent="0.3">
      <c r="A52" t="s">
        <v>99</v>
      </c>
      <c r="B52" s="3" t="s">
        <v>60</v>
      </c>
      <c r="C52" s="3">
        <v>146</v>
      </c>
      <c r="D52" s="3">
        <v>54</v>
      </c>
      <c r="E52" s="3">
        <v>41</v>
      </c>
      <c r="F52" s="3">
        <v>400</v>
      </c>
      <c r="G52" s="3">
        <v>1484</v>
      </c>
      <c r="H52" s="3">
        <f t="shared" si="1"/>
        <v>2125</v>
      </c>
      <c r="I52" s="3">
        <v>1002185</v>
      </c>
      <c r="J52" s="3">
        <v>2546139</v>
      </c>
      <c r="K52" s="3">
        <v>4218772</v>
      </c>
      <c r="L52" s="3">
        <v>14008227</v>
      </c>
      <c r="M52" s="3">
        <v>7095653</v>
      </c>
      <c r="N52" s="3">
        <f t="shared" si="2"/>
        <v>28870976</v>
      </c>
      <c r="O52" s="11">
        <f t="shared" si="3"/>
        <v>14.568168551714505</v>
      </c>
      <c r="P52" s="11">
        <f t="shared" si="3"/>
        <v>2.1208582877839741</v>
      </c>
      <c r="Q52" s="11">
        <f t="shared" si="3"/>
        <v>0.97184678385084566</v>
      </c>
      <c r="R52" s="11">
        <f t="shared" si="3"/>
        <v>2.8554648636119331</v>
      </c>
      <c r="S52" s="11">
        <f t="shared" si="3"/>
        <v>20.914213251408999</v>
      </c>
      <c r="T52" s="11">
        <f t="shared" si="4"/>
        <v>7.3603330902287469</v>
      </c>
    </row>
    <row r="53" spans="1:20" x14ac:dyDescent="0.3">
      <c r="A53" t="s">
        <v>99</v>
      </c>
      <c r="B53" s="3" t="s">
        <v>61</v>
      </c>
      <c r="C53" s="3">
        <v>178</v>
      </c>
      <c r="D53" s="3">
        <v>69</v>
      </c>
      <c r="E53" s="3">
        <v>57</v>
      </c>
      <c r="F53" s="3">
        <v>417</v>
      </c>
      <c r="G53" s="3">
        <v>1457</v>
      </c>
      <c r="H53" s="3">
        <f t="shared" si="1"/>
        <v>2178</v>
      </c>
      <c r="I53" s="3">
        <v>1002185</v>
      </c>
      <c r="J53" s="3">
        <v>2546139</v>
      </c>
      <c r="K53" s="3">
        <v>4218772</v>
      </c>
      <c r="L53" s="3">
        <v>14008227</v>
      </c>
      <c r="M53" s="3">
        <v>7095653</v>
      </c>
      <c r="N53" s="3">
        <f t="shared" si="2"/>
        <v>28870976</v>
      </c>
      <c r="O53" s="11">
        <f t="shared" si="3"/>
        <v>17.761191795925903</v>
      </c>
      <c r="P53" s="11">
        <f t="shared" si="3"/>
        <v>2.7099855899461893</v>
      </c>
      <c r="Q53" s="11">
        <f t="shared" si="3"/>
        <v>1.3511040653536148</v>
      </c>
      <c r="R53" s="11">
        <f t="shared" si="3"/>
        <v>2.9768221203154401</v>
      </c>
      <c r="S53" s="11">
        <f t="shared" si="3"/>
        <v>20.533698589826756</v>
      </c>
      <c r="T53" s="11">
        <f t="shared" si="4"/>
        <v>7.543908456714453</v>
      </c>
    </row>
    <row r="54" spans="1:20" x14ac:dyDescent="0.3">
      <c r="A54" t="s">
        <v>99</v>
      </c>
      <c r="B54" s="3" t="s">
        <v>62</v>
      </c>
      <c r="C54" s="3">
        <v>177</v>
      </c>
      <c r="D54" s="3">
        <v>75</v>
      </c>
      <c r="E54" s="3">
        <v>45</v>
      </c>
      <c r="F54" s="3">
        <v>367</v>
      </c>
      <c r="G54" s="3">
        <v>1496</v>
      </c>
      <c r="H54" s="3">
        <f t="shared" si="1"/>
        <v>2160</v>
      </c>
      <c r="I54" s="3">
        <v>1002185</v>
      </c>
      <c r="J54" s="3">
        <v>2546139</v>
      </c>
      <c r="K54" s="3">
        <v>4218772</v>
      </c>
      <c r="L54" s="3">
        <v>14008227</v>
      </c>
      <c r="M54" s="3">
        <v>7095653</v>
      </c>
      <c r="N54" s="3">
        <f t="shared" si="2"/>
        <v>28870976</v>
      </c>
      <c r="O54" s="11">
        <f t="shared" si="3"/>
        <v>17.661409819544296</v>
      </c>
      <c r="P54" s="11">
        <f t="shared" si="3"/>
        <v>2.9456365108110751</v>
      </c>
      <c r="Q54" s="11">
        <f t="shared" si="3"/>
        <v>1.0666611042265379</v>
      </c>
      <c r="R54" s="11">
        <f t="shared" si="3"/>
        <v>2.6198890123639487</v>
      </c>
      <c r="S54" s="11">
        <f t="shared" si="3"/>
        <v>21.083330878778881</v>
      </c>
      <c r="T54" s="11">
        <f t="shared" si="4"/>
        <v>7.4815621058325155</v>
      </c>
    </row>
    <row r="55" spans="1:20" x14ac:dyDescent="0.3">
      <c r="A55" t="s">
        <v>99</v>
      </c>
      <c r="B55" s="3" t="s">
        <v>63</v>
      </c>
      <c r="C55" s="3">
        <v>161</v>
      </c>
      <c r="D55" s="3">
        <v>56</v>
      </c>
      <c r="E55" s="3">
        <v>44</v>
      </c>
      <c r="F55" s="3">
        <v>387</v>
      </c>
      <c r="G55" s="3">
        <v>1622</v>
      </c>
      <c r="H55" s="3">
        <f t="shared" si="1"/>
        <v>2270</v>
      </c>
      <c r="I55" s="3">
        <v>1002185</v>
      </c>
      <c r="J55" s="3">
        <v>2546139</v>
      </c>
      <c r="K55" s="3">
        <v>4218772</v>
      </c>
      <c r="L55" s="3">
        <v>14008227</v>
      </c>
      <c r="M55" s="3">
        <v>7095653</v>
      </c>
      <c r="N55" s="3">
        <f t="shared" si="2"/>
        <v>28870976</v>
      </c>
      <c r="O55" s="11">
        <f t="shared" si="3"/>
        <v>16.064898197438598</v>
      </c>
      <c r="P55" s="11">
        <f t="shared" si="3"/>
        <v>2.1994085947389364</v>
      </c>
      <c r="Q55" s="11">
        <f t="shared" si="3"/>
        <v>1.0429575241326148</v>
      </c>
      <c r="R55" s="11">
        <f t="shared" si="3"/>
        <v>2.7626622555445453</v>
      </c>
      <c r="S55" s="11">
        <f t="shared" si="3"/>
        <v>22.859065966162664</v>
      </c>
      <c r="T55" s="11">
        <f t="shared" si="4"/>
        <v>7.8625675834443554</v>
      </c>
    </row>
    <row r="56" spans="1:20" x14ac:dyDescent="0.3">
      <c r="A56" t="s">
        <v>99</v>
      </c>
      <c r="B56" s="3" t="s">
        <v>64</v>
      </c>
      <c r="C56" s="3">
        <v>184</v>
      </c>
      <c r="D56" s="3">
        <v>77</v>
      </c>
      <c r="E56" s="3">
        <v>42</v>
      </c>
      <c r="F56" s="3">
        <v>420</v>
      </c>
      <c r="G56" s="3">
        <v>1753</v>
      </c>
      <c r="H56" s="3">
        <f t="shared" si="1"/>
        <v>2476</v>
      </c>
      <c r="I56" s="3">
        <v>1002185</v>
      </c>
      <c r="J56" s="3">
        <v>2546139</v>
      </c>
      <c r="K56" s="3">
        <v>4218772</v>
      </c>
      <c r="L56" s="3">
        <v>14008227</v>
      </c>
      <c r="M56" s="3">
        <v>7095653</v>
      </c>
      <c r="N56" s="3">
        <f t="shared" si="2"/>
        <v>28870976</v>
      </c>
      <c r="O56" s="11">
        <f t="shared" si="3"/>
        <v>18.359883654215537</v>
      </c>
      <c r="P56" s="11">
        <f t="shared" si="3"/>
        <v>3.0241868177660374</v>
      </c>
      <c r="Q56" s="11">
        <f t="shared" si="3"/>
        <v>0.9955503639447687</v>
      </c>
      <c r="R56" s="11">
        <f t="shared" si="3"/>
        <v>2.9982381067925297</v>
      </c>
      <c r="S56" s="11">
        <f t="shared" si="3"/>
        <v>24.705266731617233</v>
      </c>
      <c r="T56" s="11">
        <f t="shared" si="4"/>
        <v>8.5760869324265308</v>
      </c>
    </row>
    <row r="57" spans="1:20" x14ac:dyDescent="0.3">
      <c r="A57" t="s">
        <v>99</v>
      </c>
      <c r="B57" s="3" t="s">
        <v>65</v>
      </c>
      <c r="C57" s="3">
        <v>208</v>
      </c>
      <c r="D57" s="3">
        <v>63</v>
      </c>
      <c r="E57" s="3">
        <v>58</v>
      </c>
      <c r="F57" s="3">
        <v>403</v>
      </c>
      <c r="G57" s="3">
        <v>1777</v>
      </c>
      <c r="H57" s="3">
        <f t="shared" si="1"/>
        <v>2509</v>
      </c>
      <c r="I57" s="3">
        <v>1002185</v>
      </c>
      <c r="J57" s="3">
        <v>2546139</v>
      </c>
      <c r="K57" s="3">
        <v>4218772</v>
      </c>
      <c r="L57" s="3">
        <v>14008227</v>
      </c>
      <c r="M57" s="3">
        <v>7095653</v>
      </c>
      <c r="N57" s="3">
        <f t="shared" si="2"/>
        <v>28870976</v>
      </c>
      <c r="O57" s="11">
        <f t="shared" si="3"/>
        <v>20.754651087374089</v>
      </c>
      <c r="P57" s="11">
        <f t="shared" si="3"/>
        <v>2.4743346690813031</v>
      </c>
      <c r="Q57" s="11">
        <f t="shared" si="3"/>
        <v>1.3748076454475378</v>
      </c>
      <c r="R57" s="11">
        <f t="shared" si="3"/>
        <v>2.8768808500890226</v>
      </c>
      <c r="S57" s="11">
        <f t="shared" si="3"/>
        <v>25.043501986357001</v>
      </c>
      <c r="T57" s="11">
        <f t="shared" si="4"/>
        <v>8.6903885757100827</v>
      </c>
    </row>
    <row r="58" spans="1:20" x14ac:dyDescent="0.3">
      <c r="A58" t="s">
        <v>99</v>
      </c>
      <c r="B58" s="3" t="s">
        <v>66</v>
      </c>
      <c r="C58" s="3">
        <v>200</v>
      </c>
      <c r="D58" s="3">
        <v>67</v>
      </c>
      <c r="E58" s="3">
        <v>43</v>
      </c>
      <c r="F58" s="3">
        <v>358</v>
      </c>
      <c r="G58" s="3">
        <v>1578</v>
      </c>
      <c r="H58" s="3">
        <f t="shared" si="1"/>
        <v>2246</v>
      </c>
      <c r="I58" s="3">
        <v>1002185</v>
      </c>
      <c r="J58" s="3">
        <v>2546139</v>
      </c>
      <c r="K58" s="3">
        <v>4218772</v>
      </c>
      <c r="L58" s="3">
        <v>14008227</v>
      </c>
      <c r="M58" s="3">
        <v>7095653</v>
      </c>
      <c r="N58" s="3">
        <f t="shared" si="2"/>
        <v>28870976</v>
      </c>
      <c r="O58" s="11">
        <f t="shared" si="3"/>
        <v>19.956395276321238</v>
      </c>
      <c r="P58" s="11">
        <f t="shared" si="3"/>
        <v>2.6314352829912271</v>
      </c>
      <c r="Q58" s="11">
        <f t="shared" si="3"/>
        <v>1.0192539440386919</v>
      </c>
      <c r="R58" s="11">
        <f t="shared" si="3"/>
        <v>2.5556410529326801</v>
      </c>
      <c r="S58" s="11">
        <f t="shared" si="3"/>
        <v>22.238967999139756</v>
      </c>
      <c r="T58" s="11">
        <f t="shared" si="4"/>
        <v>7.7794391156017726</v>
      </c>
    </row>
    <row r="59" spans="1:20" x14ac:dyDescent="0.3">
      <c r="A59" t="s">
        <v>99</v>
      </c>
      <c r="B59" s="3" t="s">
        <v>67</v>
      </c>
      <c r="C59" s="3">
        <v>208</v>
      </c>
      <c r="D59" s="3">
        <v>72</v>
      </c>
      <c r="E59" s="3">
        <v>49</v>
      </c>
      <c r="F59" s="3">
        <v>418</v>
      </c>
      <c r="G59" s="3">
        <v>1528</v>
      </c>
      <c r="H59" s="3">
        <f t="shared" si="1"/>
        <v>2275</v>
      </c>
      <c r="I59" s="3">
        <v>1002185</v>
      </c>
      <c r="J59" s="3">
        <v>2546139</v>
      </c>
      <c r="K59" s="3">
        <v>4218772</v>
      </c>
      <c r="L59" s="3">
        <v>14008227</v>
      </c>
      <c r="M59" s="3">
        <v>7095653</v>
      </c>
      <c r="N59" s="3">
        <f t="shared" si="2"/>
        <v>28870976</v>
      </c>
      <c r="O59" s="11">
        <f t="shared" si="3"/>
        <v>20.754651087374089</v>
      </c>
      <c r="P59" s="11">
        <f t="shared" si="3"/>
        <v>2.827811050378632</v>
      </c>
      <c r="Q59" s="11">
        <f t="shared" si="3"/>
        <v>1.1614754246022303</v>
      </c>
      <c r="R59" s="11">
        <f t="shared" si="3"/>
        <v>2.9839607824744703</v>
      </c>
      <c r="S59" s="11">
        <f t="shared" si="3"/>
        <v>21.534311218431906</v>
      </c>
      <c r="T59" s="11">
        <f t="shared" si="4"/>
        <v>7.8798860142448941</v>
      </c>
    </row>
    <row r="60" spans="1:20" x14ac:dyDescent="0.3">
      <c r="A60" t="s">
        <v>99</v>
      </c>
      <c r="B60" s="3" t="s">
        <v>68</v>
      </c>
      <c r="C60" s="3">
        <v>219</v>
      </c>
      <c r="D60" s="3">
        <v>75</v>
      </c>
      <c r="E60" s="3">
        <v>57</v>
      </c>
      <c r="F60" s="3">
        <v>401</v>
      </c>
      <c r="G60" s="3">
        <v>1660</v>
      </c>
      <c r="H60" s="3">
        <f t="shared" si="1"/>
        <v>2412</v>
      </c>
      <c r="I60" s="3">
        <v>1002185</v>
      </c>
      <c r="J60" s="3">
        <v>2546139</v>
      </c>
      <c r="K60" s="3">
        <v>4218772</v>
      </c>
      <c r="L60" s="3">
        <v>14008227</v>
      </c>
      <c r="M60" s="3">
        <v>7095653</v>
      </c>
      <c r="N60" s="3">
        <f t="shared" si="2"/>
        <v>28870976</v>
      </c>
      <c r="O60" s="11">
        <f t="shared" si="3"/>
        <v>21.852252827571757</v>
      </c>
      <c r="P60" s="11">
        <f t="shared" si="3"/>
        <v>2.9456365108110751</v>
      </c>
      <c r="Q60" s="11">
        <f t="shared" si="3"/>
        <v>1.3511040653536148</v>
      </c>
      <c r="R60" s="11">
        <f t="shared" si="3"/>
        <v>2.8626035257709632</v>
      </c>
      <c r="S60" s="11">
        <f t="shared" si="3"/>
        <v>23.394605119500628</v>
      </c>
      <c r="T60" s="11">
        <f t="shared" si="4"/>
        <v>8.3544110181796416</v>
      </c>
    </row>
    <row r="61" spans="1:20" x14ac:dyDescent="0.3">
      <c r="A61" t="s">
        <v>99</v>
      </c>
      <c r="B61" s="3" t="s">
        <v>69</v>
      </c>
      <c r="C61" s="3">
        <v>241</v>
      </c>
      <c r="D61" s="3">
        <v>79</v>
      </c>
      <c r="E61" s="3">
        <v>40</v>
      </c>
      <c r="F61" s="3">
        <v>388</v>
      </c>
      <c r="G61" s="3">
        <v>1586</v>
      </c>
      <c r="H61" s="3">
        <f t="shared" si="1"/>
        <v>2334</v>
      </c>
      <c r="I61" s="3">
        <v>1002185</v>
      </c>
      <c r="J61" s="3">
        <v>2546139</v>
      </c>
      <c r="K61" s="3">
        <v>4218772</v>
      </c>
      <c r="L61" s="3">
        <v>14008227</v>
      </c>
      <c r="M61" s="3">
        <v>7095653</v>
      </c>
      <c r="N61" s="3">
        <f t="shared" si="2"/>
        <v>28870976</v>
      </c>
      <c r="O61" s="11">
        <f t="shared" si="3"/>
        <v>24.047456307967092</v>
      </c>
      <c r="P61" s="11">
        <f t="shared" si="3"/>
        <v>3.1027371247209987</v>
      </c>
      <c r="Q61" s="11">
        <f t="shared" si="3"/>
        <v>0.94814320375692263</v>
      </c>
      <c r="R61" s="11">
        <f t="shared" si="3"/>
        <v>2.7698009177035754</v>
      </c>
      <c r="S61" s="11">
        <f t="shared" si="3"/>
        <v>22.351713084053014</v>
      </c>
      <c r="T61" s="11">
        <f t="shared" si="4"/>
        <v>8.0842434976912454</v>
      </c>
    </row>
    <row r="62" spans="1:20" x14ac:dyDescent="0.3">
      <c r="A62" t="s">
        <v>99</v>
      </c>
      <c r="B62" s="3" t="s">
        <v>70</v>
      </c>
      <c r="C62" s="3">
        <v>244</v>
      </c>
      <c r="D62" s="3">
        <v>78</v>
      </c>
      <c r="E62" s="3">
        <v>48</v>
      </c>
      <c r="F62" s="3">
        <v>419</v>
      </c>
      <c r="G62" s="3">
        <v>1699</v>
      </c>
      <c r="H62" s="3">
        <f t="shared" si="1"/>
        <v>2488</v>
      </c>
      <c r="I62" s="3">
        <v>1002185</v>
      </c>
      <c r="J62" s="3">
        <v>2546139</v>
      </c>
      <c r="K62" s="3">
        <v>4218772</v>
      </c>
      <c r="L62" s="3">
        <v>14008227</v>
      </c>
      <c r="M62" s="3">
        <v>7095653</v>
      </c>
      <c r="N62" s="3">
        <f t="shared" si="2"/>
        <v>28870976</v>
      </c>
      <c r="O62" s="11">
        <f t="shared" si="3"/>
        <v>24.346802237111913</v>
      </c>
      <c r="P62" s="11">
        <f t="shared" si="3"/>
        <v>3.0634619712435183</v>
      </c>
      <c r="Q62" s="11">
        <f t="shared" si="3"/>
        <v>1.1377718445083072</v>
      </c>
      <c r="R62" s="11">
        <f t="shared" si="3"/>
        <v>2.9910994446335</v>
      </c>
      <c r="S62" s="11">
        <f t="shared" si="3"/>
        <v>23.94423740845275</v>
      </c>
      <c r="T62" s="11">
        <f t="shared" si="4"/>
        <v>8.617651166347823</v>
      </c>
    </row>
    <row r="63" spans="1:20" x14ac:dyDescent="0.3">
      <c r="A63" t="s">
        <v>99</v>
      </c>
      <c r="B63" s="3" t="s">
        <v>71</v>
      </c>
      <c r="C63" s="3">
        <v>270</v>
      </c>
      <c r="D63" s="3">
        <v>114</v>
      </c>
      <c r="E63" s="3">
        <v>60</v>
      </c>
      <c r="F63" s="3">
        <v>496</v>
      </c>
      <c r="G63" s="3">
        <v>1914</v>
      </c>
      <c r="H63" s="3">
        <f t="shared" si="1"/>
        <v>2854</v>
      </c>
      <c r="I63" s="3">
        <v>1002185</v>
      </c>
      <c r="J63" s="3">
        <v>2546139</v>
      </c>
      <c r="K63" s="3">
        <v>4218772</v>
      </c>
      <c r="L63" s="3">
        <v>14008227</v>
      </c>
      <c r="M63" s="3">
        <v>7095653</v>
      </c>
      <c r="N63" s="3">
        <f t="shared" si="2"/>
        <v>28870976</v>
      </c>
      <c r="O63" s="11">
        <f t="shared" si="3"/>
        <v>26.941133623033672</v>
      </c>
      <c r="P63" s="11">
        <f t="shared" si="3"/>
        <v>4.4773674964328336</v>
      </c>
      <c r="Q63" s="11">
        <f t="shared" si="3"/>
        <v>1.4222148056353838</v>
      </c>
      <c r="R63" s="11">
        <f t="shared" si="3"/>
        <v>3.5407764308787972</v>
      </c>
      <c r="S63" s="11">
        <f t="shared" si="3"/>
        <v>26.974261565496512</v>
      </c>
      <c r="T63" s="11">
        <f t="shared" si="4"/>
        <v>9.8853603009472213</v>
      </c>
    </row>
    <row r="64" spans="1:20" x14ac:dyDescent="0.3">
      <c r="A64" t="s">
        <v>99</v>
      </c>
      <c r="B64" s="3" t="s">
        <v>72</v>
      </c>
      <c r="C64" s="3">
        <v>373</v>
      </c>
      <c r="D64" s="3">
        <v>107</v>
      </c>
      <c r="E64" s="3">
        <v>48</v>
      </c>
      <c r="F64" s="3">
        <v>492</v>
      </c>
      <c r="G64" s="3">
        <v>1921</v>
      </c>
      <c r="H64" s="3">
        <f t="shared" si="1"/>
        <v>2941</v>
      </c>
      <c r="I64" s="3">
        <v>1002185</v>
      </c>
      <c r="J64" s="3">
        <v>2546139</v>
      </c>
      <c r="K64" s="3">
        <v>4218772</v>
      </c>
      <c r="L64" s="3">
        <v>14008227</v>
      </c>
      <c r="M64" s="3">
        <v>7095653</v>
      </c>
      <c r="N64" s="3">
        <f t="shared" si="2"/>
        <v>28870976</v>
      </c>
      <c r="O64" s="11">
        <f t="shared" si="3"/>
        <v>37.218677190339108</v>
      </c>
      <c r="P64" s="11">
        <f t="shared" si="3"/>
        <v>4.2024414220904669</v>
      </c>
      <c r="Q64" s="11">
        <f t="shared" si="3"/>
        <v>1.1377718445083072</v>
      </c>
      <c r="R64" s="11">
        <f t="shared" si="3"/>
        <v>3.5122217822426776</v>
      </c>
      <c r="S64" s="11">
        <f t="shared" si="3"/>
        <v>27.072913514795609</v>
      </c>
      <c r="T64" s="11">
        <f t="shared" si="4"/>
        <v>10.186700996876587</v>
      </c>
    </row>
    <row r="65" spans="1:20" x14ac:dyDescent="0.3">
      <c r="A65" t="s">
        <v>99</v>
      </c>
      <c r="B65" s="3" t="s">
        <v>73</v>
      </c>
      <c r="C65" s="3">
        <v>324</v>
      </c>
      <c r="D65" s="3">
        <v>134</v>
      </c>
      <c r="E65" s="3">
        <v>47</v>
      </c>
      <c r="F65" s="3">
        <v>509</v>
      </c>
      <c r="G65" s="3">
        <v>2270</v>
      </c>
      <c r="H65" s="3">
        <f t="shared" si="1"/>
        <v>3284</v>
      </c>
      <c r="I65" s="3">
        <v>1002185</v>
      </c>
      <c r="J65" s="3">
        <v>2546139</v>
      </c>
      <c r="K65" s="3">
        <v>4218772</v>
      </c>
      <c r="L65" s="3">
        <v>14008227</v>
      </c>
      <c r="M65" s="3">
        <v>7095653</v>
      </c>
      <c r="N65" s="3">
        <f t="shared" si="2"/>
        <v>28870976</v>
      </c>
      <c r="O65" s="11">
        <f t="shared" si="3"/>
        <v>32.329360347640403</v>
      </c>
      <c r="P65" s="11">
        <f t="shared" si="3"/>
        <v>5.2628705659824542</v>
      </c>
      <c r="Q65" s="11">
        <f t="shared" si="3"/>
        <v>1.114068264414384</v>
      </c>
      <c r="R65" s="11">
        <f t="shared" si="3"/>
        <v>3.6335790389461851</v>
      </c>
      <c r="S65" s="11">
        <f t="shared" si="3"/>
        <v>31.991417844136404</v>
      </c>
      <c r="T65" s="11">
        <f t="shared" si="4"/>
        <v>11.374745349793509</v>
      </c>
    </row>
    <row r="66" spans="1:20" x14ac:dyDescent="0.3">
      <c r="A66" t="s">
        <v>99</v>
      </c>
      <c r="B66" s="3" t="s">
        <v>74</v>
      </c>
      <c r="C66" s="3">
        <v>393</v>
      </c>
      <c r="D66" s="3">
        <v>145</v>
      </c>
      <c r="E66" s="3">
        <v>71</v>
      </c>
      <c r="F66" s="3">
        <v>507</v>
      </c>
      <c r="G66" s="3">
        <v>2425</v>
      </c>
      <c r="H66" s="3">
        <f t="shared" si="1"/>
        <v>3541</v>
      </c>
      <c r="I66" s="3">
        <v>1002185</v>
      </c>
      <c r="J66" s="3">
        <v>2546139</v>
      </c>
      <c r="K66" s="3">
        <v>4218772</v>
      </c>
      <c r="L66" s="3">
        <v>14008227</v>
      </c>
      <c r="M66" s="3">
        <v>7095653</v>
      </c>
      <c r="N66" s="3">
        <f t="shared" si="2"/>
        <v>28870976</v>
      </c>
      <c r="O66" s="11">
        <f t="shared" si="3"/>
        <v>39.214316717971229</v>
      </c>
      <c r="P66" s="11">
        <f t="shared" si="3"/>
        <v>5.6948972542347454</v>
      </c>
      <c r="Q66" s="11">
        <f t="shared" si="3"/>
        <v>1.6829541866685376</v>
      </c>
      <c r="R66" s="11">
        <f t="shared" si="3"/>
        <v>3.6193017146281252</v>
      </c>
      <c r="S66" s="11">
        <f t="shared" si="3"/>
        <v>34.17585386433074</v>
      </c>
      <c r="T66" s="11">
        <f t="shared" si="4"/>
        <v>12.264912692941174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01C1B-33EE-4251-B4F2-44F75678BD2F}">
  <dimension ref="A1:G67"/>
  <sheetViews>
    <sheetView workbookViewId="0">
      <selection activeCell="J28" sqref="J28"/>
    </sheetView>
  </sheetViews>
  <sheetFormatPr defaultRowHeight="14.4" x14ac:dyDescent="0.3"/>
  <cols>
    <col min="1" max="1" width="11" customWidth="1"/>
    <col min="2" max="2" width="16.6640625" customWidth="1"/>
    <col min="3" max="3" width="19.33203125" customWidth="1"/>
    <col min="4" max="4" width="15.33203125" customWidth="1"/>
    <col min="5" max="5" width="20.44140625" customWidth="1"/>
    <col min="6" max="6" width="21.44140625" customWidth="1"/>
    <col min="7" max="7" width="30.21875" customWidth="1"/>
  </cols>
  <sheetData>
    <row r="1" spans="1:7" ht="39" customHeight="1" x14ac:dyDescent="0.3">
      <c r="A1" s="6" t="s">
        <v>0</v>
      </c>
      <c r="B1" s="15" t="s">
        <v>76</v>
      </c>
      <c r="C1" s="15"/>
      <c r="D1" s="15"/>
      <c r="E1" s="15"/>
      <c r="F1" s="15"/>
      <c r="G1" s="15"/>
    </row>
    <row r="2" spans="1:7" x14ac:dyDescent="0.3">
      <c r="A2" s="6"/>
      <c r="B2" s="1" t="s">
        <v>85</v>
      </c>
      <c r="C2" s="1" t="s">
        <v>95</v>
      </c>
      <c r="D2" s="1" t="s">
        <v>86</v>
      </c>
      <c r="E2" s="1" t="s">
        <v>87</v>
      </c>
      <c r="F2" s="1" t="s">
        <v>88</v>
      </c>
      <c r="G2" s="1" t="s">
        <v>89</v>
      </c>
    </row>
    <row r="3" spans="1:7" x14ac:dyDescent="0.3">
      <c r="A3" s="3" t="s">
        <v>6</v>
      </c>
      <c r="B3" s="3"/>
      <c r="C3" s="3"/>
      <c r="D3" s="3"/>
      <c r="E3" s="3"/>
      <c r="F3" s="3"/>
      <c r="G3" s="3"/>
    </row>
    <row r="4" spans="1:7" x14ac:dyDescent="0.3">
      <c r="A4" s="3" t="s">
        <v>7</v>
      </c>
      <c r="B4" s="3"/>
      <c r="C4" s="3"/>
      <c r="D4" s="3"/>
      <c r="E4" s="3"/>
      <c r="F4" s="3"/>
      <c r="G4" s="3"/>
    </row>
    <row r="5" spans="1:7" x14ac:dyDescent="0.3">
      <c r="A5" s="3" t="s">
        <v>8</v>
      </c>
      <c r="B5" s="3">
        <v>1002185</v>
      </c>
      <c r="C5" s="3">
        <v>2546139</v>
      </c>
      <c r="D5" s="3">
        <v>4218772</v>
      </c>
      <c r="E5" s="3">
        <v>14008227</v>
      </c>
      <c r="F5" s="3">
        <v>7095653</v>
      </c>
      <c r="G5" s="3">
        <f>SUM(B5:F5)</f>
        <v>28870976</v>
      </c>
    </row>
    <row r="6" spans="1:7" x14ac:dyDescent="0.3">
      <c r="A6" s="3" t="s">
        <v>9</v>
      </c>
      <c r="B6" s="3">
        <v>1002185</v>
      </c>
      <c r="C6" s="3">
        <v>2546139</v>
      </c>
      <c r="D6" s="3">
        <v>4218772</v>
      </c>
      <c r="E6" s="3">
        <v>14008227</v>
      </c>
      <c r="F6" s="3">
        <v>7095653</v>
      </c>
      <c r="G6" s="3">
        <f t="shared" ref="G6:G67" si="0">SUM(B6:F6)</f>
        <v>28870976</v>
      </c>
    </row>
    <row r="7" spans="1:7" x14ac:dyDescent="0.3">
      <c r="A7" s="3" t="s">
        <v>10</v>
      </c>
      <c r="B7" s="3">
        <v>1002185</v>
      </c>
      <c r="C7" s="3">
        <v>2546139</v>
      </c>
      <c r="D7" s="3">
        <v>4218772</v>
      </c>
      <c r="E7" s="3">
        <v>14008227</v>
      </c>
      <c r="F7" s="3">
        <v>7095653</v>
      </c>
      <c r="G7" s="3">
        <f t="shared" si="0"/>
        <v>28870976</v>
      </c>
    </row>
    <row r="8" spans="1:7" x14ac:dyDescent="0.3">
      <c r="A8" s="3" t="s">
        <v>11</v>
      </c>
      <c r="B8" s="3">
        <v>1002185</v>
      </c>
      <c r="C8" s="3">
        <v>2546139</v>
      </c>
      <c r="D8" s="3">
        <v>4218772</v>
      </c>
      <c r="E8" s="3">
        <v>14008227</v>
      </c>
      <c r="F8" s="3">
        <v>7095653</v>
      </c>
      <c r="G8" s="3">
        <f t="shared" si="0"/>
        <v>28870976</v>
      </c>
    </row>
    <row r="9" spans="1:7" x14ac:dyDescent="0.3">
      <c r="A9" s="3" t="s">
        <v>12</v>
      </c>
      <c r="B9" s="3">
        <v>1002185</v>
      </c>
      <c r="C9" s="3">
        <v>2546139</v>
      </c>
      <c r="D9" s="3">
        <v>4218772</v>
      </c>
      <c r="E9" s="3">
        <v>14008227</v>
      </c>
      <c r="F9" s="3">
        <v>7095653</v>
      </c>
      <c r="G9" s="3">
        <f t="shared" si="0"/>
        <v>28870976</v>
      </c>
    </row>
    <row r="10" spans="1:7" x14ac:dyDescent="0.3">
      <c r="A10" s="3" t="s">
        <v>13</v>
      </c>
      <c r="B10" s="3">
        <v>1002185</v>
      </c>
      <c r="C10" s="3">
        <v>2546139</v>
      </c>
      <c r="D10" s="3">
        <v>4218772</v>
      </c>
      <c r="E10" s="3">
        <v>14008227</v>
      </c>
      <c r="F10" s="3">
        <v>7095653</v>
      </c>
      <c r="G10" s="3">
        <f t="shared" si="0"/>
        <v>28870976</v>
      </c>
    </row>
    <row r="11" spans="1:7" x14ac:dyDescent="0.3">
      <c r="A11" s="3" t="s">
        <v>14</v>
      </c>
      <c r="B11" s="3">
        <v>1002185</v>
      </c>
      <c r="C11" s="3">
        <v>2546139</v>
      </c>
      <c r="D11" s="3">
        <v>4218772</v>
      </c>
      <c r="E11" s="3">
        <v>14008227</v>
      </c>
      <c r="F11" s="3">
        <v>7095653</v>
      </c>
      <c r="G11" s="3">
        <f t="shared" si="0"/>
        <v>28870976</v>
      </c>
    </row>
    <row r="12" spans="1:7" x14ac:dyDescent="0.3">
      <c r="A12" s="3" t="s">
        <v>15</v>
      </c>
      <c r="B12" s="3">
        <v>1002185</v>
      </c>
      <c r="C12" s="3">
        <v>2546139</v>
      </c>
      <c r="D12" s="3">
        <v>4218772</v>
      </c>
      <c r="E12" s="3">
        <v>14008227</v>
      </c>
      <c r="F12" s="3">
        <v>7095653</v>
      </c>
      <c r="G12" s="3">
        <f t="shared" si="0"/>
        <v>28870976</v>
      </c>
    </row>
    <row r="13" spans="1:7" x14ac:dyDescent="0.3">
      <c r="A13" s="3" t="s">
        <v>16</v>
      </c>
      <c r="B13" s="3">
        <v>1002185</v>
      </c>
      <c r="C13" s="3">
        <v>2546139</v>
      </c>
      <c r="D13" s="3">
        <v>4218772</v>
      </c>
      <c r="E13" s="3">
        <v>14008227</v>
      </c>
      <c r="F13" s="3">
        <v>7095653</v>
      </c>
      <c r="G13" s="3">
        <f t="shared" si="0"/>
        <v>28870976</v>
      </c>
    </row>
    <row r="14" spans="1:7" x14ac:dyDescent="0.3">
      <c r="A14" s="3" t="s">
        <v>17</v>
      </c>
      <c r="B14" s="3">
        <v>1002185</v>
      </c>
      <c r="C14" s="3">
        <v>2546139</v>
      </c>
      <c r="D14" s="3">
        <v>4218772</v>
      </c>
      <c r="E14" s="3">
        <v>14008227</v>
      </c>
      <c r="F14" s="3">
        <v>7095653</v>
      </c>
      <c r="G14" s="3">
        <f t="shared" si="0"/>
        <v>28870976</v>
      </c>
    </row>
    <row r="15" spans="1:7" x14ac:dyDescent="0.3">
      <c r="A15" s="3" t="s">
        <v>18</v>
      </c>
      <c r="B15" s="3">
        <v>1002185</v>
      </c>
      <c r="C15" s="3">
        <v>2546139</v>
      </c>
      <c r="D15" s="3">
        <v>4218772</v>
      </c>
      <c r="E15" s="3">
        <v>14008227</v>
      </c>
      <c r="F15" s="3">
        <v>7095653</v>
      </c>
      <c r="G15" s="3">
        <f t="shared" si="0"/>
        <v>28870976</v>
      </c>
    </row>
    <row r="16" spans="1:7" x14ac:dyDescent="0.3">
      <c r="A16" s="3" t="s">
        <v>23</v>
      </c>
      <c r="B16" s="3">
        <v>1002185</v>
      </c>
      <c r="C16" s="3">
        <v>2546139</v>
      </c>
      <c r="D16" s="3">
        <v>4218772</v>
      </c>
      <c r="E16" s="3">
        <v>14008227</v>
      </c>
      <c r="F16" s="3">
        <v>7095653</v>
      </c>
      <c r="G16" s="3">
        <f t="shared" si="0"/>
        <v>28870976</v>
      </c>
    </row>
    <row r="17" spans="1:7" x14ac:dyDescent="0.3">
      <c r="A17" s="3" t="s">
        <v>24</v>
      </c>
      <c r="B17" s="3">
        <v>1002185</v>
      </c>
      <c r="C17" s="3">
        <v>2546139</v>
      </c>
      <c r="D17" s="3">
        <v>4218772</v>
      </c>
      <c r="E17" s="3">
        <v>14008227</v>
      </c>
      <c r="F17" s="3">
        <v>7095653</v>
      </c>
      <c r="G17" s="3">
        <f t="shared" si="0"/>
        <v>28870976</v>
      </c>
    </row>
    <row r="18" spans="1:7" x14ac:dyDescent="0.3">
      <c r="A18" s="3" t="s">
        <v>25</v>
      </c>
      <c r="B18" s="3">
        <v>1002185</v>
      </c>
      <c r="C18" s="3">
        <v>2546139</v>
      </c>
      <c r="D18" s="3">
        <v>4218772</v>
      </c>
      <c r="E18" s="3">
        <v>14008227</v>
      </c>
      <c r="F18" s="3">
        <v>7095653</v>
      </c>
      <c r="G18" s="3">
        <f t="shared" si="0"/>
        <v>28870976</v>
      </c>
    </row>
    <row r="19" spans="1:7" x14ac:dyDescent="0.3">
      <c r="A19" s="3" t="s">
        <v>26</v>
      </c>
      <c r="B19" s="3">
        <v>1002185</v>
      </c>
      <c r="C19" s="3">
        <v>2546139</v>
      </c>
      <c r="D19" s="3">
        <v>4218772</v>
      </c>
      <c r="E19" s="3">
        <v>14008227</v>
      </c>
      <c r="F19" s="3">
        <v>7095653</v>
      </c>
      <c r="G19" s="3">
        <f t="shared" si="0"/>
        <v>28870976</v>
      </c>
    </row>
    <row r="20" spans="1:7" x14ac:dyDescent="0.3">
      <c r="A20" s="3" t="s">
        <v>27</v>
      </c>
      <c r="B20" s="3">
        <v>1002185</v>
      </c>
      <c r="C20" s="3">
        <v>2546139</v>
      </c>
      <c r="D20" s="3">
        <v>4218772</v>
      </c>
      <c r="E20" s="3">
        <v>14008227</v>
      </c>
      <c r="F20" s="3">
        <v>7095653</v>
      </c>
      <c r="G20" s="3">
        <f t="shared" si="0"/>
        <v>28870976</v>
      </c>
    </row>
    <row r="21" spans="1:7" x14ac:dyDescent="0.3">
      <c r="A21" s="3" t="s">
        <v>28</v>
      </c>
      <c r="B21" s="3">
        <v>1002185</v>
      </c>
      <c r="C21" s="3">
        <v>2546139</v>
      </c>
      <c r="D21" s="3">
        <v>4218772</v>
      </c>
      <c r="E21" s="3">
        <v>14008227</v>
      </c>
      <c r="F21" s="3">
        <v>7095653</v>
      </c>
      <c r="G21" s="3">
        <f t="shared" si="0"/>
        <v>28870976</v>
      </c>
    </row>
    <row r="22" spans="1:7" x14ac:dyDescent="0.3">
      <c r="A22" s="3" t="s">
        <v>29</v>
      </c>
      <c r="B22" s="3">
        <v>1002185</v>
      </c>
      <c r="C22" s="3">
        <v>2546139</v>
      </c>
      <c r="D22" s="3">
        <v>4218772</v>
      </c>
      <c r="E22" s="3">
        <v>14008227</v>
      </c>
      <c r="F22" s="3">
        <v>7095653</v>
      </c>
      <c r="G22" s="3">
        <f t="shared" si="0"/>
        <v>28870976</v>
      </c>
    </row>
    <row r="23" spans="1:7" x14ac:dyDescent="0.3">
      <c r="A23" s="3" t="s">
        <v>30</v>
      </c>
      <c r="B23" s="3">
        <v>1002185</v>
      </c>
      <c r="C23" s="3">
        <v>2546139</v>
      </c>
      <c r="D23" s="3">
        <v>4218772</v>
      </c>
      <c r="E23" s="3">
        <v>14008227</v>
      </c>
      <c r="F23" s="3">
        <v>7095653</v>
      </c>
      <c r="G23" s="3">
        <f t="shared" si="0"/>
        <v>28870976</v>
      </c>
    </row>
    <row r="24" spans="1:7" x14ac:dyDescent="0.3">
      <c r="A24" s="3" t="s">
        <v>31</v>
      </c>
      <c r="B24" s="3">
        <v>1002185</v>
      </c>
      <c r="C24" s="3">
        <v>2546139</v>
      </c>
      <c r="D24" s="3">
        <v>4218772</v>
      </c>
      <c r="E24" s="3">
        <v>14008227</v>
      </c>
      <c r="F24" s="3">
        <v>7095653</v>
      </c>
      <c r="G24" s="3">
        <f t="shared" si="0"/>
        <v>28870976</v>
      </c>
    </row>
    <row r="25" spans="1:7" x14ac:dyDescent="0.3">
      <c r="A25" s="3" t="s">
        <v>32</v>
      </c>
      <c r="B25" s="3">
        <v>1002185</v>
      </c>
      <c r="C25" s="3">
        <v>2546139</v>
      </c>
      <c r="D25" s="3">
        <v>4218772</v>
      </c>
      <c r="E25" s="3">
        <v>14008227</v>
      </c>
      <c r="F25" s="3">
        <v>7095653</v>
      </c>
      <c r="G25" s="3">
        <f t="shared" si="0"/>
        <v>28870976</v>
      </c>
    </row>
    <row r="26" spans="1:7" x14ac:dyDescent="0.3">
      <c r="A26" s="3" t="s">
        <v>33</v>
      </c>
      <c r="B26" s="3">
        <v>1002185</v>
      </c>
      <c r="C26" s="3">
        <v>2546139</v>
      </c>
      <c r="D26" s="3">
        <v>4218772</v>
      </c>
      <c r="E26" s="3">
        <v>14008227</v>
      </c>
      <c r="F26" s="3">
        <v>7095653</v>
      </c>
      <c r="G26" s="3">
        <f t="shared" si="0"/>
        <v>28870976</v>
      </c>
    </row>
    <row r="27" spans="1:7" x14ac:dyDescent="0.3">
      <c r="A27" s="3" t="s">
        <v>34</v>
      </c>
      <c r="B27" s="3">
        <v>1002185</v>
      </c>
      <c r="C27" s="3">
        <v>2546139</v>
      </c>
      <c r="D27" s="3">
        <v>4218772</v>
      </c>
      <c r="E27" s="3">
        <v>14008227</v>
      </c>
      <c r="F27" s="3">
        <v>7095653</v>
      </c>
      <c r="G27" s="3">
        <f t="shared" si="0"/>
        <v>28870976</v>
      </c>
    </row>
    <row r="28" spans="1:7" x14ac:dyDescent="0.3">
      <c r="A28" s="3" t="s">
        <v>35</v>
      </c>
      <c r="B28" s="3">
        <v>1002185</v>
      </c>
      <c r="C28" s="3">
        <v>2546139</v>
      </c>
      <c r="D28" s="3">
        <v>4218772</v>
      </c>
      <c r="E28" s="3">
        <v>14008227</v>
      </c>
      <c r="F28" s="3">
        <v>7095653</v>
      </c>
      <c r="G28" s="3">
        <f t="shared" si="0"/>
        <v>28870976</v>
      </c>
    </row>
    <row r="29" spans="1:7" x14ac:dyDescent="0.3">
      <c r="A29" s="3" t="s">
        <v>36</v>
      </c>
      <c r="B29" s="3">
        <v>1002185</v>
      </c>
      <c r="C29" s="3">
        <v>2546139</v>
      </c>
      <c r="D29" s="3">
        <v>4218772</v>
      </c>
      <c r="E29" s="3">
        <v>14008227</v>
      </c>
      <c r="F29" s="3">
        <v>7095653</v>
      </c>
      <c r="G29" s="3">
        <f t="shared" si="0"/>
        <v>28870976</v>
      </c>
    </row>
    <row r="30" spans="1:7" x14ac:dyDescent="0.3">
      <c r="A30" s="3" t="s">
        <v>37</v>
      </c>
      <c r="B30" s="3">
        <v>1002185</v>
      </c>
      <c r="C30" s="3">
        <v>2546139</v>
      </c>
      <c r="D30" s="3">
        <v>4218772</v>
      </c>
      <c r="E30" s="3">
        <v>14008227</v>
      </c>
      <c r="F30" s="3">
        <v>7095653</v>
      </c>
      <c r="G30" s="3">
        <f t="shared" si="0"/>
        <v>28870976</v>
      </c>
    </row>
    <row r="31" spans="1:7" x14ac:dyDescent="0.3">
      <c r="A31" s="3" t="s">
        <v>38</v>
      </c>
      <c r="B31" s="3">
        <v>1002185</v>
      </c>
      <c r="C31" s="3">
        <v>2546139</v>
      </c>
      <c r="D31" s="3">
        <v>4218772</v>
      </c>
      <c r="E31" s="3">
        <v>14008227</v>
      </c>
      <c r="F31" s="3">
        <v>7095653</v>
      </c>
      <c r="G31" s="3">
        <f t="shared" si="0"/>
        <v>28870976</v>
      </c>
    </row>
    <row r="32" spans="1:7" x14ac:dyDescent="0.3">
      <c r="A32" s="3" t="s">
        <v>39</v>
      </c>
      <c r="B32" s="3">
        <v>1002185</v>
      </c>
      <c r="C32" s="3">
        <v>2546139</v>
      </c>
      <c r="D32" s="3">
        <v>4218772</v>
      </c>
      <c r="E32" s="3">
        <v>14008227</v>
      </c>
      <c r="F32" s="3">
        <v>7095653</v>
      </c>
      <c r="G32" s="3">
        <f t="shared" si="0"/>
        <v>28870976</v>
      </c>
    </row>
    <row r="33" spans="1:7" x14ac:dyDescent="0.3">
      <c r="A33" s="3" t="s">
        <v>40</v>
      </c>
      <c r="B33" s="3">
        <v>1002185</v>
      </c>
      <c r="C33" s="3">
        <v>2546139</v>
      </c>
      <c r="D33" s="3">
        <v>4218772</v>
      </c>
      <c r="E33" s="3">
        <v>14008227</v>
      </c>
      <c r="F33" s="3">
        <v>7095653</v>
      </c>
      <c r="G33" s="3">
        <f t="shared" si="0"/>
        <v>28870976</v>
      </c>
    </row>
    <row r="34" spans="1:7" x14ac:dyDescent="0.3">
      <c r="A34" s="3" t="s">
        <v>41</v>
      </c>
      <c r="B34" s="3">
        <v>1002185</v>
      </c>
      <c r="C34" s="3">
        <v>2546139</v>
      </c>
      <c r="D34" s="3">
        <v>4218772</v>
      </c>
      <c r="E34" s="3">
        <v>14008227</v>
      </c>
      <c r="F34" s="3">
        <v>7095653</v>
      </c>
      <c r="G34" s="3">
        <f t="shared" si="0"/>
        <v>28870976</v>
      </c>
    </row>
    <row r="35" spans="1:7" x14ac:dyDescent="0.3">
      <c r="A35" s="3" t="s">
        <v>42</v>
      </c>
      <c r="B35" s="3">
        <v>1002185</v>
      </c>
      <c r="C35" s="3">
        <v>2546139</v>
      </c>
      <c r="D35" s="3">
        <v>4218772</v>
      </c>
      <c r="E35" s="3">
        <v>14008227</v>
      </c>
      <c r="F35" s="3">
        <v>7095653</v>
      </c>
      <c r="G35" s="3">
        <f t="shared" si="0"/>
        <v>28870976</v>
      </c>
    </row>
    <row r="36" spans="1:7" x14ac:dyDescent="0.3">
      <c r="A36" s="3" t="s">
        <v>43</v>
      </c>
      <c r="B36" s="3">
        <v>1002185</v>
      </c>
      <c r="C36" s="3">
        <v>2546139</v>
      </c>
      <c r="D36" s="3">
        <v>4218772</v>
      </c>
      <c r="E36" s="3">
        <v>14008227</v>
      </c>
      <c r="F36" s="3">
        <v>7095653</v>
      </c>
      <c r="G36" s="3">
        <f t="shared" si="0"/>
        <v>28870976</v>
      </c>
    </row>
    <row r="37" spans="1:7" x14ac:dyDescent="0.3">
      <c r="A37" s="3" t="s">
        <v>44</v>
      </c>
      <c r="B37" s="3">
        <v>1002185</v>
      </c>
      <c r="C37" s="3">
        <v>2546139</v>
      </c>
      <c r="D37" s="3">
        <v>4218772</v>
      </c>
      <c r="E37" s="3">
        <v>14008227</v>
      </c>
      <c r="F37" s="3">
        <v>7095653</v>
      </c>
      <c r="G37" s="3">
        <f t="shared" si="0"/>
        <v>28870976</v>
      </c>
    </row>
    <row r="38" spans="1:7" x14ac:dyDescent="0.3">
      <c r="A38" s="3" t="s">
        <v>45</v>
      </c>
      <c r="B38" s="3">
        <v>1002185</v>
      </c>
      <c r="C38" s="3">
        <v>2546139</v>
      </c>
      <c r="D38" s="3">
        <v>4218772</v>
      </c>
      <c r="E38" s="3">
        <v>14008227</v>
      </c>
      <c r="F38" s="3">
        <v>7095653</v>
      </c>
      <c r="G38" s="3">
        <f t="shared" si="0"/>
        <v>28870976</v>
      </c>
    </row>
    <row r="39" spans="1:7" x14ac:dyDescent="0.3">
      <c r="A39" s="3" t="s">
        <v>46</v>
      </c>
      <c r="B39" s="3">
        <v>1002185</v>
      </c>
      <c r="C39" s="3">
        <v>2546139</v>
      </c>
      <c r="D39" s="3">
        <v>4218772</v>
      </c>
      <c r="E39" s="3">
        <v>14008227</v>
      </c>
      <c r="F39" s="3">
        <v>7095653</v>
      </c>
      <c r="G39" s="3">
        <f t="shared" si="0"/>
        <v>28870976</v>
      </c>
    </row>
    <row r="40" spans="1:7" x14ac:dyDescent="0.3">
      <c r="A40" s="3" t="s">
        <v>47</v>
      </c>
      <c r="B40" s="3">
        <v>1002185</v>
      </c>
      <c r="C40" s="3">
        <v>2546139</v>
      </c>
      <c r="D40" s="3">
        <v>4218772</v>
      </c>
      <c r="E40" s="3">
        <v>14008227</v>
      </c>
      <c r="F40" s="3">
        <v>7095653</v>
      </c>
      <c r="G40" s="3">
        <f t="shared" si="0"/>
        <v>28870976</v>
      </c>
    </row>
    <row r="41" spans="1:7" x14ac:dyDescent="0.3">
      <c r="A41" s="3" t="s">
        <v>48</v>
      </c>
      <c r="B41" s="3">
        <v>1002185</v>
      </c>
      <c r="C41" s="3">
        <v>2546139</v>
      </c>
      <c r="D41" s="3">
        <v>4218772</v>
      </c>
      <c r="E41" s="3">
        <v>14008227</v>
      </c>
      <c r="F41" s="3">
        <v>7095653</v>
      </c>
      <c r="G41" s="3">
        <f t="shared" si="0"/>
        <v>28870976</v>
      </c>
    </row>
    <row r="42" spans="1:7" x14ac:dyDescent="0.3">
      <c r="A42" s="3" t="s">
        <v>49</v>
      </c>
      <c r="B42" s="3">
        <v>1002185</v>
      </c>
      <c r="C42" s="3">
        <v>2546139</v>
      </c>
      <c r="D42" s="3">
        <v>4218772</v>
      </c>
      <c r="E42" s="3">
        <v>14008227</v>
      </c>
      <c r="F42" s="3">
        <v>7095653</v>
      </c>
      <c r="G42" s="3">
        <f t="shared" si="0"/>
        <v>28870976</v>
      </c>
    </row>
    <row r="43" spans="1:7" x14ac:dyDescent="0.3">
      <c r="A43" s="3" t="s">
        <v>50</v>
      </c>
      <c r="B43" s="3">
        <v>1002185</v>
      </c>
      <c r="C43" s="3">
        <v>2546139</v>
      </c>
      <c r="D43" s="3">
        <v>4218772</v>
      </c>
      <c r="E43" s="3">
        <v>14008227</v>
      </c>
      <c r="F43" s="3">
        <v>7095653</v>
      </c>
      <c r="G43" s="3">
        <f t="shared" si="0"/>
        <v>28870976</v>
      </c>
    </row>
    <row r="44" spans="1:7" x14ac:dyDescent="0.3">
      <c r="A44" s="3" t="s">
        <v>51</v>
      </c>
      <c r="B44" s="3">
        <v>1002185</v>
      </c>
      <c r="C44" s="3">
        <v>2546139</v>
      </c>
      <c r="D44" s="3">
        <v>4218772</v>
      </c>
      <c r="E44" s="3">
        <v>14008227</v>
      </c>
      <c r="F44" s="3">
        <v>7095653</v>
      </c>
      <c r="G44" s="3">
        <f t="shared" si="0"/>
        <v>28870976</v>
      </c>
    </row>
    <row r="45" spans="1:7" x14ac:dyDescent="0.3">
      <c r="A45" s="3" t="s">
        <v>52</v>
      </c>
      <c r="B45" s="3">
        <v>1002185</v>
      </c>
      <c r="C45" s="3">
        <v>2546139</v>
      </c>
      <c r="D45" s="3">
        <v>4218772</v>
      </c>
      <c r="E45" s="3">
        <v>14008227</v>
      </c>
      <c r="F45" s="3">
        <v>7095653</v>
      </c>
      <c r="G45" s="3">
        <f t="shared" si="0"/>
        <v>28870976</v>
      </c>
    </row>
    <row r="46" spans="1:7" x14ac:dyDescent="0.3">
      <c r="A46" s="3" t="s">
        <v>53</v>
      </c>
      <c r="B46" s="3">
        <v>1002185</v>
      </c>
      <c r="C46" s="3">
        <v>2546139</v>
      </c>
      <c r="D46" s="3">
        <v>4218772</v>
      </c>
      <c r="E46" s="3">
        <v>14008227</v>
      </c>
      <c r="F46" s="3">
        <v>7095653</v>
      </c>
      <c r="G46" s="3">
        <f t="shared" si="0"/>
        <v>28870976</v>
      </c>
    </row>
    <row r="47" spans="1:7" x14ac:dyDescent="0.3">
      <c r="A47" s="3" t="s">
        <v>54</v>
      </c>
      <c r="B47" s="3">
        <v>1002185</v>
      </c>
      <c r="C47" s="3">
        <v>2546139</v>
      </c>
      <c r="D47" s="3">
        <v>4218772</v>
      </c>
      <c r="E47" s="3">
        <v>14008227</v>
      </c>
      <c r="F47" s="3">
        <v>7095653</v>
      </c>
      <c r="G47" s="3">
        <f t="shared" si="0"/>
        <v>28870976</v>
      </c>
    </row>
    <row r="48" spans="1:7" x14ac:dyDescent="0.3">
      <c r="A48" s="3" t="s">
        <v>55</v>
      </c>
      <c r="B48" s="3">
        <v>1002185</v>
      </c>
      <c r="C48" s="3">
        <v>2546139</v>
      </c>
      <c r="D48" s="3">
        <v>4218772</v>
      </c>
      <c r="E48" s="3">
        <v>14008227</v>
      </c>
      <c r="F48" s="3">
        <v>7095653</v>
      </c>
      <c r="G48" s="3">
        <f t="shared" si="0"/>
        <v>28870976</v>
      </c>
    </row>
    <row r="49" spans="1:7" x14ac:dyDescent="0.3">
      <c r="A49" s="3" t="s">
        <v>56</v>
      </c>
      <c r="B49" s="3">
        <v>1002185</v>
      </c>
      <c r="C49" s="3">
        <v>2546139</v>
      </c>
      <c r="D49" s="3">
        <v>4218772</v>
      </c>
      <c r="E49" s="3">
        <v>14008227</v>
      </c>
      <c r="F49" s="3">
        <v>7095653</v>
      </c>
      <c r="G49" s="3">
        <f t="shared" si="0"/>
        <v>28870976</v>
      </c>
    </row>
    <row r="50" spans="1:7" x14ac:dyDescent="0.3">
      <c r="A50" s="3" t="s">
        <v>57</v>
      </c>
      <c r="B50" s="3">
        <v>1002185</v>
      </c>
      <c r="C50" s="3">
        <v>2546139</v>
      </c>
      <c r="D50" s="3">
        <v>4218772</v>
      </c>
      <c r="E50" s="3">
        <v>14008227</v>
      </c>
      <c r="F50" s="3">
        <v>7095653</v>
      </c>
      <c r="G50" s="3">
        <f t="shared" si="0"/>
        <v>28870976</v>
      </c>
    </row>
    <row r="51" spans="1:7" x14ac:dyDescent="0.3">
      <c r="A51" s="3" t="s">
        <v>58</v>
      </c>
      <c r="B51" s="3">
        <v>1002185</v>
      </c>
      <c r="C51" s="3">
        <v>2546139</v>
      </c>
      <c r="D51" s="3">
        <v>4218772</v>
      </c>
      <c r="E51" s="3">
        <v>14008227</v>
      </c>
      <c r="F51" s="3">
        <v>7095653</v>
      </c>
      <c r="G51" s="3">
        <f t="shared" si="0"/>
        <v>28870976</v>
      </c>
    </row>
    <row r="52" spans="1:7" x14ac:dyDescent="0.3">
      <c r="A52" s="3" t="s">
        <v>59</v>
      </c>
      <c r="B52" s="3">
        <v>1002185</v>
      </c>
      <c r="C52" s="3">
        <v>2546139</v>
      </c>
      <c r="D52" s="3">
        <v>4218772</v>
      </c>
      <c r="E52" s="3">
        <v>14008227</v>
      </c>
      <c r="F52" s="3">
        <v>7095653</v>
      </c>
      <c r="G52" s="3">
        <f t="shared" si="0"/>
        <v>28870976</v>
      </c>
    </row>
    <row r="53" spans="1:7" x14ac:dyDescent="0.3">
      <c r="A53" s="3" t="s">
        <v>60</v>
      </c>
      <c r="B53" s="3">
        <v>1002185</v>
      </c>
      <c r="C53" s="3">
        <v>2546139</v>
      </c>
      <c r="D53" s="3">
        <v>4218772</v>
      </c>
      <c r="E53" s="3">
        <v>14008227</v>
      </c>
      <c r="F53" s="3">
        <v>7095653</v>
      </c>
      <c r="G53" s="3">
        <f t="shared" si="0"/>
        <v>28870976</v>
      </c>
    </row>
    <row r="54" spans="1:7" x14ac:dyDescent="0.3">
      <c r="A54" s="3" t="s">
        <v>61</v>
      </c>
      <c r="B54" s="3">
        <v>1002185</v>
      </c>
      <c r="C54" s="3">
        <v>2546139</v>
      </c>
      <c r="D54" s="3">
        <v>4218772</v>
      </c>
      <c r="E54" s="3">
        <v>14008227</v>
      </c>
      <c r="F54" s="3">
        <v>7095653</v>
      </c>
      <c r="G54" s="3">
        <f t="shared" si="0"/>
        <v>28870976</v>
      </c>
    </row>
    <row r="55" spans="1:7" x14ac:dyDescent="0.3">
      <c r="A55" s="3" t="s">
        <v>62</v>
      </c>
      <c r="B55" s="3">
        <v>1002185</v>
      </c>
      <c r="C55" s="3">
        <v>2546139</v>
      </c>
      <c r="D55" s="3">
        <v>4218772</v>
      </c>
      <c r="E55" s="3">
        <v>14008227</v>
      </c>
      <c r="F55" s="3">
        <v>7095653</v>
      </c>
      <c r="G55" s="3">
        <f t="shared" si="0"/>
        <v>28870976</v>
      </c>
    </row>
    <row r="56" spans="1:7" x14ac:dyDescent="0.3">
      <c r="A56" s="3" t="s">
        <v>63</v>
      </c>
      <c r="B56" s="3">
        <v>1002185</v>
      </c>
      <c r="C56" s="3">
        <v>2546139</v>
      </c>
      <c r="D56" s="3">
        <v>4218772</v>
      </c>
      <c r="E56" s="3">
        <v>14008227</v>
      </c>
      <c r="F56" s="3">
        <v>7095653</v>
      </c>
      <c r="G56" s="3">
        <f t="shared" si="0"/>
        <v>28870976</v>
      </c>
    </row>
    <row r="57" spans="1:7" x14ac:dyDescent="0.3">
      <c r="A57" s="3" t="s">
        <v>64</v>
      </c>
      <c r="B57" s="3">
        <v>1002185</v>
      </c>
      <c r="C57" s="3">
        <v>2546139</v>
      </c>
      <c r="D57" s="3">
        <v>4218772</v>
      </c>
      <c r="E57" s="3">
        <v>14008227</v>
      </c>
      <c r="F57" s="3">
        <v>7095653</v>
      </c>
      <c r="G57" s="3">
        <f t="shared" si="0"/>
        <v>28870976</v>
      </c>
    </row>
    <row r="58" spans="1:7" x14ac:dyDescent="0.3">
      <c r="A58" s="3" t="s">
        <v>65</v>
      </c>
      <c r="B58" s="3">
        <v>1002185</v>
      </c>
      <c r="C58" s="3">
        <v>2546139</v>
      </c>
      <c r="D58" s="3">
        <v>4218772</v>
      </c>
      <c r="E58" s="3">
        <v>14008227</v>
      </c>
      <c r="F58" s="3">
        <v>7095653</v>
      </c>
      <c r="G58" s="3">
        <f t="shared" si="0"/>
        <v>28870976</v>
      </c>
    </row>
    <row r="59" spans="1:7" x14ac:dyDescent="0.3">
      <c r="A59" s="3" t="s">
        <v>66</v>
      </c>
      <c r="B59" s="3">
        <v>1002185</v>
      </c>
      <c r="C59" s="3">
        <v>2546139</v>
      </c>
      <c r="D59" s="3">
        <v>4218772</v>
      </c>
      <c r="E59" s="3">
        <v>14008227</v>
      </c>
      <c r="F59" s="3">
        <v>7095653</v>
      </c>
      <c r="G59" s="3">
        <f t="shared" si="0"/>
        <v>28870976</v>
      </c>
    </row>
    <row r="60" spans="1:7" x14ac:dyDescent="0.3">
      <c r="A60" s="3" t="s">
        <v>67</v>
      </c>
      <c r="B60" s="3">
        <v>1002185</v>
      </c>
      <c r="C60" s="3">
        <v>2546139</v>
      </c>
      <c r="D60" s="3">
        <v>4218772</v>
      </c>
      <c r="E60" s="3">
        <v>14008227</v>
      </c>
      <c r="F60" s="3">
        <v>7095653</v>
      </c>
      <c r="G60" s="3">
        <f t="shared" si="0"/>
        <v>28870976</v>
      </c>
    </row>
    <row r="61" spans="1:7" x14ac:dyDescent="0.3">
      <c r="A61" s="3" t="s">
        <v>68</v>
      </c>
      <c r="B61" s="3">
        <v>1002185</v>
      </c>
      <c r="C61" s="3">
        <v>2546139</v>
      </c>
      <c r="D61" s="3">
        <v>4218772</v>
      </c>
      <c r="E61" s="3">
        <v>14008227</v>
      </c>
      <c r="F61" s="3">
        <v>7095653</v>
      </c>
      <c r="G61" s="3">
        <f t="shared" si="0"/>
        <v>28870976</v>
      </c>
    </row>
    <row r="62" spans="1:7" x14ac:dyDescent="0.3">
      <c r="A62" s="3" t="s">
        <v>69</v>
      </c>
      <c r="B62" s="3">
        <v>1002185</v>
      </c>
      <c r="C62" s="3">
        <v>2546139</v>
      </c>
      <c r="D62" s="3">
        <v>4218772</v>
      </c>
      <c r="E62" s="3">
        <v>14008227</v>
      </c>
      <c r="F62" s="3">
        <v>7095653</v>
      </c>
      <c r="G62" s="3">
        <f t="shared" si="0"/>
        <v>28870976</v>
      </c>
    </row>
    <row r="63" spans="1:7" x14ac:dyDescent="0.3">
      <c r="A63" s="3" t="s">
        <v>70</v>
      </c>
      <c r="B63" s="3">
        <v>1002185</v>
      </c>
      <c r="C63" s="3">
        <v>2546139</v>
      </c>
      <c r="D63" s="3">
        <v>4218772</v>
      </c>
      <c r="E63" s="3">
        <v>14008227</v>
      </c>
      <c r="F63" s="3">
        <v>7095653</v>
      </c>
      <c r="G63" s="3">
        <f t="shared" si="0"/>
        <v>28870976</v>
      </c>
    </row>
    <row r="64" spans="1:7" x14ac:dyDescent="0.3">
      <c r="A64" s="3" t="s">
        <v>71</v>
      </c>
      <c r="B64" s="3">
        <v>1002185</v>
      </c>
      <c r="C64" s="3">
        <v>2546139</v>
      </c>
      <c r="D64" s="3">
        <v>4218772</v>
      </c>
      <c r="E64" s="3">
        <v>14008227</v>
      </c>
      <c r="F64" s="3">
        <v>7095653</v>
      </c>
      <c r="G64" s="3">
        <f t="shared" si="0"/>
        <v>28870976</v>
      </c>
    </row>
    <row r="65" spans="1:7" x14ac:dyDescent="0.3">
      <c r="A65" s="3" t="s">
        <v>72</v>
      </c>
      <c r="B65" s="3">
        <v>1002185</v>
      </c>
      <c r="C65" s="3">
        <v>2546139</v>
      </c>
      <c r="D65" s="3">
        <v>4218772</v>
      </c>
      <c r="E65" s="3">
        <v>14008227</v>
      </c>
      <c r="F65" s="3">
        <v>7095653</v>
      </c>
      <c r="G65" s="3">
        <f t="shared" si="0"/>
        <v>28870976</v>
      </c>
    </row>
    <row r="66" spans="1:7" x14ac:dyDescent="0.3">
      <c r="A66" s="3" t="s">
        <v>73</v>
      </c>
      <c r="B66" s="3">
        <v>1002185</v>
      </c>
      <c r="C66" s="3">
        <v>2546139</v>
      </c>
      <c r="D66" s="3">
        <v>4218772</v>
      </c>
      <c r="E66" s="3">
        <v>14008227</v>
      </c>
      <c r="F66" s="3">
        <v>7095653</v>
      </c>
      <c r="G66" s="3">
        <f t="shared" si="0"/>
        <v>28870976</v>
      </c>
    </row>
    <row r="67" spans="1:7" x14ac:dyDescent="0.3">
      <c r="A67" s="3" t="s">
        <v>74</v>
      </c>
      <c r="B67" s="3">
        <v>1002185</v>
      </c>
      <c r="C67" s="3">
        <v>2546139</v>
      </c>
      <c r="D67" s="3">
        <v>4218772</v>
      </c>
      <c r="E67" s="3">
        <v>14008227</v>
      </c>
      <c r="F67" s="3">
        <v>7095653</v>
      </c>
      <c r="G67" s="3">
        <f t="shared" si="0"/>
        <v>28870976</v>
      </c>
    </row>
  </sheetData>
  <autoFilter ref="A1:A67" xr:uid="{43A01C1B-33EE-4251-B4F2-44F75678BD2F}"/>
  <mergeCells count="1">
    <mergeCell ref="B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56EA5-9280-4F62-BA62-E6AE57745BE9}">
  <dimension ref="A1:G67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E17" sqref="E17"/>
    </sheetView>
  </sheetViews>
  <sheetFormatPr defaultColWidth="8.88671875" defaultRowHeight="14.4" x14ac:dyDescent="0.3"/>
  <cols>
    <col min="1" max="1" width="10.109375" style="2" customWidth="1"/>
    <col min="2" max="2" width="10.109375" style="5" customWidth="1"/>
    <col min="3" max="3" width="8.88671875" style="5"/>
    <col min="4" max="4" width="9.109375" style="5" bestFit="1" customWidth="1"/>
    <col min="5" max="6" width="8.88671875" style="5"/>
    <col min="7" max="7" width="9.6640625" style="5" customWidth="1"/>
    <col min="8" max="16384" width="8.88671875" style="2"/>
  </cols>
  <sheetData>
    <row r="1" spans="1:7" ht="29.4" customHeight="1" x14ac:dyDescent="0.3">
      <c r="A1" s="7" t="s">
        <v>0</v>
      </c>
      <c r="B1" s="16" t="s">
        <v>20</v>
      </c>
      <c r="C1" s="16"/>
      <c r="D1" s="16"/>
      <c r="E1" s="16"/>
      <c r="F1" s="16"/>
      <c r="G1" s="16"/>
    </row>
    <row r="2" spans="1:7" x14ac:dyDescent="0.3">
      <c r="A2" s="6"/>
      <c r="B2" s="1" t="s">
        <v>1</v>
      </c>
      <c r="C2" s="1" t="s">
        <v>19</v>
      </c>
      <c r="D2" s="1" t="s">
        <v>2</v>
      </c>
      <c r="E2" s="1" t="s">
        <v>3</v>
      </c>
      <c r="F2" s="1" t="s">
        <v>4</v>
      </c>
      <c r="G2" s="1" t="s">
        <v>5</v>
      </c>
    </row>
    <row r="3" spans="1:7" x14ac:dyDescent="0.3">
      <c r="A3" s="3" t="s">
        <v>6</v>
      </c>
      <c r="B3" s="4"/>
      <c r="C3" s="4"/>
      <c r="D3" s="4"/>
      <c r="E3" s="4"/>
      <c r="F3" s="4"/>
      <c r="G3" s="4"/>
    </row>
    <row r="4" spans="1:7" x14ac:dyDescent="0.3">
      <c r="A4" s="3" t="s">
        <v>7</v>
      </c>
      <c r="B4" s="4"/>
      <c r="C4" s="4"/>
      <c r="D4" s="4"/>
      <c r="E4" s="4"/>
      <c r="F4" s="4"/>
      <c r="G4" s="4"/>
    </row>
    <row r="5" spans="1:7" x14ac:dyDescent="0.3">
      <c r="A5" s="3" t="s">
        <v>8</v>
      </c>
      <c r="B5" s="4"/>
      <c r="C5" s="4"/>
      <c r="D5" s="4"/>
      <c r="E5" s="4"/>
      <c r="F5" s="4"/>
      <c r="G5" s="4"/>
    </row>
    <row r="6" spans="1:7" x14ac:dyDescent="0.3">
      <c r="A6" s="3" t="s">
        <v>9</v>
      </c>
      <c r="B6" s="4"/>
      <c r="C6" s="4"/>
      <c r="D6" s="4"/>
      <c r="E6" s="4"/>
      <c r="F6" s="4"/>
      <c r="G6" s="4"/>
    </row>
    <row r="7" spans="1:7" x14ac:dyDescent="0.3">
      <c r="A7" s="3" t="s">
        <v>10</v>
      </c>
      <c r="B7" s="4"/>
      <c r="C7" s="4"/>
      <c r="D7" s="4"/>
      <c r="E7" s="4"/>
      <c r="F7" s="4"/>
      <c r="G7" s="4"/>
    </row>
    <row r="8" spans="1:7" x14ac:dyDescent="0.3">
      <c r="A8" s="3" t="s">
        <v>11</v>
      </c>
      <c r="B8" s="4"/>
      <c r="C8" s="4"/>
      <c r="D8" s="4"/>
      <c r="E8" s="4"/>
      <c r="F8" s="4"/>
      <c r="G8" s="4"/>
    </row>
    <row r="9" spans="1:7" x14ac:dyDescent="0.3">
      <c r="A9" s="3" t="s">
        <v>12</v>
      </c>
      <c r="B9" s="4"/>
      <c r="C9" s="4"/>
      <c r="D9" s="4"/>
      <c r="E9" s="4"/>
      <c r="F9" s="4"/>
      <c r="G9" s="4"/>
    </row>
    <row r="10" spans="1:7" x14ac:dyDescent="0.3">
      <c r="A10" s="3" t="s">
        <v>13</v>
      </c>
      <c r="B10" s="4"/>
      <c r="C10" s="4"/>
      <c r="D10" s="4"/>
      <c r="E10" s="4"/>
      <c r="F10" s="4"/>
      <c r="G10" s="4"/>
    </row>
    <row r="11" spans="1:7" x14ac:dyDescent="0.3">
      <c r="A11" s="3" t="s">
        <v>14</v>
      </c>
      <c r="B11" s="4"/>
      <c r="C11" s="4"/>
      <c r="D11" s="4"/>
      <c r="E11" s="4"/>
      <c r="F11" s="4"/>
      <c r="G11" s="4"/>
    </row>
    <row r="12" spans="1:7" x14ac:dyDescent="0.3">
      <c r="A12" s="3" t="s">
        <v>15</v>
      </c>
      <c r="B12" s="4"/>
      <c r="C12" s="4"/>
      <c r="D12" s="4"/>
      <c r="E12" s="4"/>
      <c r="F12" s="4"/>
      <c r="G12" s="4"/>
    </row>
    <row r="13" spans="1:7" x14ac:dyDescent="0.3">
      <c r="A13" s="3" t="s">
        <v>16</v>
      </c>
      <c r="B13" s="4"/>
      <c r="C13" s="4"/>
      <c r="D13" s="4"/>
      <c r="E13" s="4"/>
      <c r="F13" s="4"/>
      <c r="G13" s="4"/>
    </row>
    <row r="14" spans="1:7" x14ac:dyDescent="0.3">
      <c r="A14" s="3" t="s">
        <v>17</v>
      </c>
      <c r="B14" s="4"/>
      <c r="C14" s="4"/>
      <c r="D14" s="4"/>
      <c r="E14" s="4"/>
      <c r="F14" s="4"/>
      <c r="G14" s="4"/>
    </row>
    <row r="15" spans="1:7" x14ac:dyDescent="0.3">
      <c r="A15" s="3" t="s">
        <v>18</v>
      </c>
      <c r="B15" s="4"/>
      <c r="C15" s="4"/>
      <c r="D15" s="4"/>
      <c r="E15" s="4"/>
      <c r="F15" s="4"/>
      <c r="G15" s="4"/>
    </row>
    <row r="16" spans="1:7" x14ac:dyDescent="0.3">
      <c r="A16" s="3" t="s">
        <v>23</v>
      </c>
      <c r="B16" s="4"/>
      <c r="C16" s="4"/>
      <c r="D16" s="4"/>
      <c r="E16" s="4"/>
      <c r="F16" s="4"/>
      <c r="G16" s="4"/>
    </row>
    <row r="17" spans="1:7" x14ac:dyDescent="0.3">
      <c r="A17" s="3" t="s">
        <v>24</v>
      </c>
      <c r="B17" s="4"/>
      <c r="C17" s="4"/>
      <c r="D17" s="4"/>
      <c r="E17" s="4"/>
      <c r="F17" s="4"/>
      <c r="G17" s="4"/>
    </row>
    <row r="18" spans="1:7" x14ac:dyDescent="0.3">
      <c r="A18" s="3" t="s">
        <v>25</v>
      </c>
      <c r="B18" s="4"/>
      <c r="C18" s="4"/>
      <c r="D18" s="4"/>
      <c r="E18" s="4"/>
      <c r="F18" s="4"/>
      <c r="G18" s="4"/>
    </row>
    <row r="19" spans="1:7" x14ac:dyDescent="0.3">
      <c r="A19" s="3" t="s">
        <v>26</v>
      </c>
      <c r="B19" s="4"/>
      <c r="C19" s="4"/>
      <c r="D19" s="4"/>
      <c r="E19" s="4"/>
      <c r="F19" s="4"/>
      <c r="G19" s="4"/>
    </row>
    <row r="20" spans="1:7" x14ac:dyDescent="0.3">
      <c r="A20" s="3" t="s">
        <v>27</v>
      </c>
      <c r="B20" s="4"/>
      <c r="C20" s="4"/>
      <c r="D20" s="4"/>
      <c r="E20" s="4"/>
      <c r="F20" s="4"/>
      <c r="G20" s="4"/>
    </row>
    <row r="21" spans="1:7" x14ac:dyDescent="0.3">
      <c r="A21" s="3" t="s">
        <v>28</v>
      </c>
      <c r="B21" s="4"/>
      <c r="C21" s="4"/>
      <c r="D21" s="4"/>
      <c r="E21" s="4"/>
      <c r="F21" s="4"/>
      <c r="G21" s="4"/>
    </row>
    <row r="22" spans="1:7" x14ac:dyDescent="0.3">
      <c r="A22" s="3" t="s">
        <v>29</v>
      </c>
      <c r="B22" s="4"/>
      <c r="C22" s="4"/>
      <c r="D22" s="4"/>
      <c r="E22" s="4"/>
      <c r="F22" s="4"/>
      <c r="G22" s="4"/>
    </row>
    <row r="23" spans="1:7" x14ac:dyDescent="0.3">
      <c r="A23" s="3" t="s">
        <v>30</v>
      </c>
      <c r="B23" s="4"/>
      <c r="C23" s="4"/>
      <c r="D23" s="4"/>
      <c r="E23" s="4"/>
      <c r="F23" s="4"/>
      <c r="G23" s="4"/>
    </row>
    <row r="24" spans="1:7" x14ac:dyDescent="0.3">
      <c r="A24" s="3" t="s">
        <v>31</v>
      </c>
      <c r="B24" s="4"/>
      <c r="C24" s="4"/>
      <c r="D24" s="4"/>
      <c r="E24" s="4"/>
      <c r="F24" s="4"/>
      <c r="G24" s="4"/>
    </row>
    <row r="25" spans="1:7" x14ac:dyDescent="0.3">
      <c r="A25" s="3" t="s">
        <v>32</v>
      </c>
      <c r="B25" s="4"/>
      <c r="C25" s="4"/>
      <c r="D25" s="4"/>
      <c r="E25" s="4"/>
      <c r="F25" s="4"/>
      <c r="G25" s="4"/>
    </row>
    <row r="26" spans="1:7" x14ac:dyDescent="0.3">
      <c r="A26" s="3" t="s">
        <v>33</v>
      </c>
      <c r="B26" s="4"/>
      <c r="C26" s="4"/>
      <c r="D26" s="4"/>
      <c r="E26" s="4"/>
      <c r="F26" s="4"/>
      <c r="G26" s="4"/>
    </row>
    <row r="27" spans="1:7" x14ac:dyDescent="0.3">
      <c r="A27" s="3" t="s">
        <v>34</v>
      </c>
      <c r="B27" s="4"/>
      <c r="C27" s="4"/>
      <c r="D27" s="4"/>
      <c r="E27" s="4"/>
      <c r="F27" s="4"/>
      <c r="G27" s="4"/>
    </row>
    <row r="28" spans="1:7" x14ac:dyDescent="0.3">
      <c r="A28" s="3" t="s">
        <v>35</v>
      </c>
      <c r="B28" s="4"/>
      <c r="C28" s="4"/>
      <c r="D28" s="4"/>
      <c r="E28" s="4"/>
      <c r="F28" s="4"/>
      <c r="G28" s="4"/>
    </row>
    <row r="29" spans="1:7" x14ac:dyDescent="0.3">
      <c r="A29" s="3" t="s">
        <v>36</v>
      </c>
      <c r="B29" s="4"/>
      <c r="C29" s="4"/>
      <c r="D29" s="4"/>
      <c r="E29" s="4"/>
      <c r="F29" s="4"/>
      <c r="G29" s="4"/>
    </row>
    <row r="30" spans="1:7" x14ac:dyDescent="0.3">
      <c r="A30" s="3" t="s">
        <v>37</v>
      </c>
      <c r="B30" s="4"/>
      <c r="C30" s="4"/>
      <c r="D30" s="4"/>
      <c r="E30" s="4"/>
      <c r="F30" s="4"/>
      <c r="G30" s="4"/>
    </row>
    <row r="31" spans="1:7" x14ac:dyDescent="0.3">
      <c r="A31" s="3" t="s">
        <v>38</v>
      </c>
      <c r="B31" s="4"/>
      <c r="C31" s="4"/>
      <c r="D31" s="4"/>
      <c r="E31" s="4"/>
      <c r="F31" s="4"/>
      <c r="G31" s="4"/>
    </row>
    <row r="32" spans="1:7" x14ac:dyDescent="0.3">
      <c r="A32" s="3" t="s">
        <v>39</v>
      </c>
      <c r="B32" s="4"/>
      <c r="C32" s="4"/>
      <c r="D32" s="4"/>
      <c r="E32" s="4"/>
      <c r="F32" s="4"/>
      <c r="G32" s="4"/>
    </row>
    <row r="33" spans="1:7" x14ac:dyDescent="0.3">
      <c r="A33" s="3" t="s">
        <v>40</v>
      </c>
      <c r="B33" s="4"/>
      <c r="C33" s="4"/>
      <c r="D33" s="4"/>
      <c r="E33" s="4"/>
      <c r="F33" s="4"/>
      <c r="G33" s="4"/>
    </row>
    <row r="34" spans="1:7" x14ac:dyDescent="0.3">
      <c r="A34" s="3" t="s">
        <v>41</v>
      </c>
      <c r="B34" s="4"/>
      <c r="C34" s="4"/>
      <c r="D34" s="4"/>
      <c r="E34" s="4"/>
      <c r="F34" s="4"/>
      <c r="G34" s="4"/>
    </row>
    <row r="35" spans="1:7" x14ac:dyDescent="0.3">
      <c r="A35" s="3" t="s">
        <v>42</v>
      </c>
      <c r="B35" s="4"/>
      <c r="C35" s="4"/>
      <c r="D35" s="4"/>
      <c r="E35" s="4"/>
      <c r="F35" s="4"/>
      <c r="G35" s="4"/>
    </row>
    <row r="36" spans="1:7" x14ac:dyDescent="0.3">
      <c r="A36" s="3" t="s">
        <v>43</v>
      </c>
      <c r="B36" s="4"/>
      <c r="C36" s="4"/>
      <c r="D36" s="4"/>
      <c r="E36" s="4"/>
      <c r="F36" s="4"/>
      <c r="G36" s="4"/>
    </row>
    <row r="37" spans="1:7" x14ac:dyDescent="0.3">
      <c r="A37" s="3" t="s">
        <v>44</v>
      </c>
      <c r="B37" s="4"/>
      <c r="C37" s="4"/>
      <c r="D37" s="4"/>
      <c r="E37" s="4"/>
      <c r="F37" s="4"/>
      <c r="G37" s="4"/>
    </row>
    <row r="38" spans="1:7" x14ac:dyDescent="0.3">
      <c r="A38" s="3" t="s">
        <v>45</v>
      </c>
      <c r="B38" s="4"/>
      <c r="C38" s="4"/>
      <c r="D38" s="4"/>
      <c r="E38" s="4"/>
      <c r="F38" s="4"/>
      <c r="G38" s="4"/>
    </row>
    <row r="39" spans="1:7" x14ac:dyDescent="0.3">
      <c r="A39" s="3" t="s">
        <v>46</v>
      </c>
      <c r="B39" s="4"/>
      <c r="C39" s="4"/>
      <c r="D39" s="4"/>
      <c r="E39" s="4"/>
      <c r="F39" s="4"/>
      <c r="G39" s="4"/>
    </row>
    <row r="40" spans="1:7" x14ac:dyDescent="0.3">
      <c r="A40" s="3" t="s">
        <v>47</v>
      </c>
      <c r="B40" s="4"/>
      <c r="C40" s="4"/>
      <c r="D40" s="4"/>
      <c r="E40" s="4"/>
      <c r="F40" s="4"/>
      <c r="G40" s="4"/>
    </row>
    <row r="41" spans="1:7" x14ac:dyDescent="0.3">
      <c r="A41" s="3" t="s">
        <v>48</v>
      </c>
      <c r="B41" s="4"/>
      <c r="C41" s="4"/>
      <c r="D41" s="4"/>
      <c r="E41" s="4"/>
      <c r="F41" s="4"/>
      <c r="G41" s="4"/>
    </row>
    <row r="42" spans="1:7" x14ac:dyDescent="0.3">
      <c r="A42" s="3" t="s">
        <v>49</v>
      </c>
      <c r="B42" s="4"/>
      <c r="C42" s="4"/>
      <c r="D42" s="4"/>
      <c r="E42" s="4"/>
      <c r="F42" s="4"/>
      <c r="G42" s="4"/>
    </row>
    <row r="43" spans="1:7" x14ac:dyDescent="0.3">
      <c r="A43" s="3" t="s">
        <v>50</v>
      </c>
      <c r="B43" s="4"/>
      <c r="C43" s="4"/>
      <c r="D43" s="4"/>
      <c r="E43" s="4"/>
      <c r="F43" s="4"/>
      <c r="G43" s="4"/>
    </row>
    <row r="44" spans="1:7" x14ac:dyDescent="0.3">
      <c r="A44" s="3" t="s">
        <v>51</v>
      </c>
      <c r="B44" s="4"/>
      <c r="C44" s="4"/>
      <c r="D44" s="4"/>
      <c r="E44" s="4"/>
      <c r="F44" s="4"/>
      <c r="G44" s="4"/>
    </row>
    <row r="45" spans="1:7" x14ac:dyDescent="0.3">
      <c r="A45" s="3" t="s">
        <v>52</v>
      </c>
      <c r="B45" s="4"/>
      <c r="C45" s="4"/>
      <c r="D45" s="4"/>
      <c r="E45" s="4"/>
      <c r="F45" s="4"/>
      <c r="G45" s="4"/>
    </row>
    <row r="46" spans="1:7" x14ac:dyDescent="0.3">
      <c r="A46" s="3" t="s">
        <v>53</v>
      </c>
      <c r="B46" s="4"/>
      <c r="C46" s="4"/>
      <c r="D46" s="4"/>
      <c r="E46" s="4"/>
      <c r="F46" s="4"/>
      <c r="G46" s="4"/>
    </row>
    <row r="47" spans="1:7" x14ac:dyDescent="0.3">
      <c r="A47" s="3" t="s">
        <v>54</v>
      </c>
      <c r="B47" s="4"/>
      <c r="C47" s="4"/>
      <c r="D47" s="4"/>
      <c r="E47" s="4"/>
      <c r="F47" s="4"/>
      <c r="G47" s="4"/>
    </row>
    <row r="48" spans="1:7" x14ac:dyDescent="0.3">
      <c r="A48" s="3" t="s">
        <v>55</v>
      </c>
      <c r="B48" s="4"/>
      <c r="C48" s="4"/>
      <c r="D48" s="4"/>
      <c r="E48" s="4"/>
      <c r="F48" s="4"/>
      <c r="G48" s="4"/>
    </row>
    <row r="49" spans="1:7" x14ac:dyDescent="0.3">
      <c r="A49" s="3" t="s">
        <v>56</v>
      </c>
      <c r="B49" s="4"/>
      <c r="C49" s="4"/>
      <c r="D49" s="4"/>
      <c r="E49" s="4"/>
      <c r="F49" s="4"/>
      <c r="G49" s="4"/>
    </row>
    <row r="50" spans="1:7" x14ac:dyDescent="0.3">
      <c r="A50" s="3" t="s">
        <v>57</v>
      </c>
      <c r="B50" s="4"/>
      <c r="C50" s="4"/>
      <c r="D50" s="4"/>
      <c r="E50" s="4"/>
      <c r="F50" s="4"/>
      <c r="G50" s="4"/>
    </row>
    <row r="51" spans="1:7" x14ac:dyDescent="0.3">
      <c r="A51" s="3" t="s">
        <v>58</v>
      </c>
      <c r="B51" s="4"/>
      <c r="C51" s="4"/>
      <c r="D51" s="4"/>
      <c r="E51" s="4"/>
      <c r="F51" s="4"/>
      <c r="G51" s="4"/>
    </row>
    <row r="52" spans="1:7" x14ac:dyDescent="0.3">
      <c r="A52" s="3" t="s">
        <v>59</v>
      </c>
      <c r="B52" s="4"/>
      <c r="C52" s="4"/>
      <c r="D52" s="4"/>
      <c r="E52" s="4"/>
      <c r="F52" s="4"/>
      <c r="G52" s="4"/>
    </row>
    <row r="53" spans="1:7" x14ac:dyDescent="0.3">
      <c r="A53" s="3" t="s">
        <v>60</v>
      </c>
      <c r="B53" s="4"/>
      <c r="C53" s="4"/>
      <c r="D53" s="4"/>
      <c r="E53" s="4"/>
      <c r="F53" s="4"/>
      <c r="G53" s="4"/>
    </row>
    <row r="54" spans="1:7" x14ac:dyDescent="0.3">
      <c r="A54" s="3" t="s">
        <v>61</v>
      </c>
      <c r="B54" s="4"/>
      <c r="C54" s="4"/>
      <c r="D54" s="4"/>
      <c r="E54" s="4"/>
      <c r="F54" s="4"/>
      <c r="G54" s="4"/>
    </row>
    <row r="55" spans="1:7" x14ac:dyDescent="0.3">
      <c r="A55" s="3" t="s">
        <v>62</v>
      </c>
      <c r="B55" s="4"/>
      <c r="C55" s="4"/>
      <c r="D55" s="4"/>
      <c r="E55" s="4"/>
      <c r="F55" s="4"/>
      <c r="G55" s="4"/>
    </row>
    <row r="56" spans="1:7" x14ac:dyDescent="0.3">
      <c r="A56" s="3" t="s">
        <v>63</v>
      </c>
      <c r="B56" s="4"/>
      <c r="C56" s="4"/>
      <c r="D56" s="4"/>
      <c r="E56" s="4"/>
      <c r="F56" s="4"/>
      <c r="G56" s="4"/>
    </row>
    <row r="57" spans="1:7" x14ac:dyDescent="0.3">
      <c r="A57" s="3" t="s">
        <v>64</v>
      </c>
      <c r="B57" s="4"/>
      <c r="C57" s="4"/>
      <c r="D57" s="4"/>
      <c r="E57" s="4"/>
      <c r="F57" s="4"/>
      <c r="G57" s="4"/>
    </row>
    <row r="58" spans="1:7" x14ac:dyDescent="0.3">
      <c r="A58" s="3" t="s">
        <v>65</v>
      </c>
      <c r="B58" s="4"/>
      <c r="C58" s="4"/>
      <c r="D58" s="4"/>
      <c r="E58" s="4"/>
      <c r="F58" s="4"/>
      <c r="G58" s="4"/>
    </row>
    <row r="59" spans="1:7" x14ac:dyDescent="0.3">
      <c r="A59" s="3" t="s">
        <v>66</v>
      </c>
      <c r="B59" s="4"/>
      <c r="C59" s="4"/>
      <c r="D59" s="4"/>
      <c r="E59" s="4"/>
      <c r="F59" s="4"/>
      <c r="G59" s="4"/>
    </row>
    <row r="60" spans="1:7" x14ac:dyDescent="0.3">
      <c r="A60" s="3" t="s">
        <v>67</v>
      </c>
      <c r="B60" s="4"/>
      <c r="C60" s="4"/>
      <c r="D60" s="4"/>
      <c r="E60" s="4"/>
      <c r="F60" s="4"/>
      <c r="G60" s="4"/>
    </row>
    <row r="61" spans="1:7" x14ac:dyDescent="0.3">
      <c r="A61" s="3" t="s">
        <v>68</v>
      </c>
      <c r="B61" s="4"/>
      <c r="C61" s="4"/>
      <c r="D61" s="4"/>
      <c r="E61" s="4"/>
      <c r="F61" s="4"/>
      <c r="G61" s="4"/>
    </row>
    <row r="62" spans="1:7" x14ac:dyDescent="0.3">
      <c r="A62" s="3" t="s">
        <v>69</v>
      </c>
      <c r="B62" s="4"/>
      <c r="C62" s="4"/>
      <c r="D62" s="4"/>
      <c r="E62" s="4"/>
      <c r="F62" s="4"/>
      <c r="G62" s="4"/>
    </row>
    <row r="63" spans="1:7" x14ac:dyDescent="0.3">
      <c r="A63" s="3" t="s">
        <v>70</v>
      </c>
      <c r="B63" s="4"/>
      <c r="C63" s="4"/>
      <c r="D63" s="4"/>
      <c r="E63" s="4"/>
      <c r="F63" s="4"/>
      <c r="G63" s="4"/>
    </row>
    <row r="64" spans="1:7" x14ac:dyDescent="0.3">
      <c r="A64" s="3" t="s">
        <v>71</v>
      </c>
      <c r="B64" s="4"/>
      <c r="C64" s="4"/>
      <c r="D64" s="4"/>
      <c r="E64" s="4"/>
      <c r="F64" s="4"/>
      <c r="G64" s="4"/>
    </row>
    <row r="65" spans="1:7" x14ac:dyDescent="0.3">
      <c r="A65" s="3" t="s">
        <v>72</v>
      </c>
      <c r="B65" s="4"/>
      <c r="C65" s="4"/>
      <c r="D65" s="4"/>
      <c r="E65" s="4"/>
      <c r="F65" s="4"/>
      <c r="G65" s="4"/>
    </row>
    <row r="66" spans="1:7" x14ac:dyDescent="0.3">
      <c r="A66" s="3" t="s">
        <v>73</v>
      </c>
      <c r="B66" s="4"/>
      <c r="C66" s="4"/>
      <c r="D66" s="4"/>
      <c r="E66" s="4"/>
      <c r="F66" s="4"/>
      <c r="G66" s="4"/>
    </row>
    <row r="67" spans="1:7" x14ac:dyDescent="0.3">
      <c r="A67" s="3" t="s">
        <v>74</v>
      </c>
      <c r="B67" s="4"/>
      <c r="C67" s="4"/>
      <c r="D67" s="4"/>
      <c r="E67" s="4"/>
      <c r="F67" s="4"/>
      <c r="G67" s="4"/>
    </row>
  </sheetData>
  <autoFilter ref="A1:A67" xr:uid="{62556EA5-9280-4F62-BA62-E6AE57745BE9}"/>
  <mergeCells count="1">
    <mergeCell ref="B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81996-886C-4D8C-BEC1-2B460038DFBA}">
  <dimension ref="A1:G6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2" sqref="C2"/>
    </sheetView>
  </sheetViews>
  <sheetFormatPr defaultColWidth="8.88671875" defaultRowHeight="14.4" x14ac:dyDescent="0.3"/>
  <cols>
    <col min="1" max="1" width="12" style="2" customWidth="1"/>
    <col min="2" max="7" width="8.88671875" style="5"/>
    <col min="8" max="16384" width="8.88671875" style="2"/>
  </cols>
  <sheetData>
    <row r="1" spans="1:7" ht="28.2" customHeight="1" x14ac:dyDescent="0.3">
      <c r="A1" s="17" t="s">
        <v>0</v>
      </c>
      <c r="B1" s="16" t="s">
        <v>21</v>
      </c>
      <c r="C1" s="16"/>
      <c r="D1" s="16"/>
      <c r="E1" s="16"/>
      <c r="F1" s="16"/>
      <c r="G1" s="16"/>
    </row>
    <row r="2" spans="1:7" x14ac:dyDescent="0.3">
      <c r="A2" s="17"/>
      <c r="B2" s="1" t="s">
        <v>1</v>
      </c>
      <c r="C2" s="1" t="s">
        <v>19</v>
      </c>
      <c r="D2" s="1" t="s">
        <v>2</v>
      </c>
      <c r="E2" s="1" t="s">
        <v>3</v>
      </c>
      <c r="F2" s="1" t="s">
        <v>4</v>
      </c>
      <c r="G2" s="1" t="s">
        <v>5</v>
      </c>
    </row>
    <row r="3" spans="1:7" x14ac:dyDescent="0.3">
      <c r="A3" s="3" t="s">
        <v>6</v>
      </c>
      <c r="B3" s="4"/>
      <c r="C3" s="4"/>
      <c r="D3" s="4"/>
      <c r="E3" s="4"/>
      <c r="F3" s="4"/>
      <c r="G3" s="4"/>
    </row>
    <row r="4" spans="1:7" x14ac:dyDescent="0.3">
      <c r="A4" s="3" t="s">
        <v>7</v>
      </c>
      <c r="B4" s="4"/>
      <c r="C4" s="4"/>
      <c r="D4" s="4"/>
      <c r="E4" s="4"/>
      <c r="F4" s="4"/>
      <c r="G4" s="4"/>
    </row>
    <row r="5" spans="1:7" x14ac:dyDescent="0.3">
      <c r="A5" s="3" t="s">
        <v>8</v>
      </c>
      <c r="B5" s="4"/>
      <c r="C5" s="4"/>
      <c r="D5" s="4"/>
      <c r="E5" s="4"/>
      <c r="F5" s="4"/>
      <c r="G5" s="4"/>
    </row>
    <row r="6" spans="1:7" x14ac:dyDescent="0.3">
      <c r="A6" s="3" t="s">
        <v>9</v>
      </c>
      <c r="B6" s="4"/>
      <c r="C6" s="4"/>
      <c r="D6" s="4"/>
      <c r="E6" s="4"/>
      <c r="F6" s="4"/>
      <c r="G6" s="4"/>
    </row>
    <row r="7" spans="1:7" x14ac:dyDescent="0.3">
      <c r="A7" s="3" t="s">
        <v>10</v>
      </c>
      <c r="B7" s="4"/>
      <c r="C7" s="4"/>
      <c r="D7" s="4"/>
      <c r="E7" s="4"/>
      <c r="F7" s="4"/>
      <c r="G7" s="4"/>
    </row>
    <row r="8" spans="1:7" x14ac:dyDescent="0.3">
      <c r="A8" s="3" t="s">
        <v>11</v>
      </c>
      <c r="B8" s="4"/>
      <c r="C8" s="4"/>
      <c r="D8" s="4"/>
      <c r="E8" s="4"/>
      <c r="F8" s="4"/>
      <c r="G8" s="4"/>
    </row>
    <row r="9" spans="1:7" x14ac:dyDescent="0.3">
      <c r="A9" s="3" t="s">
        <v>12</v>
      </c>
      <c r="B9" s="4"/>
      <c r="C9" s="4"/>
      <c r="D9" s="4"/>
      <c r="E9" s="4"/>
      <c r="F9" s="4"/>
      <c r="G9" s="4"/>
    </row>
    <row r="10" spans="1:7" x14ac:dyDescent="0.3">
      <c r="A10" s="3" t="s">
        <v>13</v>
      </c>
      <c r="B10" s="4"/>
      <c r="C10" s="4"/>
      <c r="D10" s="4"/>
      <c r="E10" s="4"/>
      <c r="F10" s="4"/>
      <c r="G10" s="4"/>
    </row>
    <row r="11" spans="1:7" x14ac:dyDescent="0.3">
      <c r="A11" s="3" t="s">
        <v>14</v>
      </c>
      <c r="B11" s="4"/>
      <c r="C11" s="4"/>
      <c r="D11" s="4"/>
      <c r="E11" s="4"/>
      <c r="F11" s="4"/>
      <c r="G11" s="4"/>
    </row>
    <row r="12" spans="1:7" x14ac:dyDescent="0.3">
      <c r="A12" s="3" t="s">
        <v>15</v>
      </c>
      <c r="B12" s="4"/>
      <c r="C12" s="4"/>
      <c r="D12" s="4"/>
      <c r="E12" s="4"/>
      <c r="F12" s="4"/>
      <c r="G12" s="4"/>
    </row>
    <row r="13" spans="1:7" x14ac:dyDescent="0.3">
      <c r="A13" s="3" t="s">
        <v>16</v>
      </c>
      <c r="B13" s="4"/>
      <c r="C13" s="4"/>
      <c r="D13" s="4"/>
      <c r="E13" s="4"/>
      <c r="F13" s="4"/>
      <c r="G13" s="4"/>
    </row>
    <row r="14" spans="1:7" x14ac:dyDescent="0.3">
      <c r="A14" s="3" t="s">
        <v>17</v>
      </c>
      <c r="B14" s="4"/>
      <c r="C14" s="4"/>
      <c r="D14" s="4"/>
      <c r="E14" s="4"/>
      <c r="F14" s="4"/>
      <c r="G14" s="4"/>
    </row>
    <row r="15" spans="1:7" x14ac:dyDescent="0.3">
      <c r="A15" s="3" t="s">
        <v>18</v>
      </c>
      <c r="B15" s="4"/>
      <c r="C15" s="4"/>
      <c r="D15" s="4"/>
      <c r="E15" s="4"/>
      <c r="F15" s="4"/>
      <c r="G15" s="4"/>
    </row>
    <row r="16" spans="1:7" x14ac:dyDescent="0.3">
      <c r="A16" s="3" t="s">
        <v>23</v>
      </c>
      <c r="B16" s="4"/>
      <c r="C16" s="4"/>
      <c r="D16" s="4"/>
      <c r="E16" s="4"/>
      <c r="F16" s="4"/>
      <c r="G16" s="4"/>
    </row>
    <row r="17" spans="1:7" x14ac:dyDescent="0.3">
      <c r="A17" s="3" t="s">
        <v>24</v>
      </c>
      <c r="B17" s="4"/>
      <c r="C17" s="4"/>
      <c r="D17" s="4"/>
      <c r="E17" s="4"/>
      <c r="F17" s="4"/>
      <c r="G17" s="4"/>
    </row>
    <row r="18" spans="1:7" x14ac:dyDescent="0.3">
      <c r="A18" s="3" t="s">
        <v>25</v>
      </c>
      <c r="B18" s="4"/>
      <c r="C18" s="4"/>
      <c r="D18" s="4"/>
      <c r="E18" s="4"/>
      <c r="F18" s="4"/>
      <c r="G18" s="4"/>
    </row>
    <row r="19" spans="1:7" x14ac:dyDescent="0.3">
      <c r="A19" s="3" t="s">
        <v>26</v>
      </c>
      <c r="B19" s="4"/>
      <c r="C19" s="4"/>
      <c r="D19" s="4"/>
      <c r="E19" s="4"/>
      <c r="F19" s="4"/>
      <c r="G19" s="4"/>
    </row>
    <row r="20" spans="1:7" x14ac:dyDescent="0.3">
      <c r="A20" s="3" t="s">
        <v>27</v>
      </c>
      <c r="B20" s="4"/>
      <c r="C20" s="4"/>
      <c r="D20" s="4"/>
      <c r="E20" s="4"/>
      <c r="F20" s="4"/>
      <c r="G20" s="4"/>
    </row>
    <row r="21" spans="1:7" x14ac:dyDescent="0.3">
      <c r="A21" s="3" t="s">
        <v>28</v>
      </c>
      <c r="B21" s="4"/>
      <c r="C21" s="4"/>
      <c r="D21" s="4"/>
      <c r="E21" s="4"/>
      <c r="F21" s="4"/>
      <c r="G21" s="4"/>
    </row>
    <row r="22" spans="1:7" x14ac:dyDescent="0.3">
      <c r="A22" s="3" t="s">
        <v>29</v>
      </c>
      <c r="B22" s="4"/>
      <c r="C22" s="4"/>
      <c r="D22" s="4"/>
      <c r="E22" s="4"/>
      <c r="F22" s="4"/>
      <c r="G22" s="4"/>
    </row>
    <row r="23" spans="1:7" x14ac:dyDescent="0.3">
      <c r="A23" s="3" t="s">
        <v>30</v>
      </c>
      <c r="B23" s="4"/>
      <c r="C23" s="4"/>
      <c r="D23" s="4"/>
      <c r="E23" s="4"/>
      <c r="F23" s="4"/>
      <c r="G23" s="4"/>
    </row>
    <row r="24" spans="1:7" x14ac:dyDescent="0.3">
      <c r="A24" s="3" t="s">
        <v>31</v>
      </c>
      <c r="B24" s="4"/>
      <c r="C24" s="4"/>
      <c r="D24" s="4"/>
      <c r="E24" s="4"/>
      <c r="F24" s="4"/>
      <c r="G24" s="4"/>
    </row>
    <row r="25" spans="1:7" x14ac:dyDescent="0.3">
      <c r="A25" s="3" t="s">
        <v>32</v>
      </c>
      <c r="B25" s="4"/>
      <c r="C25" s="4"/>
      <c r="D25" s="4"/>
      <c r="E25" s="4"/>
      <c r="F25" s="4"/>
      <c r="G25" s="4"/>
    </row>
    <row r="26" spans="1:7" x14ac:dyDescent="0.3">
      <c r="A26" s="3" t="s">
        <v>33</v>
      </c>
      <c r="B26" s="4"/>
      <c r="C26" s="4"/>
      <c r="D26" s="4"/>
      <c r="E26" s="4"/>
      <c r="F26" s="4"/>
      <c r="G26" s="4"/>
    </row>
    <row r="27" spans="1:7" x14ac:dyDescent="0.3">
      <c r="A27" s="3" t="s">
        <v>34</v>
      </c>
      <c r="B27" s="4"/>
      <c r="C27" s="4"/>
      <c r="D27" s="4"/>
      <c r="E27" s="4"/>
      <c r="F27" s="4"/>
      <c r="G27" s="4"/>
    </row>
    <row r="28" spans="1:7" x14ac:dyDescent="0.3">
      <c r="A28" s="3" t="s">
        <v>35</v>
      </c>
      <c r="B28" s="4"/>
      <c r="C28" s="4"/>
      <c r="D28" s="4"/>
      <c r="E28" s="4"/>
      <c r="F28" s="4"/>
      <c r="G28" s="4"/>
    </row>
    <row r="29" spans="1:7" x14ac:dyDescent="0.3">
      <c r="A29" s="3" t="s">
        <v>36</v>
      </c>
      <c r="B29" s="4"/>
      <c r="C29" s="4"/>
      <c r="D29" s="4"/>
      <c r="E29" s="4"/>
      <c r="F29" s="4"/>
      <c r="G29" s="4"/>
    </row>
    <row r="30" spans="1:7" x14ac:dyDescent="0.3">
      <c r="A30" s="3" t="s">
        <v>37</v>
      </c>
      <c r="B30" s="4"/>
      <c r="C30" s="4"/>
      <c r="D30" s="4"/>
      <c r="E30" s="4"/>
      <c r="F30" s="4"/>
      <c r="G30" s="4"/>
    </row>
    <row r="31" spans="1:7" x14ac:dyDescent="0.3">
      <c r="A31" s="3" t="s">
        <v>38</v>
      </c>
      <c r="B31" s="4"/>
      <c r="C31" s="4"/>
      <c r="D31" s="4"/>
      <c r="E31" s="4"/>
      <c r="F31" s="4"/>
      <c r="G31" s="4"/>
    </row>
    <row r="32" spans="1:7" x14ac:dyDescent="0.3">
      <c r="A32" s="3" t="s">
        <v>39</v>
      </c>
      <c r="B32" s="4"/>
      <c r="C32" s="4"/>
      <c r="D32" s="4"/>
      <c r="E32" s="4"/>
      <c r="F32" s="4"/>
      <c r="G32" s="4"/>
    </row>
    <row r="33" spans="1:7" x14ac:dyDescent="0.3">
      <c r="A33" s="3" t="s">
        <v>40</v>
      </c>
      <c r="B33" s="4"/>
      <c r="C33" s="4"/>
      <c r="D33" s="4"/>
      <c r="E33" s="4"/>
      <c r="F33" s="4"/>
      <c r="G33" s="4"/>
    </row>
    <row r="34" spans="1:7" x14ac:dyDescent="0.3">
      <c r="A34" s="3" t="s">
        <v>41</v>
      </c>
      <c r="B34" s="4"/>
      <c r="C34" s="4"/>
      <c r="D34" s="4"/>
      <c r="E34" s="4"/>
      <c r="F34" s="4"/>
      <c r="G34" s="4"/>
    </row>
    <row r="35" spans="1:7" x14ac:dyDescent="0.3">
      <c r="A35" s="3" t="s">
        <v>42</v>
      </c>
      <c r="B35" s="4"/>
      <c r="C35" s="4"/>
      <c r="D35" s="4"/>
      <c r="E35" s="4"/>
      <c r="F35" s="4"/>
      <c r="G35" s="4"/>
    </row>
    <row r="36" spans="1:7" x14ac:dyDescent="0.3">
      <c r="A36" s="3" t="s">
        <v>43</v>
      </c>
      <c r="B36" s="4"/>
      <c r="C36" s="4"/>
      <c r="D36" s="4"/>
      <c r="E36" s="4"/>
      <c r="F36" s="4"/>
      <c r="G36" s="4"/>
    </row>
    <row r="37" spans="1:7" x14ac:dyDescent="0.3">
      <c r="A37" s="3" t="s">
        <v>44</v>
      </c>
      <c r="B37" s="4"/>
      <c r="C37" s="4"/>
      <c r="D37" s="4"/>
      <c r="E37" s="4"/>
      <c r="F37" s="4"/>
      <c r="G37" s="4"/>
    </row>
    <row r="38" spans="1:7" x14ac:dyDescent="0.3">
      <c r="A38" s="3" t="s">
        <v>45</v>
      </c>
      <c r="B38" s="4"/>
      <c r="C38" s="4"/>
      <c r="D38" s="4"/>
      <c r="E38" s="4"/>
      <c r="F38" s="4"/>
      <c r="G38" s="4"/>
    </row>
    <row r="39" spans="1:7" x14ac:dyDescent="0.3">
      <c r="A39" s="3" t="s">
        <v>46</v>
      </c>
      <c r="B39" s="4"/>
      <c r="C39" s="4"/>
      <c r="D39" s="4"/>
      <c r="E39" s="4"/>
      <c r="F39" s="4"/>
      <c r="G39" s="4"/>
    </row>
    <row r="40" spans="1:7" x14ac:dyDescent="0.3">
      <c r="A40" s="3" t="s">
        <v>47</v>
      </c>
      <c r="B40" s="4"/>
      <c r="C40" s="4"/>
      <c r="D40" s="4"/>
      <c r="E40" s="4"/>
      <c r="F40" s="4"/>
      <c r="G40" s="4"/>
    </row>
    <row r="41" spans="1:7" x14ac:dyDescent="0.3">
      <c r="A41" s="3" t="s">
        <v>48</v>
      </c>
      <c r="B41" s="4"/>
      <c r="C41" s="4"/>
      <c r="D41" s="4"/>
      <c r="E41" s="4"/>
      <c r="F41" s="4"/>
      <c r="G41" s="4"/>
    </row>
    <row r="42" spans="1:7" x14ac:dyDescent="0.3">
      <c r="A42" s="3" t="s">
        <v>49</v>
      </c>
      <c r="B42" s="4"/>
      <c r="C42" s="4"/>
      <c r="D42" s="4"/>
      <c r="E42" s="4"/>
      <c r="F42" s="4"/>
      <c r="G42" s="4"/>
    </row>
    <row r="43" spans="1:7" x14ac:dyDescent="0.3">
      <c r="A43" s="3" t="s">
        <v>50</v>
      </c>
      <c r="B43" s="4"/>
      <c r="C43" s="4"/>
      <c r="D43" s="4"/>
      <c r="E43" s="4"/>
      <c r="F43" s="4"/>
      <c r="G43" s="4"/>
    </row>
    <row r="44" spans="1:7" x14ac:dyDescent="0.3">
      <c r="A44" s="3" t="s">
        <v>51</v>
      </c>
      <c r="B44" s="4"/>
      <c r="C44" s="4"/>
      <c r="D44" s="4"/>
      <c r="E44" s="4"/>
      <c r="F44" s="4"/>
      <c r="G44" s="4"/>
    </row>
    <row r="45" spans="1:7" x14ac:dyDescent="0.3">
      <c r="A45" s="3" t="s">
        <v>52</v>
      </c>
      <c r="B45" s="4"/>
      <c r="C45" s="4"/>
      <c r="D45" s="4"/>
      <c r="E45" s="4"/>
      <c r="F45" s="4"/>
      <c r="G45" s="4"/>
    </row>
    <row r="46" spans="1:7" x14ac:dyDescent="0.3">
      <c r="A46" s="3" t="s">
        <v>53</v>
      </c>
      <c r="B46" s="4"/>
      <c r="C46" s="4"/>
      <c r="D46" s="4"/>
      <c r="E46" s="4"/>
      <c r="F46" s="4"/>
      <c r="G46" s="4"/>
    </row>
    <row r="47" spans="1:7" x14ac:dyDescent="0.3">
      <c r="A47" s="3" t="s">
        <v>54</v>
      </c>
      <c r="B47" s="4"/>
      <c r="C47" s="4"/>
      <c r="D47" s="4"/>
      <c r="E47" s="4"/>
      <c r="F47" s="4"/>
      <c r="G47" s="4"/>
    </row>
    <row r="48" spans="1:7" x14ac:dyDescent="0.3">
      <c r="A48" s="3" t="s">
        <v>55</v>
      </c>
      <c r="B48" s="4"/>
      <c r="C48" s="4"/>
      <c r="D48" s="4"/>
      <c r="E48" s="4"/>
      <c r="F48" s="4"/>
      <c r="G48" s="4"/>
    </row>
    <row r="49" spans="1:7" x14ac:dyDescent="0.3">
      <c r="A49" s="3" t="s">
        <v>56</v>
      </c>
      <c r="B49" s="4"/>
      <c r="C49" s="4"/>
      <c r="D49" s="4"/>
      <c r="E49" s="4"/>
      <c r="F49" s="4"/>
      <c r="G49" s="4"/>
    </row>
    <row r="50" spans="1:7" x14ac:dyDescent="0.3">
      <c r="A50" s="3" t="s">
        <v>57</v>
      </c>
      <c r="B50" s="4"/>
      <c r="C50" s="4"/>
      <c r="D50" s="4"/>
      <c r="E50" s="4"/>
      <c r="F50" s="4"/>
      <c r="G50" s="4"/>
    </row>
    <row r="51" spans="1:7" x14ac:dyDescent="0.3">
      <c r="A51" s="3" t="s">
        <v>58</v>
      </c>
      <c r="B51" s="4"/>
      <c r="C51" s="4"/>
      <c r="D51" s="4"/>
      <c r="E51" s="4"/>
      <c r="F51" s="4"/>
      <c r="G51" s="4"/>
    </row>
    <row r="52" spans="1:7" x14ac:dyDescent="0.3">
      <c r="A52" s="3" t="s">
        <v>59</v>
      </c>
      <c r="B52" s="4"/>
      <c r="C52" s="4"/>
      <c r="D52" s="4"/>
      <c r="E52" s="4"/>
      <c r="F52" s="4"/>
      <c r="G52" s="4"/>
    </row>
    <row r="53" spans="1:7" x14ac:dyDescent="0.3">
      <c r="A53" s="3" t="s">
        <v>60</v>
      </c>
      <c r="B53" s="4"/>
      <c r="C53" s="4"/>
      <c r="D53" s="4"/>
      <c r="E53" s="4"/>
      <c r="F53" s="4"/>
      <c r="G53" s="4"/>
    </row>
    <row r="54" spans="1:7" x14ac:dyDescent="0.3">
      <c r="A54" s="3" t="s">
        <v>61</v>
      </c>
      <c r="B54" s="4"/>
      <c r="C54" s="4"/>
      <c r="D54" s="4"/>
      <c r="E54" s="4"/>
      <c r="F54" s="4"/>
      <c r="G54" s="4"/>
    </row>
    <row r="55" spans="1:7" x14ac:dyDescent="0.3">
      <c r="A55" s="3" t="s">
        <v>62</v>
      </c>
      <c r="B55" s="4"/>
      <c r="C55" s="4"/>
      <c r="D55" s="4"/>
      <c r="E55" s="4"/>
      <c r="F55" s="4"/>
      <c r="G55" s="4"/>
    </row>
    <row r="56" spans="1:7" x14ac:dyDescent="0.3">
      <c r="A56" s="3" t="s">
        <v>63</v>
      </c>
      <c r="B56" s="4"/>
      <c r="C56" s="4"/>
      <c r="D56" s="4"/>
      <c r="E56" s="4"/>
      <c r="F56" s="4"/>
      <c r="G56" s="4"/>
    </row>
    <row r="57" spans="1:7" x14ac:dyDescent="0.3">
      <c r="A57" s="3" t="s">
        <v>64</v>
      </c>
      <c r="B57" s="4"/>
      <c r="C57" s="4"/>
      <c r="D57" s="4"/>
      <c r="E57" s="4"/>
      <c r="F57" s="4"/>
      <c r="G57" s="4"/>
    </row>
    <row r="58" spans="1:7" x14ac:dyDescent="0.3">
      <c r="A58" s="3" t="s">
        <v>65</v>
      </c>
      <c r="B58" s="4"/>
      <c r="C58" s="4"/>
      <c r="D58" s="4"/>
      <c r="E58" s="4"/>
      <c r="F58" s="4"/>
      <c r="G58" s="4"/>
    </row>
    <row r="59" spans="1:7" x14ac:dyDescent="0.3">
      <c r="A59" s="3" t="s">
        <v>66</v>
      </c>
      <c r="B59" s="4"/>
      <c r="C59" s="4"/>
      <c r="D59" s="4"/>
      <c r="E59" s="4"/>
      <c r="F59" s="4"/>
      <c r="G59" s="4"/>
    </row>
    <row r="60" spans="1:7" x14ac:dyDescent="0.3">
      <c r="A60" s="3" t="s">
        <v>67</v>
      </c>
      <c r="B60" s="4"/>
      <c r="C60" s="4"/>
      <c r="D60" s="4"/>
      <c r="E60" s="4"/>
      <c r="F60" s="4"/>
      <c r="G60" s="4"/>
    </row>
    <row r="61" spans="1:7" x14ac:dyDescent="0.3">
      <c r="A61" s="3" t="s">
        <v>68</v>
      </c>
      <c r="B61" s="4"/>
      <c r="C61" s="4"/>
      <c r="D61" s="4"/>
      <c r="E61" s="4"/>
      <c r="F61" s="4"/>
      <c r="G61" s="4"/>
    </row>
    <row r="62" spans="1:7" x14ac:dyDescent="0.3">
      <c r="A62" s="3" t="s">
        <v>69</v>
      </c>
      <c r="B62" s="4"/>
      <c r="C62" s="4"/>
      <c r="D62" s="4"/>
      <c r="E62" s="4"/>
      <c r="F62" s="4"/>
      <c r="G62" s="4"/>
    </row>
    <row r="63" spans="1:7" x14ac:dyDescent="0.3">
      <c r="A63" s="3" t="s">
        <v>70</v>
      </c>
      <c r="B63" s="4"/>
      <c r="C63" s="4"/>
      <c r="D63" s="4"/>
      <c r="E63" s="4"/>
      <c r="F63" s="4"/>
      <c r="G63" s="4"/>
    </row>
    <row r="64" spans="1:7" x14ac:dyDescent="0.3">
      <c r="A64" s="3" t="s">
        <v>71</v>
      </c>
      <c r="B64" s="4"/>
      <c r="C64" s="4"/>
      <c r="D64" s="4"/>
      <c r="E64" s="4"/>
      <c r="F64" s="4"/>
      <c r="G64" s="4"/>
    </row>
    <row r="65" spans="1:7" x14ac:dyDescent="0.3">
      <c r="A65" s="3" t="s">
        <v>72</v>
      </c>
      <c r="B65" s="4"/>
      <c r="C65" s="4"/>
      <c r="D65" s="4"/>
      <c r="E65" s="4"/>
      <c r="F65" s="4"/>
      <c r="G65" s="4"/>
    </row>
    <row r="66" spans="1:7" x14ac:dyDescent="0.3">
      <c r="A66" s="3" t="s">
        <v>73</v>
      </c>
      <c r="B66" s="4"/>
      <c r="C66" s="4"/>
      <c r="D66" s="4"/>
      <c r="E66" s="4"/>
      <c r="F66" s="4"/>
      <c r="G66" s="4"/>
    </row>
    <row r="67" spans="1:7" x14ac:dyDescent="0.3">
      <c r="A67" s="3" t="s">
        <v>74</v>
      </c>
      <c r="B67" s="4"/>
      <c r="C67" s="4"/>
      <c r="D67" s="4"/>
      <c r="E67" s="4"/>
      <c r="F67" s="4"/>
      <c r="G67" s="4"/>
    </row>
  </sheetData>
  <autoFilter ref="A1:A67" xr:uid="{2C581996-886C-4D8C-BEC1-2B460038DFBA}"/>
  <mergeCells count="2">
    <mergeCell ref="A1:A2"/>
    <mergeCell ref="B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5A9C9-7BCA-4579-A9F4-D129BE14F501}">
  <dimension ref="A1:G67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M31" sqref="M31"/>
    </sheetView>
  </sheetViews>
  <sheetFormatPr defaultColWidth="8.88671875" defaultRowHeight="14.4" x14ac:dyDescent="0.3"/>
  <cols>
    <col min="1" max="1" width="16.77734375" style="2" customWidth="1"/>
    <col min="2" max="7" width="8.88671875" style="5"/>
    <col min="8" max="16384" width="8.88671875" style="2"/>
  </cols>
  <sheetData>
    <row r="1" spans="1:7" ht="28.8" customHeight="1" x14ac:dyDescent="0.3">
      <c r="A1" s="7" t="s">
        <v>0</v>
      </c>
      <c r="B1" s="16" t="s">
        <v>22</v>
      </c>
      <c r="C1" s="16"/>
      <c r="D1" s="16"/>
      <c r="E1" s="16"/>
      <c r="F1" s="16"/>
      <c r="G1" s="16"/>
    </row>
    <row r="2" spans="1:7" x14ac:dyDescent="0.3">
      <c r="A2" s="6"/>
      <c r="B2" s="1" t="s">
        <v>1</v>
      </c>
      <c r="C2" s="1" t="s">
        <v>19</v>
      </c>
      <c r="D2" s="1" t="s">
        <v>2</v>
      </c>
      <c r="E2" s="1" t="s">
        <v>3</v>
      </c>
      <c r="F2" s="1" t="s">
        <v>4</v>
      </c>
      <c r="G2" s="1" t="s">
        <v>5</v>
      </c>
    </row>
    <row r="3" spans="1:7" x14ac:dyDescent="0.3">
      <c r="A3" s="3" t="s">
        <v>6</v>
      </c>
      <c r="B3" s="4"/>
      <c r="C3" s="4"/>
      <c r="D3" s="4"/>
      <c r="E3" s="4"/>
      <c r="F3" s="4"/>
      <c r="G3" s="4"/>
    </row>
    <row r="4" spans="1:7" x14ac:dyDescent="0.3">
      <c r="A4" s="3" t="s">
        <v>7</v>
      </c>
      <c r="B4" s="4"/>
      <c r="C4" s="4"/>
      <c r="D4" s="4"/>
      <c r="E4" s="4"/>
      <c r="F4" s="4"/>
      <c r="G4" s="4"/>
    </row>
    <row r="5" spans="1:7" x14ac:dyDescent="0.3">
      <c r="A5" s="3" t="s">
        <v>8</v>
      </c>
      <c r="B5" s="4"/>
      <c r="C5" s="4"/>
      <c r="D5" s="4"/>
      <c r="E5" s="4"/>
      <c r="F5" s="4"/>
      <c r="G5" s="4"/>
    </row>
    <row r="6" spans="1:7" x14ac:dyDescent="0.3">
      <c r="A6" s="3" t="s">
        <v>9</v>
      </c>
      <c r="B6" s="4"/>
      <c r="C6" s="4"/>
      <c r="D6" s="4"/>
      <c r="E6" s="4"/>
      <c r="F6" s="4"/>
      <c r="G6" s="4"/>
    </row>
    <row r="7" spans="1:7" x14ac:dyDescent="0.3">
      <c r="A7" s="3" t="s">
        <v>10</v>
      </c>
      <c r="B7" s="4"/>
      <c r="C7" s="4"/>
      <c r="D7" s="4"/>
      <c r="E7" s="4"/>
      <c r="F7" s="4"/>
      <c r="G7" s="4"/>
    </row>
    <row r="8" spans="1:7" x14ac:dyDescent="0.3">
      <c r="A8" s="3" t="s">
        <v>11</v>
      </c>
      <c r="B8" s="4"/>
      <c r="C8" s="4"/>
      <c r="D8" s="4"/>
      <c r="E8" s="4"/>
      <c r="F8" s="4"/>
      <c r="G8" s="4"/>
    </row>
    <row r="9" spans="1:7" x14ac:dyDescent="0.3">
      <c r="A9" s="3" t="s">
        <v>12</v>
      </c>
      <c r="B9" s="4"/>
      <c r="C9" s="4"/>
      <c r="D9" s="4"/>
      <c r="E9" s="4"/>
      <c r="F9" s="4"/>
      <c r="G9" s="4"/>
    </row>
    <row r="10" spans="1:7" x14ac:dyDescent="0.3">
      <c r="A10" s="3" t="s">
        <v>13</v>
      </c>
      <c r="B10" s="4"/>
      <c r="C10" s="4"/>
      <c r="D10" s="4"/>
      <c r="E10" s="4"/>
      <c r="F10" s="4"/>
      <c r="G10" s="4"/>
    </row>
    <row r="11" spans="1:7" x14ac:dyDescent="0.3">
      <c r="A11" s="3" t="s">
        <v>14</v>
      </c>
      <c r="B11" s="4"/>
      <c r="C11" s="4"/>
      <c r="D11" s="4"/>
      <c r="E11" s="4"/>
      <c r="F11" s="4"/>
      <c r="G11" s="4"/>
    </row>
    <row r="12" spans="1:7" x14ac:dyDescent="0.3">
      <c r="A12" s="3" t="s">
        <v>15</v>
      </c>
      <c r="B12" s="4"/>
      <c r="C12" s="4"/>
      <c r="D12" s="4"/>
      <c r="E12" s="4"/>
      <c r="F12" s="4"/>
      <c r="G12" s="4"/>
    </row>
    <row r="13" spans="1:7" x14ac:dyDescent="0.3">
      <c r="A13" s="3" t="s">
        <v>16</v>
      </c>
      <c r="B13" s="4"/>
      <c r="C13" s="4"/>
      <c r="D13" s="4"/>
      <c r="E13" s="4"/>
      <c r="F13" s="4"/>
      <c r="G13" s="4"/>
    </row>
    <row r="14" spans="1:7" x14ac:dyDescent="0.3">
      <c r="A14" s="3" t="s">
        <v>17</v>
      </c>
      <c r="B14" s="4"/>
      <c r="C14" s="4"/>
      <c r="D14" s="4"/>
      <c r="E14" s="4"/>
      <c r="F14" s="4"/>
      <c r="G14" s="4"/>
    </row>
    <row r="15" spans="1:7" x14ac:dyDescent="0.3">
      <c r="A15" s="3" t="s">
        <v>18</v>
      </c>
      <c r="B15" s="4"/>
      <c r="C15" s="4"/>
      <c r="D15" s="4"/>
      <c r="E15" s="4"/>
      <c r="F15" s="4"/>
      <c r="G15" s="4"/>
    </row>
    <row r="16" spans="1:7" x14ac:dyDescent="0.3">
      <c r="A16" s="3" t="s">
        <v>23</v>
      </c>
      <c r="B16" s="4"/>
      <c r="C16" s="4"/>
      <c r="D16" s="4"/>
      <c r="E16" s="4"/>
      <c r="F16" s="4"/>
      <c r="G16" s="4"/>
    </row>
    <row r="17" spans="1:7" x14ac:dyDescent="0.3">
      <c r="A17" s="3" t="s">
        <v>24</v>
      </c>
      <c r="B17" s="4"/>
      <c r="C17" s="4"/>
      <c r="D17" s="4"/>
      <c r="E17" s="4"/>
      <c r="F17" s="4"/>
      <c r="G17" s="4"/>
    </row>
    <row r="18" spans="1:7" x14ac:dyDescent="0.3">
      <c r="A18" s="3" t="s">
        <v>25</v>
      </c>
      <c r="B18" s="4"/>
      <c r="C18" s="4"/>
      <c r="D18" s="4"/>
      <c r="E18" s="4"/>
      <c r="F18" s="4"/>
      <c r="G18" s="4"/>
    </row>
    <row r="19" spans="1:7" x14ac:dyDescent="0.3">
      <c r="A19" s="3" t="s">
        <v>26</v>
      </c>
      <c r="B19" s="4"/>
      <c r="C19" s="4"/>
      <c r="D19" s="4"/>
      <c r="E19" s="4"/>
      <c r="F19" s="4"/>
      <c r="G19" s="4"/>
    </row>
    <row r="20" spans="1:7" x14ac:dyDescent="0.3">
      <c r="A20" s="3" t="s">
        <v>27</v>
      </c>
      <c r="B20" s="4"/>
      <c r="C20" s="4"/>
      <c r="D20" s="4"/>
      <c r="E20" s="4"/>
      <c r="F20" s="4"/>
      <c r="G20" s="4"/>
    </row>
    <row r="21" spans="1:7" x14ac:dyDescent="0.3">
      <c r="A21" s="3" t="s">
        <v>28</v>
      </c>
      <c r="B21" s="4"/>
      <c r="C21" s="4"/>
      <c r="D21" s="4"/>
      <c r="E21" s="4"/>
      <c r="F21" s="4"/>
      <c r="G21" s="4"/>
    </row>
    <row r="22" spans="1:7" x14ac:dyDescent="0.3">
      <c r="A22" s="3" t="s">
        <v>29</v>
      </c>
      <c r="B22" s="4"/>
      <c r="C22" s="4"/>
      <c r="D22" s="4"/>
      <c r="E22" s="4"/>
      <c r="F22" s="4"/>
      <c r="G22" s="4"/>
    </row>
    <row r="23" spans="1:7" x14ac:dyDescent="0.3">
      <c r="A23" s="3" t="s">
        <v>30</v>
      </c>
      <c r="B23" s="4"/>
      <c r="C23" s="4"/>
      <c r="D23" s="4"/>
      <c r="E23" s="4"/>
      <c r="F23" s="4"/>
      <c r="G23" s="4"/>
    </row>
    <row r="24" spans="1:7" x14ac:dyDescent="0.3">
      <c r="A24" s="3" t="s">
        <v>31</v>
      </c>
      <c r="B24" s="4"/>
      <c r="C24" s="4"/>
      <c r="D24" s="4"/>
      <c r="E24" s="4"/>
      <c r="F24" s="4"/>
      <c r="G24" s="4"/>
    </row>
    <row r="25" spans="1:7" x14ac:dyDescent="0.3">
      <c r="A25" s="3" t="s">
        <v>32</v>
      </c>
      <c r="B25" s="4"/>
      <c r="C25" s="4"/>
      <c r="D25" s="4"/>
      <c r="E25" s="4"/>
      <c r="F25" s="4"/>
      <c r="G25" s="4"/>
    </row>
    <row r="26" spans="1:7" x14ac:dyDescent="0.3">
      <c r="A26" s="3" t="s">
        <v>33</v>
      </c>
      <c r="B26" s="4"/>
      <c r="C26" s="4"/>
      <c r="D26" s="4"/>
      <c r="E26" s="4"/>
      <c r="F26" s="4"/>
      <c r="G26" s="4"/>
    </row>
    <row r="27" spans="1:7" x14ac:dyDescent="0.3">
      <c r="A27" s="3" t="s">
        <v>34</v>
      </c>
      <c r="B27" s="4"/>
      <c r="C27" s="4"/>
      <c r="D27" s="4"/>
      <c r="E27" s="4"/>
      <c r="F27" s="4"/>
      <c r="G27" s="4"/>
    </row>
    <row r="28" spans="1:7" x14ac:dyDescent="0.3">
      <c r="A28" s="3" t="s">
        <v>35</v>
      </c>
      <c r="B28" s="4"/>
      <c r="C28" s="4"/>
      <c r="D28" s="4"/>
      <c r="E28" s="4"/>
      <c r="F28" s="4"/>
      <c r="G28" s="4"/>
    </row>
    <row r="29" spans="1:7" x14ac:dyDescent="0.3">
      <c r="A29" s="3" t="s">
        <v>36</v>
      </c>
      <c r="B29" s="4"/>
      <c r="C29" s="4"/>
      <c r="D29" s="4"/>
      <c r="E29" s="4"/>
      <c r="F29" s="4"/>
      <c r="G29" s="4"/>
    </row>
    <row r="30" spans="1:7" x14ac:dyDescent="0.3">
      <c r="A30" s="3" t="s">
        <v>37</v>
      </c>
      <c r="B30" s="4"/>
      <c r="C30" s="4"/>
      <c r="D30" s="4"/>
      <c r="E30" s="4"/>
      <c r="F30" s="4"/>
      <c r="G30" s="4"/>
    </row>
    <row r="31" spans="1:7" x14ac:dyDescent="0.3">
      <c r="A31" s="3" t="s">
        <v>38</v>
      </c>
      <c r="B31" s="4"/>
      <c r="C31" s="4"/>
      <c r="D31" s="4"/>
      <c r="E31" s="4"/>
      <c r="F31" s="4"/>
      <c r="G31" s="4"/>
    </row>
    <row r="32" spans="1:7" x14ac:dyDescent="0.3">
      <c r="A32" s="3" t="s">
        <v>39</v>
      </c>
      <c r="B32" s="4"/>
      <c r="C32" s="4"/>
      <c r="D32" s="4"/>
      <c r="E32" s="4"/>
      <c r="F32" s="4"/>
      <c r="G32" s="4"/>
    </row>
    <row r="33" spans="1:7" x14ac:dyDescent="0.3">
      <c r="A33" s="3" t="s">
        <v>40</v>
      </c>
      <c r="B33" s="4"/>
      <c r="C33" s="4"/>
      <c r="D33" s="4"/>
      <c r="E33" s="4"/>
      <c r="F33" s="4"/>
      <c r="G33" s="4"/>
    </row>
    <row r="34" spans="1:7" x14ac:dyDescent="0.3">
      <c r="A34" s="3" t="s">
        <v>41</v>
      </c>
      <c r="B34" s="4"/>
      <c r="C34" s="4"/>
      <c r="D34" s="4"/>
      <c r="E34" s="4"/>
      <c r="F34" s="4"/>
      <c r="G34" s="4"/>
    </row>
    <row r="35" spans="1:7" x14ac:dyDescent="0.3">
      <c r="A35" s="3" t="s">
        <v>42</v>
      </c>
      <c r="B35" s="4"/>
      <c r="C35" s="4"/>
      <c r="D35" s="4"/>
      <c r="E35" s="4"/>
      <c r="F35" s="4"/>
      <c r="G35" s="4"/>
    </row>
    <row r="36" spans="1:7" x14ac:dyDescent="0.3">
      <c r="A36" s="3" t="s">
        <v>43</v>
      </c>
      <c r="B36" s="4"/>
      <c r="C36" s="4"/>
      <c r="D36" s="4"/>
      <c r="E36" s="4"/>
      <c r="F36" s="4"/>
      <c r="G36" s="4"/>
    </row>
    <row r="37" spans="1:7" x14ac:dyDescent="0.3">
      <c r="A37" s="3" t="s">
        <v>44</v>
      </c>
      <c r="B37" s="4"/>
      <c r="C37" s="4"/>
      <c r="D37" s="4"/>
      <c r="E37" s="4"/>
      <c r="F37" s="4"/>
      <c r="G37" s="4"/>
    </row>
    <row r="38" spans="1:7" x14ac:dyDescent="0.3">
      <c r="A38" s="3" t="s">
        <v>45</v>
      </c>
      <c r="B38" s="4"/>
      <c r="C38" s="4"/>
      <c r="D38" s="4"/>
      <c r="E38" s="4"/>
      <c r="F38" s="4"/>
      <c r="G38" s="4"/>
    </row>
    <row r="39" spans="1:7" x14ac:dyDescent="0.3">
      <c r="A39" s="3" t="s">
        <v>46</v>
      </c>
      <c r="B39" s="4"/>
      <c r="C39" s="4"/>
      <c r="D39" s="4"/>
      <c r="E39" s="4"/>
      <c r="F39" s="4"/>
      <c r="G39" s="4"/>
    </row>
    <row r="40" spans="1:7" x14ac:dyDescent="0.3">
      <c r="A40" s="3" t="s">
        <v>47</v>
      </c>
      <c r="B40" s="4"/>
      <c r="C40" s="4"/>
      <c r="D40" s="4"/>
      <c r="E40" s="4"/>
      <c r="F40" s="4"/>
      <c r="G40" s="4"/>
    </row>
    <row r="41" spans="1:7" x14ac:dyDescent="0.3">
      <c r="A41" s="3" t="s">
        <v>48</v>
      </c>
      <c r="B41" s="4"/>
      <c r="C41" s="4"/>
      <c r="D41" s="4"/>
      <c r="E41" s="4"/>
      <c r="F41" s="4"/>
      <c r="G41" s="4"/>
    </row>
    <row r="42" spans="1:7" x14ac:dyDescent="0.3">
      <c r="A42" s="3" t="s">
        <v>49</v>
      </c>
      <c r="B42" s="4"/>
      <c r="C42" s="4"/>
      <c r="D42" s="4"/>
      <c r="E42" s="4"/>
      <c r="F42" s="4"/>
      <c r="G42" s="4"/>
    </row>
    <row r="43" spans="1:7" x14ac:dyDescent="0.3">
      <c r="A43" s="3" t="s">
        <v>50</v>
      </c>
      <c r="B43" s="4"/>
      <c r="C43" s="4"/>
      <c r="D43" s="4"/>
      <c r="E43" s="4"/>
      <c r="F43" s="4"/>
      <c r="G43" s="4"/>
    </row>
    <row r="44" spans="1:7" x14ac:dyDescent="0.3">
      <c r="A44" s="3" t="s">
        <v>51</v>
      </c>
      <c r="B44" s="4"/>
      <c r="C44" s="4"/>
      <c r="D44" s="4"/>
      <c r="E44" s="4"/>
      <c r="F44" s="4"/>
      <c r="G44" s="4"/>
    </row>
    <row r="45" spans="1:7" x14ac:dyDescent="0.3">
      <c r="A45" s="3" t="s">
        <v>52</v>
      </c>
      <c r="B45" s="4"/>
      <c r="C45" s="4"/>
      <c r="D45" s="4"/>
      <c r="E45" s="4"/>
      <c r="F45" s="4"/>
      <c r="G45" s="4"/>
    </row>
    <row r="46" spans="1:7" x14ac:dyDescent="0.3">
      <c r="A46" s="3" t="s">
        <v>53</v>
      </c>
      <c r="B46" s="4"/>
      <c r="C46" s="4"/>
      <c r="D46" s="4"/>
      <c r="E46" s="4"/>
      <c r="F46" s="4"/>
      <c r="G46" s="4"/>
    </row>
    <row r="47" spans="1:7" x14ac:dyDescent="0.3">
      <c r="A47" s="3" t="s">
        <v>54</v>
      </c>
      <c r="B47" s="4"/>
      <c r="C47" s="4"/>
      <c r="D47" s="4"/>
      <c r="E47" s="4"/>
      <c r="F47" s="4"/>
      <c r="G47" s="4"/>
    </row>
    <row r="48" spans="1:7" x14ac:dyDescent="0.3">
      <c r="A48" s="3" t="s">
        <v>55</v>
      </c>
      <c r="B48" s="4"/>
      <c r="C48" s="4"/>
      <c r="D48" s="4"/>
      <c r="E48" s="4"/>
      <c r="F48" s="4"/>
      <c r="G48" s="4"/>
    </row>
    <row r="49" spans="1:7" x14ac:dyDescent="0.3">
      <c r="A49" s="3" t="s">
        <v>56</v>
      </c>
      <c r="B49" s="4"/>
      <c r="C49" s="4"/>
      <c r="D49" s="4"/>
      <c r="E49" s="4"/>
      <c r="F49" s="4"/>
      <c r="G49" s="4"/>
    </row>
    <row r="50" spans="1:7" x14ac:dyDescent="0.3">
      <c r="A50" s="3" t="s">
        <v>57</v>
      </c>
      <c r="B50" s="4"/>
      <c r="C50" s="4"/>
      <c r="D50" s="4"/>
      <c r="E50" s="4"/>
      <c r="F50" s="4"/>
      <c r="G50" s="4"/>
    </row>
    <row r="51" spans="1:7" x14ac:dyDescent="0.3">
      <c r="A51" s="3" t="s">
        <v>58</v>
      </c>
      <c r="B51" s="4"/>
      <c r="C51" s="4"/>
      <c r="D51" s="4"/>
      <c r="E51" s="4"/>
      <c r="F51" s="4"/>
      <c r="G51" s="4"/>
    </row>
    <row r="52" spans="1:7" x14ac:dyDescent="0.3">
      <c r="A52" s="3" t="s">
        <v>59</v>
      </c>
      <c r="B52" s="4"/>
      <c r="C52" s="4"/>
      <c r="D52" s="4"/>
      <c r="E52" s="4"/>
      <c r="F52" s="4"/>
      <c r="G52" s="4"/>
    </row>
    <row r="53" spans="1:7" x14ac:dyDescent="0.3">
      <c r="A53" s="3" t="s">
        <v>60</v>
      </c>
      <c r="B53" s="4"/>
      <c r="C53" s="4"/>
      <c r="D53" s="4"/>
      <c r="E53" s="4"/>
      <c r="F53" s="4"/>
      <c r="G53" s="4"/>
    </row>
    <row r="54" spans="1:7" x14ac:dyDescent="0.3">
      <c r="A54" s="3" t="s">
        <v>61</v>
      </c>
      <c r="B54" s="4"/>
      <c r="C54" s="4"/>
      <c r="D54" s="4"/>
      <c r="E54" s="4"/>
      <c r="F54" s="4"/>
      <c r="G54" s="4"/>
    </row>
    <row r="55" spans="1:7" x14ac:dyDescent="0.3">
      <c r="A55" s="3" t="s">
        <v>62</v>
      </c>
      <c r="B55" s="4"/>
      <c r="C55" s="4"/>
      <c r="D55" s="4"/>
      <c r="E55" s="4"/>
      <c r="F55" s="4"/>
      <c r="G55" s="4"/>
    </row>
    <row r="56" spans="1:7" x14ac:dyDescent="0.3">
      <c r="A56" s="3" t="s">
        <v>63</v>
      </c>
      <c r="B56" s="4"/>
      <c r="C56" s="4"/>
      <c r="D56" s="4"/>
      <c r="E56" s="4"/>
      <c r="F56" s="4"/>
      <c r="G56" s="4"/>
    </row>
    <row r="57" spans="1:7" x14ac:dyDescent="0.3">
      <c r="A57" s="3" t="s">
        <v>64</v>
      </c>
      <c r="B57" s="4"/>
      <c r="C57" s="4"/>
      <c r="D57" s="4"/>
      <c r="E57" s="4"/>
      <c r="F57" s="4"/>
      <c r="G57" s="4"/>
    </row>
    <row r="58" spans="1:7" x14ac:dyDescent="0.3">
      <c r="A58" s="3" t="s">
        <v>65</v>
      </c>
      <c r="B58" s="4"/>
      <c r="C58" s="4"/>
      <c r="D58" s="4"/>
      <c r="E58" s="4"/>
      <c r="F58" s="4"/>
      <c r="G58" s="4"/>
    </row>
    <row r="59" spans="1:7" x14ac:dyDescent="0.3">
      <c r="A59" s="3" t="s">
        <v>66</v>
      </c>
      <c r="B59" s="4"/>
      <c r="C59" s="4"/>
      <c r="D59" s="4"/>
      <c r="E59" s="4"/>
      <c r="F59" s="4"/>
      <c r="G59" s="4"/>
    </row>
    <row r="60" spans="1:7" x14ac:dyDescent="0.3">
      <c r="A60" s="3" t="s">
        <v>67</v>
      </c>
      <c r="B60" s="4"/>
      <c r="C60" s="4"/>
      <c r="D60" s="4"/>
      <c r="E60" s="4"/>
      <c r="F60" s="4"/>
      <c r="G60" s="4"/>
    </row>
    <row r="61" spans="1:7" x14ac:dyDescent="0.3">
      <c r="A61" s="3" t="s">
        <v>68</v>
      </c>
      <c r="B61" s="4"/>
      <c r="C61" s="4"/>
      <c r="D61" s="4"/>
      <c r="E61" s="4"/>
      <c r="F61" s="4"/>
      <c r="G61" s="4"/>
    </row>
    <row r="62" spans="1:7" x14ac:dyDescent="0.3">
      <c r="A62" s="3" t="s">
        <v>69</v>
      </c>
      <c r="B62" s="4"/>
      <c r="C62" s="4"/>
      <c r="D62" s="4"/>
      <c r="E62" s="4"/>
      <c r="F62" s="4"/>
      <c r="G62" s="4"/>
    </row>
    <row r="63" spans="1:7" x14ac:dyDescent="0.3">
      <c r="A63" s="3" t="s">
        <v>70</v>
      </c>
      <c r="B63" s="4"/>
      <c r="C63" s="4"/>
      <c r="D63" s="4"/>
      <c r="E63" s="4"/>
      <c r="F63" s="4"/>
      <c r="G63" s="4"/>
    </row>
    <row r="64" spans="1:7" x14ac:dyDescent="0.3">
      <c r="A64" s="3" t="s">
        <v>71</v>
      </c>
      <c r="B64" s="4"/>
      <c r="C64" s="4"/>
      <c r="D64" s="4"/>
      <c r="E64" s="4"/>
      <c r="F64" s="4"/>
      <c r="G64" s="4"/>
    </row>
    <row r="65" spans="1:7" x14ac:dyDescent="0.3">
      <c r="A65" s="3" t="s">
        <v>72</v>
      </c>
      <c r="B65" s="4"/>
      <c r="C65" s="4"/>
      <c r="D65" s="4"/>
      <c r="E65" s="4"/>
      <c r="F65" s="4"/>
      <c r="G65" s="4"/>
    </row>
    <row r="66" spans="1:7" x14ac:dyDescent="0.3">
      <c r="A66" s="3" t="s">
        <v>73</v>
      </c>
      <c r="B66" s="4"/>
      <c r="C66" s="4"/>
      <c r="D66" s="4"/>
      <c r="E66" s="4"/>
      <c r="F66" s="4"/>
      <c r="G66" s="4"/>
    </row>
    <row r="67" spans="1:7" x14ac:dyDescent="0.3">
      <c r="A67" s="3" t="s">
        <v>74</v>
      </c>
      <c r="B67" s="4"/>
      <c r="C67" s="4"/>
      <c r="D67" s="4"/>
      <c r="E67" s="4"/>
      <c r="F67" s="4"/>
      <c r="G67" s="4"/>
    </row>
  </sheetData>
  <mergeCells count="1">
    <mergeCell ref="B1:G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D6470355925D54D828641BC2E22293B" ma:contentTypeVersion="18" ma:contentTypeDescription="Creare un nuovo documento." ma:contentTypeScope="" ma:versionID="4610c8b84a39d6b8647c2699e1ece153">
  <xsd:schema xmlns:xsd="http://www.w3.org/2001/XMLSchema" xmlns:xs="http://www.w3.org/2001/XMLSchema" xmlns:p="http://schemas.microsoft.com/office/2006/metadata/properties" xmlns:ns2="56488431-cd3f-4687-8cf9-2346e3cd35fa" xmlns:ns3="b0a6d2c9-3d93-4d4e-a453-37d24321e0b2" targetNamespace="http://schemas.microsoft.com/office/2006/metadata/properties" ma:root="true" ma:fieldsID="b2c4eaf4e64bc67cef4f1dbcaeab07bc" ns2:_="" ns3:_="">
    <xsd:import namespace="56488431-cd3f-4687-8cf9-2346e3cd35fa"/>
    <xsd:import namespace="b0a6d2c9-3d93-4d4e-a453-37d24321e0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488431-cd3f-4687-8cf9-2346e3cd35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Tag immagine" ma:readOnly="false" ma:fieldId="{5cf76f15-5ced-4ddc-b409-7134ff3c332f}" ma:taxonomyMulti="true" ma:sspId="44f18aaa-e4c7-45ab-a08e-e35b859839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a6d2c9-3d93-4d4e-a453-37d24321e0b2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930b9a-c448-4846-99f4-5e405a5cbac6}" ma:internalName="TaxCatchAll" ma:showField="CatchAllData" ma:web="b0a6d2c9-3d93-4d4e-a453-37d24321e0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0a6d2c9-3d93-4d4e-a453-37d24321e0b2" xsi:nil="true"/>
    <lcf76f155ced4ddcb4097134ff3c332f xmlns="56488431-cd3f-4687-8cf9-2346e3cd35f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38B45B0-7B1E-44F9-811F-372A9A04E4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488431-cd3f-4687-8cf9-2346e3cd35fa"/>
    <ds:schemaRef ds:uri="b0a6d2c9-3d93-4d4e-a453-37d24321e0b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FC990DD-BC3C-4F63-96B5-4613E585036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9264E6C-D1C3-4FA5-92BC-17ADCB0AA86D}">
  <ds:schemaRefs>
    <ds:schemaRef ds:uri="http://schemas.microsoft.com/office/2006/metadata/properties"/>
    <ds:schemaRef ds:uri="http://schemas.microsoft.com/office/infopath/2007/PartnerControls"/>
    <ds:schemaRef ds:uri="b0a6d2c9-3d93-4d4e-a453-37d24321e0b2"/>
    <ds:schemaRef ds:uri="56488431-cd3f-4687-8cf9-2346e3cd35f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 first</vt:lpstr>
      <vt:lpstr>SARI cases</vt:lpstr>
      <vt:lpstr>SARI_per_10x5pop</vt:lpstr>
      <vt:lpstr>Catchment population</vt:lpstr>
      <vt:lpstr>Positivity SARS-CoV-2</vt:lpstr>
      <vt:lpstr>Positivity Influenza</vt:lpstr>
      <vt:lpstr>Positivity RSV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m.sanchez</dc:creator>
  <cp:lastModifiedBy>Miguel Angel Sanchez</cp:lastModifiedBy>
  <dcterms:created xsi:type="dcterms:W3CDTF">2015-06-05T18:17:20Z</dcterms:created>
  <dcterms:modified xsi:type="dcterms:W3CDTF">2026-02-13T09:28:57Z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0x010100BD6470355925D54D828641BC2E22293B</vt:lpwstr>
  </property>
  <property fmtid="{D5CDD505-2E9C-101B-9397-08002B2CF9AE}" pid="3" name="MediaServiceImageTags">
    <vt:lpwstr/>
  </property>
</Properties>
</file>