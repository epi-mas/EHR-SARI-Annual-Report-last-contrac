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m.sanchez\Documents\Development for annual report\EHR Annual report - 2026\sources\"/>
    </mc:Choice>
  </mc:AlternateContent>
  <xr:revisionPtr revIDLastSave="0" documentId="13_ncr:1_{1A6176CB-0104-4DAF-B4FD-2C3C7B99C4A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5" i="1" l="1"/>
  <c r="C55" i="1"/>
  <c r="E55" i="1" s="1"/>
  <c r="D54" i="1"/>
  <c r="C54" i="1"/>
  <c r="D53" i="1"/>
  <c r="C53" i="1"/>
  <c r="D52" i="1"/>
  <c r="C52" i="1"/>
  <c r="D51" i="1"/>
  <c r="C51" i="1"/>
  <c r="D50" i="1"/>
  <c r="C50" i="1"/>
  <c r="D49" i="1"/>
  <c r="C49" i="1"/>
  <c r="D48" i="1"/>
  <c r="C48" i="1"/>
  <c r="D47" i="1"/>
  <c r="C47" i="1"/>
  <c r="D46" i="1"/>
  <c r="C46" i="1"/>
  <c r="D45" i="1"/>
  <c r="C45" i="1"/>
  <c r="D44" i="1"/>
  <c r="C44" i="1"/>
  <c r="D43" i="1"/>
  <c r="C43" i="1"/>
  <c r="D42" i="1"/>
  <c r="C42" i="1"/>
  <c r="D41" i="1"/>
  <c r="C41" i="1"/>
  <c r="D40" i="1"/>
  <c r="C40" i="1"/>
  <c r="D39" i="1"/>
  <c r="C39" i="1"/>
  <c r="D38" i="1"/>
  <c r="C38" i="1"/>
  <c r="D37" i="1"/>
  <c r="C37" i="1"/>
  <c r="D36" i="1"/>
  <c r="C36" i="1"/>
  <c r="D35" i="1"/>
  <c r="C35" i="1"/>
  <c r="D34" i="1"/>
  <c r="C34" i="1"/>
  <c r="D33" i="1"/>
  <c r="C33" i="1"/>
  <c r="D32" i="1"/>
  <c r="C32" i="1"/>
  <c r="D31" i="1"/>
  <c r="C31" i="1"/>
  <c r="D30" i="1"/>
  <c r="C30" i="1"/>
  <c r="D29" i="1"/>
  <c r="C29" i="1"/>
  <c r="D28" i="1"/>
  <c r="C28" i="1"/>
  <c r="D27" i="1"/>
  <c r="C27" i="1"/>
  <c r="D26" i="1"/>
  <c r="C26" i="1"/>
  <c r="D25" i="1"/>
  <c r="C25" i="1"/>
  <c r="D24" i="1"/>
  <c r="C24" i="1"/>
  <c r="D23" i="1"/>
  <c r="C23" i="1"/>
  <c r="D22" i="1"/>
  <c r="C22" i="1"/>
  <c r="D21" i="1"/>
  <c r="C21" i="1"/>
  <c r="D20" i="1"/>
  <c r="C20" i="1"/>
  <c r="D19" i="1"/>
  <c r="C19" i="1"/>
  <c r="D18" i="1"/>
  <c r="C18" i="1"/>
  <c r="D17" i="1"/>
  <c r="C17" i="1"/>
  <c r="D16" i="1"/>
  <c r="C16" i="1"/>
  <c r="D15" i="1"/>
  <c r="C15" i="1"/>
  <c r="D14" i="1"/>
  <c r="C14" i="1"/>
  <c r="D13" i="1"/>
  <c r="C13" i="1"/>
  <c r="D12" i="1"/>
  <c r="C12" i="1"/>
  <c r="D11" i="1"/>
  <c r="C11" i="1"/>
  <c r="D10" i="1"/>
  <c r="C10" i="1"/>
  <c r="D9" i="1"/>
  <c r="C9" i="1"/>
  <c r="D8" i="1"/>
  <c r="C8" i="1"/>
  <c r="D7" i="1"/>
  <c r="C7" i="1"/>
  <c r="D6" i="1"/>
  <c r="C6" i="1"/>
  <c r="D5" i="1"/>
  <c r="C5" i="1"/>
  <c r="D4" i="1"/>
  <c r="C4" i="1"/>
  <c r="E53" i="1" l="1"/>
  <c r="E43" i="1"/>
  <c r="E19" i="1"/>
  <c r="E35" i="1"/>
  <c r="E41" i="1"/>
  <c r="E49" i="1"/>
  <c r="E15" i="1"/>
  <c r="E23" i="1"/>
  <c r="E31" i="1"/>
  <c r="E39" i="1"/>
  <c r="E5" i="1"/>
  <c r="E13" i="1"/>
  <c r="E21" i="1"/>
  <c r="E37" i="1"/>
  <c r="E6" i="1"/>
  <c r="E22" i="1"/>
  <c r="E25" i="1"/>
  <c r="E30" i="1"/>
  <c r="E33" i="1"/>
  <c r="E12" i="1"/>
  <c r="E7" i="1"/>
  <c r="E44" i="1"/>
  <c r="E51" i="1"/>
  <c r="E28" i="1"/>
  <c r="E46" i="1"/>
  <c r="E38" i="1"/>
  <c r="E11" i="1"/>
  <c r="E29" i="1"/>
  <c r="E47" i="1"/>
  <c r="E9" i="1"/>
  <c r="E14" i="1"/>
  <c r="E17" i="1"/>
  <c r="E27" i="1"/>
  <c r="E45" i="1"/>
  <c r="E10" i="1"/>
  <c r="E26" i="1"/>
  <c r="E42" i="1"/>
  <c r="E8" i="1"/>
  <c r="E24" i="1"/>
  <c r="E40" i="1"/>
  <c r="E54" i="1"/>
  <c r="E4" i="1"/>
  <c r="E20" i="1"/>
  <c r="E36" i="1"/>
  <c r="E52" i="1"/>
  <c r="E18" i="1"/>
  <c r="E34" i="1"/>
  <c r="E50" i="1"/>
  <c r="E16" i="1"/>
  <c r="E32" i="1"/>
  <c r="E48" i="1"/>
  <c r="F4" i="1" l="1"/>
</calcChain>
</file>

<file path=xl/sharedStrings.xml><?xml version="1.0" encoding="utf-8"?>
<sst xmlns="http://schemas.openxmlformats.org/spreadsheetml/2006/main" count="59" uniqueCount="59">
  <si>
    <t>week</t>
  </si>
  <si>
    <t>denominator2</t>
  </si>
  <si>
    <t>denominator 1</t>
  </si>
  <si>
    <t xml:space="preserve">cases </t>
  </si>
  <si>
    <t>SARI incidence rate per 100,000 p.</t>
  </si>
  <si>
    <t>2025-W01</t>
  </si>
  <si>
    <t>2025-W02</t>
  </si>
  <si>
    <t>2025-W03</t>
  </si>
  <si>
    <t>2025-W04</t>
  </si>
  <si>
    <t>2025-W05</t>
  </si>
  <si>
    <t>2025-W06</t>
  </si>
  <si>
    <t>2025-W07</t>
  </si>
  <si>
    <t>2025-W08</t>
  </si>
  <si>
    <t>2025-W09</t>
  </si>
  <si>
    <t>2025-W10</t>
  </si>
  <si>
    <t>2025-W11</t>
  </si>
  <si>
    <t>2025-W12</t>
  </si>
  <si>
    <t>2025-W13</t>
  </si>
  <si>
    <t>2025-W14</t>
  </si>
  <si>
    <t>2025-W15</t>
  </si>
  <si>
    <t>2025-W16</t>
  </si>
  <si>
    <t>2025-W17</t>
  </si>
  <si>
    <t>2025-W18</t>
  </si>
  <si>
    <t>2025-W19</t>
  </si>
  <si>
    <t>2025-W20</t>
  </si>
  <si>
    <t>2025-W21</t>
  </si>
  <si>
    <t>2025-W22</t>
  </si>
  <si>
    <t>2025-W23</t>
  </si>
  <si>
    <t>2025-W24</t>
  </si>
  <si>
    <t>2025-W25</t>
  </si>
  <si>
    <t>2025-W26</t>
  </si>
  <si>
    <t>2025-W27</t>
  </si>
  <si>
    <t>2025-W28</t>
  </si>
  <si>
    <t>2025-W29</t>
  </si>
  <si>
    <t>2025-W30</t>
  </si>
  <si>
    <t>2025-W31</t>
  </si>
  <si>
    <t>2025-W32</t>
  </si>
  <si>
    <t>2025-W33</t>
  </si>
  <si>
    <t>2025-W34</t>
  </si>
  <si>
    <t>2025-W35</t>
  </si>
  <si>
    <t>2025-W36</t>
  </si>
  <si>
    <t>2025-W37</t>
  </si>
  <si>
    <t>2025-W38</t>
  </si>
  <si>
    <t>2025-W39</t>
  </si>
  <si>
    <t>2025-W40</t>
  </si>
  <si>
    <t>2025-W41</t>
  </si>
  <si>
    <t>2025-W42</t>
  </si>
  <si>
    <t>2025-W43</t>
  </si>
  <si>
    <t>2025-W44</t>
  </si>
  <si>
    <t>2025-W45</t>
  </si>
  <si>
    <t>2025-W46</t>
  </si>
  <si>
    <t>2025-W47</t>
  </si>
  <si>
    <t>2025-W48</t>
  </si>
  <si>
    <t>2025-W49</t>
  </si>
  <si>
    <t>2025-W50</t>
  </si>
  <si>
    <t>2025-W51</t>
  </si>
  <si>
    <t>2025-W52</t>
  </si>
  <si>
    <t>Average diff</t>
  </si>
  <si>
    <t>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</si>
</sst>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sz val="8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164" fontId="0" fillId="0" borderId="0" xfId="0" applyNumberFormat="1"/>
    <xf numFmtId="164" fontId="1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3" fontId="0" fillId="0" borderId="0" xfId="0" applyNumberFormat="1"/>
    <xf numFmtId="164" fontId="0" fillId="2" borderId="1" xfId="0" applyNumberFormat="1" applyFill="1" applyBorder="1" applyAlignment="1">
      <alignment horizontal="center"/>
    </xf>
    <xf numFmtId="0" fontId="1" fillId="0" borderId="0" xfId="0" applyFont="1"/>
    <xf numFmtId="164" fontId="1" fillId="0" borderId="2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8"/>
  <sheetViews>
    <sheetView tabSelected="1" workbookViewId="0">
      <selection activeCell="C15" sqref="C15"/>
    </sheetView>
  </sheetViews>
  <sheetFormatPr defaultRowHeight="14.4" x14ac:dyDescent="0.3"/>
  <cols>
    <col min="1" max="1" width="17.33203125" customWidth="1"/>
    <col min="2" max="2" width="13.44140625" customWidth="1"/>
    <col min="3" max="3" width="20.33203125" style="3" customWidth="1"/>
    <col min="4" max="4" width="22.44140625" style="3" customWidth="1"/>
    <col min="6" max="6" width="11.77734375" customWidth="1"/>
  </cols>
  <sheetData>
    <row r="1" spans="1:9" x14ac:dyDescent="0.3">
      <c r="C1" s="4" t="s">
        <v>1</v>
      </c>
      <c r="D1" s="4" t="s">
        <v>2</v>
      </c>
    </row>
    <row r="2" spans="1:9" x14ac:dyDescent="0.3">
      <c r="C2" s="7">
        <v>150637.74689033499</v>
      </c>
      <c r="D2" s="7">
        <v>159855</v>
      </c>
    </row>
    <row r="3" spans="1:9" x14ac:dyDescent="0.3">
      <c r="A3" s="8" t="s">
        <v>0</v>
      </c>
      <c r="B3" s="8" t="s">
        <v>3</v>
      </c>
      <c r="C3" s="9" t="s">
        <v>4</v>
      </c>
      <c r="D3" s="9"/>
      <c r="E3" s="8" t="s">
        <v>58</v>
      </c>
      <c r="F3" s="8" t="s">
        <v>57</v>
      </c>
    </row>
    <row r="4" spans="1:9" x14ac:dyDescent="0.3">
      <c r="A4" s="1" t="s">
        <v>5</v>
      </c>
      <c r="B4" s="2">
        <v>38</v>
      </c>
      <c r="C4" s="5">
        <f t="shared" ref="C4:C35" si="0">B4/$C$2*100000</f>
        <v>25.226080968712434</v>
      </c>
      <c r="D4" s="5">
        <f>B4/$D$2*100000</f>
        <v>23.77154296080823</v>
      </c>
      <c r="E4" s="3">
        <f>C4-D4</f>
        <v>1.4545380079042047</v>
      </c>
      <c r="F4" s="3">
        <f>AVERAGE(E4:E55)</f>
        <v>0.93926644639967583</v>
      </c>
    </row>
    <row r="5" spans="1:9" x14ac:dyDescent="0.3">
      <c r="A5" s="1" t="s">
        <v>6</v>
      </c>
      <c r="B5" s="2">
        <v>37</v>
      </c>
      <c r="C5" s="5">
        <f t="shared" si="0"/>
        <v>24.562236732693684</v>
      </c>
      <c r="D5" s="5">
        <f>B5/$D$2*100000</f>
        <v>23.145976040786962</v>
      </c>
      <c r="E5" s="3">
        <f t="shared" ref="E5:E55" si="1">C5-D5</f>
        <v>1.4162606919067215</v>
      </c>
      <c r="F5" s="3"/>
    </row>
    <row r="6" spans="1:9" x14ac:dyDescent="0.3">
      <c r="A6" s="1" t="s">
        <v>7</v>
      </c>
      <c r="B6" s="2">
        <v>37</v>
      </c>
      <c r="C6" s="5">
        <f t="shared" si="0"/>
        <v>24.562236732693684</v>
      </c>
      <c r="D6" s="5">
        <f t="shared" ref="D6:D55" si="2">B6/$D$2*100000</f>
        <v>23.145976040786962</v>
      </c>
      <c r="E6" s="3">
        <f t="shared" si="1"/>
        <v>1.4162606919067215</v>
      </c>
      <c r="F6" s="3"/>
    </row>
    <row r="7" spans="1:9" x14ac:dyDescent="0.3">
      <c r="A7" s="1" t="s">
        <v>8</v>
      </c>
      <c r="B7" s="2">
        <v>41</v>
      </c>
      <c r="C7" s="5">
        <f t="shared" si="0"/>
        <v>27.217613676768675</v>
      </c>
      <c r="D7" s="5">
        <f t="shared" si="2"/>
        <v>25.648243720872038</v>
      </c>
      <c r="E7" s="3">
        <f t="shared" si="1"/>
        <v>1.5693699558966365</v>
      </c>
      <c r="F7" s="3"/>
      <c r="I7" s="6"/>
    </row>
    <row r="8" spans="1:9" x14ac:dyDescent="0.3">
      <c r="A8" s="1" t="s">
        <v>9</v>
      </c>
      <c r="B8" s="2">
        <v>53</v>
      </c>
      <c r="C8" s="5">
        <f t="shared" si="0"/>
        <v>35.183744508993655</v>
      </c>
      <c r="D8" s="5">
        <f t="shared" si="2"/>
        <v>33.155046761127274</v>
      </c>
      <c r="E8" s="3">
        <f t="shared" si="1"/>
        <v>2.0286977478663815</v>
      </c>
      <c r="F8" s="3"/>
    </row>
    <row r="9" spans="1:9" x14ac:dyDescent="0.3">
      <c r="A9" s="1" t="s">
        <v>10</v>
      </c>
      <c r="B9" s="2">
        <v>35</v>
      </c>
      <c r="C9" s="5">
        <f t="shared" si="0"/>
        <v>23.234548260656187</v>
      </c>
      <c r="D9" s="5">
        <f t="shared" si="2"/>
        <v>21.894842200744424</v>
      </c>
      <c r="E9" s="3">
        <f t="shared" si="1"/>
        <v>1.3397060599117623</v>
      </c>
      <c r="F9" s="3"/>
    </row>
    <row r="10" spans="1:9" x14ac:dyDescent="0.3">
      <c r="A10" s="1" t="s">
        <v>11</v>
      </c>
      <c r="B10" s="2">
        <v>34</v>
      </c>
      <c r="C10" s="5">
        <f t="shared" si="0"/>
        <v>22.57070402463744</v>
      </c>
      <c r="D10" s="5">
        <f t="shared" si="2"/>
        <v>21.269275280723157</v>
      </c>
      <c r="E10" s="3">
        <f t="shared" si="1"/>
        <v>1.3014287439142826</v>
      </c>
      <c r="F10" s="3"/>
    </row>
    <row r="11" spans="1:9" x14ac:dyDescent="0.3">
      <c r="A11" s="1" t="s">
        <v>12</v>
      </c>
      <c r="B11" s="2">
        <v>33</v>
      </c>
      <c r="C11" s="5">
        <f t="shared" si="0"/>
        <v>21.906859788618689</v>
      </c>
      <c r="D11" s="5">
        <f t="shared" si="2"/>
        <v>20.643708360701886</v>
      </c>
      <c r="E11" s="3">
        <f t="shared" si="1"/>
        <v>1.263151427916803</v>
      </c>
      <c r="F11" s="3"/>
    </row>
    <row r="12" spans="1:9" x14ac:dyDescent="0.3">
      <c r="A12" s="1" t="s">
        <v>13</v>
      </c>
      <c r="B12" s="2">
        <v>31</v>
      </c>
      <c r="C12" s="5">
        <f t="shared" si="0"/>
        <v>20.579171316581196</v>
      </c>
      <c r="D12" s="5">
        <f t="shared" si="2"/>
        <v>19.392574520659348</v>
      </c>
      <c r="E12" s="3">
        <f t="shared" si="1"/>
        <v>1.1865967959218473</v>
      </c>
      <c r="F12" s="3"/>
    </row>
    <row r="13" spans="1:9" x14ac:dyDescent="0.3">
      <c r="A13" s="1" t="s">
        <v>14</v>
      </c>
      <c r="B13" s="2">
        <v>35</v>
      </c>
      <c r="C13" s="5">
        <f t="shared" si="0"/>
        <v>23.234548260656187</v>
      </c>
      <c r="D13" s="5">
        <f t="shared" si="2"/>
        <v>21.894842200744424</v>
      </c>
      <c r="E13" s="3">
        <f t="shared" si="1"/>
        <v>1.3397060599117623</v>
      </c>
      <c r="F13" s="3"/>
    </row>
    <row r="14" spans="1:9" x14ac:dyDescent="0.3">
      <c r="A14" s="1" t="s">
        <v>15</v>
      </c>
      <c r="B14" s="2">
        <v>26</v>
      </c>
      <c r="C14" s="5">
        <f t="shared" si="0"/>
        <v>17.259950136487454</v>
      </c>
      <c r="D14" s="5">
        <f t="shared" si="2"/>
        <v>16.264739920553001</v>
      </c>
      <c r="E14" s="3">
        <f t="shared" si="1"/>
        <v>0.99521021593445269</v>
      </c>
      <c r="F14" s="3"/>
    </row>
    <row r="15" spans="1:9" x14ac:dyDescent="0.3">
      <c r="A15" s="1" t="s">
        <v>16</v>
      </c>
      <c r="B15" s="2">
        <v>30</v>
      </c>
      <c r="C15" s="5">
        <f t="shared" si="0"/>
        <v>19.915327080562445</v>
      </c>
      <c r="D15" s="5">
        <f t="shared" si="2"/>
        <v>18.767007600638077</v>
      </c>
      <c r="E15" s="3">
        <f t="shared" si="1"/>
        <v>1.1483194799243677</v>
      </c>
      <c r="F15" s="3"/>
    </row>
    <row r="16" spans="1:9" x14ac:dyDescent="0.3">
      <c r="A16" s="1" t="s">
        <v>17</v>
      </c>
      <c r="B16" s="2">
        <v>24</v>
      </c>
      <c r="C16" s="5">
        <f t="shared" si="0"/>
        <v>15.932261664449959</v>
      </c>
      <c r="D16" s="5">
        <f t="shared" si="2"/>
        <v>15.013606080510462</v>
      </c>
      <c r="E16" s="3">
        <f t="shared" si="1"/>
        <v>0.91865558393949698</v>
      </c>
      <c r="F16" s="3"/>
    </row>
    <row r="17" spans="1:6" x14ac:dyDescent="0.3">
      <c r="A17" s="1" t="s">
        <v>18</v>
      </c>
      <c r="B17" s="2">
        <v>23</v>
      </c>
      <c r="C17" s="5">
        <f t="shared" si="0"/>
        <v>15.26841742843121</v>
      </c>
      <c r="D17" s="5">
        <f t="shared" si="2"/>
        <v>14.388039160489194</v>
      </c>
      <c r="E17" s="3">
        <f t="shared" si="1"/>
        <v>0.88037826794201557</v>
      </c>
      <c r="F17" s="3"/>
    </row>
    <row r="18" spans="1:6" x14ac:dyDescent="0.3">
      <c r="A18" s="1" t="s">
        <v>19</v>
      </c>
      <c r="B18" s="2">
        <v>13</v>
      </c>
      <c r="C18" s="5">
        <f t="shared" si="0"/>
        <v>8.6299750682437271</v>
      </c>
      <c r="D18" s="5">
        <f t="shared" si="2"/>
        <v>8.1323699602765007</v>
      </c>
      <c r="E18" s="3">
        <f t="shared" si="1"/>
        <v>0.49760510796722635</v>
      </c>
      <c r="F18" s="3"/>
    </row>
    <row r="19" spans="1:6" x14ac:dyDescent="0.3">
      <c r="A19" s="1" t="s">
        <v>20</v>
      </c>
      <c r="B19" s="2">
        <v>28</v>
      </c>
      <c r="C19" s="5">
        <f t="shared" si="0"/>
        <v>18.587638608524951</v>
      </c>
      <c r="D19" s="5">
        <f t="shared" si="2"/>
        <v>17.515873760595539</v>
      </c>
      <c r="E19" s="3">
        <f t="shared" si="1"/>
        <v>1.071764847929412</v>
      </c>
      <c r="F19" s="3"/>
    </row>
    <row r="20" spans="1:6" x14ac:dyDescent="0.3">
      <c r="A20" s="1" t="s">
        <v>21</v>
      </c>
      <c r="B20" s="2">
        <v>23</v>
      </c>
      <c r="C20" s="5">
        <f t="shared" si="0"/>
        <v>15.26841742843121</v>
      </c>
      <c r="D20" s="5">
        <f t="shared" si="2"/>
        <v>14.388039160489194</v>
      </c>
      <c r="E20" s="3">
        <f t="shared" si="1"/>
        <v>0.88037826794201557</v>
      </c>
      <c r="F20" s="3"/>
    </row>
    <row r="21" spans="1:6" x14ac:dyDescent="0.3">
      <c r="A21" s="1" t="s">
        <v>22</v>
      </c>
      <c r="B21" s="2">
        <v>23</v>
      </c>
      <c r="C21" s="5">
        <f t="shared" si="0"/>
        <v>15.26841742843121</v>
      </c>
      <c r="D21" s="5">
        <f t="shared" si="2"/>
        <v>14.388039160489194</v>
      </c>
      <c r="E21" s="3">
        <f t="shared" si="1"/>
        <v>0.88037826794201557</v>
      </c>
      <c r="F21" s="3"/>
    </row>
    <row r="22" spans="1:6" x14ac:dyDescent="0.3">
      <c r="A22" s="1" t="s">
        <v>23</v>
      </c>
      <c r="B22" s="2">
        <v>19</v>
      </c>
      <c r="C22" s="5">
        <f t="shared" si="0"/>
        <v>12.613040484356217</v>
      </c>
      <c r="D22" s="5">
        <f t="shared" si="2"/>
        <v>11.885771480404115</v>
      </c>
      <c r="E22" s="3">
        <f t="shared" si="1"/>
        <v>0.72726900395210237</v>
      </c>
      <c r="F22" s="3"/>
    </row>
    <row r="23" spans="1:6" x14ac:dyDescent="0.3">
      <c r="A23" s="1" t="s">
        <v>24</v>
      </c>
      <c r="B23" s="2">
        <v>26</v>
      </c>
      <c r="C23" s="5">
        <f t="shared" si="0"/>
        <v>17.259950136487454</v>
      </c>
      <c r="D23" s="5">
        <f t="shared" si="2"/>
        <v>16.264739920553001</v>
      </c>
      <c r="E23" s="3">
        <f t="shared" si="1"/>
        <v>0.99521021593445269</v>
      </c>
      <c r="F23" s="3"/>
    </row>
    <row r="24" spans="1:6" x14ac:dyDescent="0.3">
      <c r="A24" s="1" t="s">
        <v>25</v>
      </c>
      <c r="B24" s="2">
        <v>20</v>
      </c>
      <c r="C24" s="5">
        <f t="shared" si="0"/>
        <v>13.276884720374964</v>
      </c>
      <c r="D24" s="5">
        <f t="shared" si="2"/>
        <v>12.511338400425384</v>
      </c>
      <c r="E24" s="3">
        <f t="shared" si="1"/>
        <v>0.76554631994958022</v>
      </c>
      <c r="F24" s="3"/>
    </row>
    <row r="25" spans="1:6" x14ac:dyDescent="0.3">
      <c r="A25" s="1" t="s">
        <v>26</v>
      </c>
      <c r="B25" s="2">
        <v>17</v>
      </c>
      <c r="C25" s="5">
        <f t="shared" si="0"/>
        <v>11.28535201231872</v>
      </c>
      <c r="D25" s="5">
        <f t="shared" si="2"/>
        <v>10.634637640361579</v>
      </c>
      <c r="E25" s="3">
        <f t="shared" si="1"/>
        <v>0.65071437195714132</v>
      </c>
      <c r="F25" s="3"/>
    </row>
    <row r="26" spans="1:6" x14ac:dyDescent="0.3">
      <c r="A26" s="1" t="s">
        <v>27</v>
      </c>
      <c r="B26" s="2">
        <v>29</v>
      </c>
      <c r="C26" s="5">
        <f t="shared" si="0"/>
        <v>19.251482844543698</v>
      </c>
      <c r="D26" s="5">
        <f t="shared" si="2"/>
        <v>18.14144068061681</v>
      </c>
      <c r="E26" s="3">
        <f t="shared" si="1"/>
        <v>1.110042163926888</v>
      </c>
      <c r="F26" s="3"/>
    </row>
    <row r="27" spans="1:6" x14ac:dyDescent="0.3">
      <c r="A27" s="1" t="s">
        <v>28</v>
      </c>
      <c r="B27" s="2">
        <v>19</v>
      </c>
      <c r="C27" s="5">
        <f t="shared" si="0"/>
        <v>12.613040484356217</v>
      </c>
      <c r="D27" s="5">
        <f t="shared" si="2"/>
        <v>11.885771480404115</v>
      </c>
      <c r="E27" s="3">
        <f t="shared" si="1"/>
        <v>0.72726900395210237</v>
      </c>
      <c r="F27" s="3"/>
    </row>
    <row r="28" spans="1:6" x14ac:dyDescent="0.3">
      <c r="A28" s="1" t="s">
        <v>29</v>
      </c>
      <c r="B28" s="2">
        <v>17</v>
      </c>
      <c r="C28" s="5">
        <f t="shared" si="0"/>
        <v>11.28535201231872</v>
      </c>
      <c r="D28" s="5">
        <f t="shared" si="2"/>
        <v>10.634637640361579</v>
      </c>
      <c r="E28" s="3">
        <f t="shared" si="1"/>
        <v>0.65071437195714132</v>
      </c>
      <c r="F28" s="3"/>
    </row>
    <row r="29" spans="1:6" x14ac:dyDescent="0.3">
      <c r="A29" s="1" t="s">
        <v>30</v>
      </c>
      <c r="B29" s="2">
        <v>27</v>
      </c>
      <c r="C29" s="5">
        <f t="shared" si="0"/>
        <v>17.923794372506201</v>
      </c>
      <c r="D29" s="5">
        <f t="shared" si="2"/>
        <v>16.890306840574269</v>
      </c>
      <c r="E29" s="3">
        <f t="shared" si="1"/>
        <v>1.0334875319319323</v>
      </c>
      <c r="F29" s="3"/>
    </row>
    <row r="30" spans="1:6" x14ac:dyDescent="0.3">
      <c r="A30" s="1" t="s">
        <v>31</v>
      </c>
      <c r="B30" s="2">
        <v>18</v>
      </c>
      <c r="C30" s="5">
        <f t="shared" si="0"/>
        <v>11.949196248337469</v>
      </c>
      <c r="D30" s="5">
        <f t="shared" si="2"/>
        <v>11.260204560382848</v>
      </c>
      <c r="E30" s="3">
        <f t="shared" si="1"/>
        <v>0.68899168795462096</v>
      </c>
      <c r="F30" s="3"/>
    </row>
    <row r="31" spans="1:6" x14ac:dyDescent="0.3">
      <c r="A31" s="1" t="s">
        <v>32</v>
      </c>
      <c r="B31" s="2">
        <v>12</v>
      </c>
      <c r="C31" s="5">
        <f t="shared" si="0"/>
        <v>7.9661308322249793</v>
      </c>
      <c r="D31" s="5">
        <f t="shared" si="2"/>
        <v>7.5068030402552308</v>
      </c>
      <c r="E31" s="3">
        <f t="shared" si="1"/>
        <v>0.45932779196974849</v>
      </c>
      <c r="F31" s="3"/>
    </row>
    <row r="32" spans="1:6" x14ac:dyDescent="0.3">
      <c r="A32" s="1" t="s">
        <v>33</v>
      </c>
      <c r="B32" s="2">
        <v>18</v>
      </c>
      <c r="C32" s="5">
        <f t="shared" si="0"/>
        <v>11.949196248337469</v>
      </c>
      <c r="D32" s="5">
        <f t="shared" si="2"/>
        <v>11.260204560382848</v>
      </c>
      <c r="E32" s="3">
        <f t="shared" si="1"/>
        <v>0.68899168795462096</v>
      </c>
      <c r="F32" s="3"/>
    </row>
    <row r="33" spans="1:6" x14ac:dyDescent="0.3">
      <c r="A33" s="1" t="s">
        <v>34</v>
      </c>
      <c r="B33" s="2">
        <v>7</v>
      </c>
      <c r="C33" s="5">
        <f t="shared" si="0"/>
        <v>4.6469096521312379</v>
      </c>
      <c r="D33" s="5">
        <f t="shared" si="2"/>
        <v>4.3789684401488849</v>
      </c>
      <c r="E33" s="3">
        <f t="shared" si="1"/>
        <v>0.26794121198235299</v>
      </c>
      <c r="F33" s="3"/>
    </row>
    <row r="34" spans="1:6" x14ac:dyDescent="0.3">
      <c r="A34" s="1" t="s">
        <v>35</v>
      </c>
      <c r="B34" s="2">
        <v>18</v>
      </c>
      <c r="C34" s="5">
        <f t="shared" si="0"/>
        <v>11.949196248337469</v>
      </c>
      <c r="D34" s="5">
        <f t="shared" si="2"/>
        <v>11.260204560382848</v>
      </c>
      <c r="E34" s="3">
        <f t="shared" si="1"/>
        <v>0.68899168795462096</v>
      </c>
      <c r="F34" s="3"/>
    </row>
    <row r="35" spans="1:6" x14ac:dyDescent="0.3">
      <c r="A35" s="1" t="s">
        <v>36</v>
      </c>
      <c r="B35" s="2">
        <v>20</v>
      </c>
      <c r="C35" s="5">
        <f t="shared" si="0"/>
        <v>13.276884720374964</v>
      </c>
      <c r="D35" s="5">
        <f t="shared" si="2"/>
        <v>12.511338400425384</v>
      </c>
      <c r="E35" s="3">
        <f t="shared" si="1"/>
        <v>0.76554631994958022</v>
      </c>
      <c r="F35" s="3"/>
    </row>
    <row r="36" spans="1:6" x14ac:dyDescent="0.3">
      <c r="A36" s="1" t="s">
        <v>37</v>
      </c>
      <c r="B36" s="2">
        <v>20</v>
      </c>
      <c r="C36" s="5">
        <f t="shared" ref="C36:C67" si="3">B36/$C$2*100000</f>
        <v>13.276884720374964</v>
      </c>
      <c r="D36" s="5">
        <f t="shared" si="2"/>
        <v>12.511338400425384</v>
      </c>
      <c r="E36" s="3">
        <f t="shared" si="1"/>
        <v>0.76554631994958022</v>
      </c>
      <c r="F36" s="3"/>
    </row>
    <row r="37" spans="1:6" x14ac:dyDescent="0.3">
      <c r="A37" s="1" t="s">
        <v>38</v>
      </c>
      <c r="B37" s="2">
        <v>11</v>
      </c>
      <c r="C37" s="5">
        <f t="shared" si="3"/>
        <v>7.3022865962062307</v>
      </c>
      <c r="D37" s="5">
        <f t="shared" si="2"/>
        <v>6.8812361202339618</v>
      </c>
      <c r="E37" s="3">
        <f t="shared" si="1"/>
        <v>0.42105047597226886</v>
      </c>
      <c r="F37" s="3"/>
    </row>
    <row r="38" spans="1:6" x14ac:dyDescent="0.3">
      <c r="A38" s="1" t="s">
        <v>39</v>
      </c>
      <c r="B38" s="2">
        <v>22</v>
      </c>
      <c r="C38" s="5">
        <f t="shared" si="3"/>
        <v>14.604573192412461</v>
      </c>
      <c r="D38" s="5">
        <f t="shared" si="2"/>
        <v>13.762472240467924</v>
      </c>
      <c r="E38" s="3">
        <f t="shared" si="1"/>
        <v>0.84210095194453771</v>
      </c>
      <c r="F38" s="3"/>
    </row>
    <row r="39" spans="1:6" x14ac:dyDescent="0.3">
      <c r="A39" s="1" t="s">
        <v>40</v>
      </c>
      <c r="B39" s="2">
        <v>17</v>
      </c>
      <c r="C39" s="5">
        <f t="shared" si="3"/>
        <v>11.28535201231872</v>
      </c>
      <c r="D39" s="5">
        <f t="shared" si="2"/>
        <v>10.634637640361579</v>
      </c>
      <c r="E39" s="3">
        <f t="shared" si="1"/>
        <v>0.65071437195714132</v>
      </c>
      <c r="F39" s="3"/>
    </row>
    <row r="40" spans="1:6" x14ac:dyDescent="0.3">
      <c r="A40" s="1" t="s">
        <v>41</v>
      </c>
      <c r="B40" s="2">
        <v>19</v>
      </c>
      <c r="C40" s="5">
        <f t="shared" si="3"/>
        <v>12.613040484356217</v>
      </c>
      <c r="D40" s="5">
        <f t="shared" si="2"/>
        <v>11.885771480404115</v>
      </c>
      <c r="E40" s="3">
        <f t="shared" si="1"/>
        <v>0.72726900395210237</v>
      </c>
      <c r="F40" s="3"/>
    </row>
    <row r="41" spans="1:6" x14ac:dyDescent="0.3">
      <c r="A41" s="1" t="s">
        <v>42</v>
      </c>
      <c r="B41" s="2">
        <v>20</v>
      </c>
      <c r="C41" s="5">
        <f t="shared" si="3"/>
        <v>13.276884720374964</v>
      </c>
      <c r="D41" s="5">
        <f t="shared" si="2"/>
        <v>12.511338400425384</v>
      </c>
      <c r="E41" s="3">
        <f t="shared" si="1"/>
        <v>0.76554631994958022</v>
      </c>
      <c r="F41" s="3"/>
    </row>
    <row r="42" spans="1:6" x14ac:dyDescent="0.3">
      <c r="A42" s="1" t="s">
        <v>43</v>
      </c>
      <c r="B42" s="2">
        <v>22</v>
      </c>
      <c r="C42" s="5">
        <f t="shared" si="3"/>
        <v>14.604573192412461</v>
      </c>
      <c r="D42" s="5">
        <f t="shared" si="2"/>
        <v>13.762472240467924</v>
      </c>
      <c r="E42" s="3">
        <f t="shared" si="1"/>
        <v>0.84210095194453771</v>
      </c>
      <c r="F42" s="3"/>
    </row>
    <row r="43" spans="1:6" x14ac:dyDescent="0.3">
      <c r="A43" s="1" t="s">
        <v>44</v>
      </c>
      <c r="B43" s="2">
        <v>24</v>
      </c>
      <c r="C43" s="5">
        <f t="shared" si="3"/>
        <v>15.932261664449959</v>
      </c>
      <c r="D43" s="5">
        <f t="shared" si="2"/>
        <v>15.013606080510462</v>
      </c>
      <c r="E43" s="3">
        <f t="shared" si="1"/>
        <v>0.91865558393949698</v>
      </c>
      <c r="F43" s="3"/>
    </row>
    <row r="44" spans="1:6" x14ac:dyDescent="0.3">
      <c r="A44" s="1" t="s">
        <v>45</v>
      </c>
      <c r="B44" s="2">
        <v>18</v>
      </c>
      <c r="C44" s="5">
        <f t="shared" si="3"/>
        <v>11.949196248337469</v>
      </c>
      <c r="D44" s="5">
        <f t="shared" si="2"/>
        <v>11.260204560382848</v>
      </c>
      <c r="E44" s="3">
        <f t="shared" si="1"/>
        <v>0.68899168795462096</v>
      </c>
      <c r="F44" s="3"/>
    </row>
    <row r="45" spans="1:6" x14ac:dyDescent="0.3">
      <c r="A45" s="1" t="s">
        <v>46</v>
      </c>
      <c r="B45" s="2">
        <v>20</v>
      </c>
      <c r="C45" s="5">
        <f t="shared" si="3"/>
        <v>13.276884720374964</v>
      </c>
      <c r="D45" s="5">
        <f t="shared" si="2"/>
        <v>12.511338400425384</v>
      </c>
      <c r="E45" s="3">
        <f t="shared" si="1"/>
        <v>0.76554631994958022</v>
      </c>
      <c r="F45" s="3"/>
    </row>
    <row r="46" spans="1:6" x14ac:dyDescent="0.3">
      <c r="A46" s="1" t="s">
        <v>47</v>
      </c>
      <c r="B46" s="2">
        <v>23</v>
      </c>
      <c r="C46" s="5">
        <f t="shared" si="3"/>
        <v>15.26841742843121</v>
      </c>
      <c r="D46" s="5">
        <f t="shared" si="2"/>
        <v>14.388039160489194</v>
      </c>
      <c r="E46" s="3">
        <f t="shared" si="1"/>
        <v>0.88037826794201557</v>
      </c>
      <c r="F46" s="3"/>
    </row>
    <row r="47" spans="1:6" x14ac:dyDescent="0.3">
      <c r="A47" s="1" t="s">
        <v>48</v>
      </c>
      <c r="B47" s="2">
        <v>21</v>
      </c>
      <c r="C47" s="5">
        <f t="shared" si="3"/>
        <v>13.940728956393713</v>
      </c>
      <c r="D47" s="5">
        <f t="shared" si="2"/>
        <v>13.136905320446655</v>
      </c>
      <c r="E47" s="3">
        <f t="shared" si="1"/>
        <v>0.80382363594705808</v>
      </c>
      <c r="F47" s="3"/>
    </row>
    <row r="48" spans="1:6" x14ac:dyDescent="0.3">
      <c r="A48" s="1" t="s">
        <v>49</v>
      </c>
      <c r="B48" s="2">
        <v>18</v>
      </c>
      <c r="C48" s="5">
        <f t="shared" si="3"/>
        <v>11.949196248337469</v>
      </c>
      <c r="D48" s="5">
        <f t="shared" si="2"/>
        <v>11.260204560382848</v>
      </c>
      <c r="E48" s="3">
        <f t="shared" si="1"/>
        <v>0.68899168795462096</v>
      </c>
      <c r="F48" s="3"/>
    </row>
    <row r="49" spans="1:9" x14ac:dyDescent="0.3">
      <c r="A49" s="1" t="s">
        <v>50</v>
      </c>
      <c r="B49" s="2">
        <v>20</v>
      </c>
      <c r="C49" s="5">
        <f t="shared" si="3"/>
        <v>13.276884720374964</v>
      </c>
      <c r="D49" s="5">
        <f t="shared" si="2"/>
        <v>12.511338400425384</v>
      </c>
      <c r="E49" s="3">
        <f t="shared" si="1"/>
        <v>0.76554631994958022</v>
      </c>
      <c r="F49" s="3"/>
    </row>
    <row r="50" spans="1:9" x14ac:dyDescent="0.3">
      <c r="A50" s="1" t="s">
        <v>51</v>
      </c>
      <c r="B50" s="2">
        <v>19</v>
      </c>
      <c r="C50" s="5">
        <f t="shared" si="3"/>
        <v>12.613040484356217</v>
      </c>
      <c r="D50" s="5">
        <f t="shared" si="2"/>
        <v>11.885771480404115</v>
      </c>
      <c r="E50" s="3">
        <f t="shared" si="1"/>
        <v>0.72726900395210237</v>
      </c>
      <c r="F50" s="3"/>
    </row>
    <row r="51" spans="1:9" x14ac:dyDescent="0.3">
      <c r="A51" s="1" t="s">
        <v>52</v>
      </c>
      <c r="B51" s="2">
        <v>18</v>
      </c>
      <c r="C51" s="5">
        <f t="shared" si="3"/>
        <v>11.949196248337469</v>
      </c>
      <c r="D51" s="5">
        <f t="shared" si="2"/>
        <v>11.260204560382848</v>
      </c>
      <c r="E51" s="3">
        <f t="shared" si="1"/>
        <v>0.68899168795462096</v>
      </c>
      <c r="F51" s="3"/>
    </row>
    <row r="52" spans="1:9" x14ac:dyDescent="0.3">
      <c r="A52" s="1" t="s">
        <v>53</v>
      </c>
      <c r="B52" s="2">
        <v>19</v>
      </c>
      <c r="C52" s="5">
        <f t="shared" si="3"/>
        <v>12.613040484356217</v>
      </c>
      <c r="D52" s="5">
        <f t="shared" si="2"/>
        <v>11.885771480404115</v>
      </c>
      <c r="E52" s="3">
        <f t="shared" si="1"/>
        <v>0.72726900395210237</v>
      </c>
      <c r="F52" s="3"/>
    </row>
    <row r="53" spans="1:9" x14ac:dyDescent="0.3">
      <c r="A53" s="1" t="s">
        <v>54</v>
      </c>
      <c r="B53" s="2">
        <v>25</v>
      </c>
      <c r="C53" s="5">
        <f t="shared" si="3"/>
        <v>16.596105900468704</v>
      </c>
      <c r="D53" s="5">
        <f t="shared" si="2"/>
        <v>15.639173000531732</v>
      </c>
      <c r="E53" s="3">
        <f t="shared" si="1"/>
        <v>0.95693289993697128</v>
      </c>
      <c r="F53" s="3"/>
    </row>
    <row r="54" spans="1:9" x14ac:dyDescent="0.3">
      <c r="A54" s="1" t="s">
        <v>55</v>
      </c>
      <c r="B54" s="2">
        <v>45</v>
      </c>
      <c r="C54" s="5">
        <f t="shared" si="3"/>
        <v>29.87299062084367</v>
      </c>
      <c r="D54" s="5">
        <f t="shared" si="2"/>
        <v>28.150511400957118</v>
      </c>
      <c r="E54" s="3">
        <f t="shared" si="1"/>
        <v>1.7224792198865515</v>
      </c>
      <c r="F54" s="3"/>
    </row>
    <row r="55" spans="1:9" x14ac:dyDescent="0.3">
      <c r="A55" s="1" t="s">
        <v>56</v>
      </c>
      <c r="B55" s="2">
        <v>44</v>
      </c>
      <c r="C55" s="5">
        <f t="shared" si="3"/>
        <v>29.209146384824923</v>
      </c>
      <c r="D55" s="5">
        <f t="shared" si="2"/>
        <v>27.524944480935847</v>
      </c>
      <c r="E55" s="3">
        <f t="shared" si="1"/>
        <v>1.6842019038890754</v>
      </c>
      <c r="F55" s="3"/>
    </row>
    <row r="56" spans="1:9" x14ac:dyDescent="0.3">
      <c r="E56" s="3"/>
    </row>
    <row r="58" spans="1:9" x14ac:dyDescent="0.3">
      <c r="H58" s="6"/>
      <c r="I58" s="6"/>
    </row>
  </sheetData>
  <mergeCells count="1">
    <mergeCell ref="C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m.sanchez</dc:creator>
  <cp:lastModifiedBy>Miguel Angel Sanchez</cp:lastModifiedBy>
  <dcterms:created xsi:type="dcterms:W3CDTF">2015-06-05T18:17:20Z</dcterms:created>
  <dcterms:modified xsi:type="dcterms:W3CDTF">2026-02-16T08:46:35Z</dcterms:modified>
</cp:coreProperties>
</file>