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984F4B8B-9D9B-4F5C-9E82-F04D6FCC45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1" r:id="rId1"/>
  </sheets>
  <definedNames>
    <definedName name="_xlnm._FilterDatabase" localSheetId="0" hidden="1">SARI_per_10x5pop!$A$1:$S$1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2" i="1"/>
</calcChain>
</file>

<file path=xl/sharedStrings.xml><?xml version="1.0" encoding="utf-8"?>
<sst xmlns="http://schemas.openxmlformats.org/spreadsheetml/2006/main" count="151" uniqueCount="87">
  <si>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</si>
  <si>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</si>
  <si>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</si>
  <si>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</si>
  <si>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</si>
  <si>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</si>
  <si>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</si>
  <si>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</si>
  <si>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</si>
  <si>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</si>
  <si>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</si>
  <si>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</si>
  <si>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</si>
  <si>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</si>
  <si>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</si>
  <si>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</si>
  <si>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</si>
  <si>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</si>
  <si>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</si>
  <si>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</si>
  <si>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</si>
  <si>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</si>
  <si>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</si>
  <si>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</si>
  <si>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</si>
  <si>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</si>
  <si>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</si>
  <si>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</si>
  <si>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</si>
  <si>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</si>
  <si>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</si>
  <si>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</si>
  <si>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</si>
  <si>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</si>
  <si>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</si>
  <si>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</si>
  <si>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</si>
  <si>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</si>
  <si>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</si>
  <si>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</si>
  <si>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</si>
  <si>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</si>
  <si>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</si>
  <si>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</si>
  <si>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</si>
  <si>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</si>
  <si>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</si>
  <si>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</si>
  <si>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</si>
  <si>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</si>
  <si>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</si>
  <si>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</si>
  <si>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</si>
  <si>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</si>
  <si>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</si>
  <si>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</si>
  <si>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</si>
  <si>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</si>
  <si>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</si>
  <si>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</si>
  <si>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</si>
  <si>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</si>
  <si>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</si>
  <si>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</si>
  <si>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</si>
  <si>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 xml:space="preserve">country </t>
  </si>
  <si>
    <t>AU</t>
  </si>
  <si>
    <t>saricase05_14</t>
  </si>
  <si>
    <t>saricase_UNK</t>
  </si>
  <si>
    <t>saricase_total</t>
  </si>
  <si>
    <t>week</t>
  </si>
  <si>
    <t>saricase0_4</t>
  </si>
  <si>
    <t>saricase15_29</t>
  </si>
  <si>
    <t>saricase30_64</t>
  </si>
  <si>
    <t>saricase65+</t>
  </si>
  <si>
    <t>catchment0_4</t>
  </si>
  <si>
    <t>catchment05_14</t>
  </si>
  <si>
    <t>catchment15_29</t>
  </si>
  <si>
    <t>catchment30_64</t>
  </si>
  <si>
    <t>catchment65+</t>
  </si>
  <si>
    <t>catchment_total</t>
  </si>
  <si>
    <t>saricaserate0_4</t>
  </si>
  <si>
    <t>saricaserate05_14</t>
  </si>
  <si>
    <t>saricaserate15_29</t>
  </si>
  <si>
    <t>saricaserate30_64</t>
  </si>
  <si>
    <t>saricaserate65+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</si>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</sst>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6" fillId="0" borderId="0" xfId="0" applyNumberFormat="1" applyFont="1"/>
    <xf numFmtId="164" fontId="7" fillId="0" borderId="2" xfId="0" applyNumberFormat="1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F47" sqref="F47"/>
    </sheetView>
  </sheetViews>
  <sheetFormatPr defaultRowHeight="14.4" x14ac:dyDescent="0.3"/>
  <cols>
    <col min="1" max="1" width="10.88671875" style="1" customWidth="1"/>
    <col min="3" max="3" width="19.44140625" customWidth="1"/>
    <col min="4" max="4" width="20.21875" customWidth="1"/>
    <col min="5" max="5" width="20.21875" style="8" customWidth="1"/>
    <col min="6" max="6" width="20.88671875" customWidth="1"/>
    <col min="7" max="7" width="20.109375" customWidth="1"/>
    <col min="8" max="8" width="20.109375" style="8" customWidth="1"/>
    <col min="9" max="10" width="17.21875" customWidth="1"/>
    <col min="11" max="11" width="17.21875" style="8" customWidth="1"/>
    <col min="12" max="13" width="16.77734375" customWidth="1"/>
    <col min="14" max="14" width="21.33203125" style="8" customWidth="1"/>
    <col min="15" max="16" width="18.33203125" customWidth="1"/>
    <col min="17" max="17" width="18.33203125" style="8" customWidth="1"/>
    <col min="19" max="19" width="19.6640625" customWidth="1"/>
    <col min="20" max="20" width="15.44140625" customWidth="1"/>
    <col min="21" max="21" width="17.109375" style="11" customWidth="1"/>
  </cols>
  <sheetData>
    <row r="1" spans="1:21" ht="21" thickBot="1" x14ac:dyDescent="0.35">
      <c r="A1" s="2" t="s">
        <v>65</v>
      </c>
      <c r="B1" s="2" t="s">
        <v>70</v>
      </c>
      <c r="C1" s="3" t="s">
        <v>71</v>
      </c>
      <c r="D1" s="3" t="s">
        <v>75</v>
      </c>
      <c r="E1" s="12" t="s">
        <v>81</v>
      </c>
      <c r="F1" s="4" t="s">
        <v>67</v>
      </c>
      <c r="G1" s="4" t="s">
        <v>76</v>
      </c>
      <c r="H1" s="12" t="s">
        <v>82</v>
      </c>
      <c r="I1" s="3" t="s">
        <v>72</v>
      </c>
      <c r="J1" s="3" t="s">
        <v>77</v>
      </c>
      <c r="K1" s="12" t="s">
        <v>83</v>
      </c>
      <c r="L1" s="3" t="s">
        <v>73</v>
      </c>
      <c r="M1" s="3" t="s">
        <v>78</v>
      </c>
      <c r="N1" s="12" t="s">
        <v>84</v>
      </c>
      <c r="O1" s="3" t="s">
        <v>74</v>
      </c>
      <c r="P1" s="3" t="s">
        <v>79</v>
      </c>
      <c r="Q1" s="12" t="s">
        <v>85</v>
      </c>
      <c r="R1" s="3" t="s">
        <v>68</v>
      </c>
      <c r="S1" s="3" t="s">
        <v>69</v>
      </c>
      <c r="T1" s="3" t="s">
        <v>80</v>
      </c>
      <c r="U1" s="13" t="s">
        <v>86</v>
      </c>
    </row>
    <row r="2" spans="1:21" x14ac:dyDescent="0.3">
      <c r="A2" s="9" t="s">
        <v>66</v>
      </c>
      <c r="B2" s="5" t="s">
        <v>0</v>
      </c>
      <c r="C2" s="5">
        <v>135</v>
      </c>
      <c r="D2" s="5">
        <v>423924</v>
      </c>
      <c r="E2" s="7">
        <f>C2/D2*100000</f>
        <v>31.845330766835563</v>
      </c>
      <c r="F2" s="5">
        <v>41</v>
      </c>
      <c r="G2" s="5">
        <v>891897</v>
      </c>
      <c r="H2" s="7">
        <f>F2/G2*100000</f>
        <v>4.5969433690213108</v>
      </c>
      <c r="I2" s="5">
        <v>33</v>
      </c>
      <c r="J2" s="5">
        <v>1538511</v>
      </c>
      <c r="K2" s="7">
        <f>I2/J2*100000</f>
        <v>2.144931040467049</v>
      </c>
      <c r="L2" s="5">
        <v>241</v>
      </c>
      <c r="M2" s="5">
        <v>4487270</v>
      </c>
      <c r="N2" s="7">
        <f>L2/M2*100000</f>
        <v>5.3707488071812035</v>
      </c>
      <c r="O2" s="5">
        <v>1014</v>
      </c>
      <c r="P2" s="5">
        <v>1817148</v>
      </c>
      <c r="Q2" s="7">
        <f>O2/P2*100000</f>
        <v>55.801728863031521</v>
      </c>
      <c r="R2" s="5">
        <v>14</v>
      </c>
      <c r="S2" s="5">
        <v>1478</v>
      </c>
      <c r="T2" s="6">
        <f>D2+G2+J2+M2+P2</f>
        <v>9158750</v>
      </c>
      <c r="U2" s="10">
        <f>S2/T2*100000</f>
        <v>16.137573358809881</v>
      </c>
    </row>
    <row r="3" spans="1:21" x14ac:dyDescent="0.3">
      <c r="A3" s="9" t="s">
        <v>66</v>
      </c>
      <c r="B3" s="5" t="s">
        <v>1</v>
      </c>
      <c r="C3" s="5">
        <v>121</v>
      </c>
      <c r="D3" s="5">
        <v>423924</v>
      </c>
      <c r="E3" s="7">
        <f t="shared" ref="E3:E66" si="0">C3/D3*100000</f>
        <v>28.54285202064521</v>
      </c>
      <c r="F3" s="5">
        <v>46</v>
      </c>
      <c r="G3" s="5">
        <v>891897</v>
      </c>
      <c r="H3" s="7">
        <f t="shared" ref="H3:H66" si="1">F3/G3*100000</f>
        <v>5.1575462189019587</v>
      </c>
      <c r="I3" s="5">
        <v>43</v>
      </c>
      <c r="J3" s="5">
        <v>1538511</v>
      </c>
      <c r="K3" s="7">
        <f t="shared" ref="K3:K66" si="2">I3/J3*100000</f>
        <v>2.7949101436388819</v>
      </c>
      <c r="L3" s="5">
        <v>266</v>
      </c>
      <c r="M3" s="5">
        <v>4487270</v>
      </c>
      <c r="N3" s="7">
        <f t="shared" ref="N3:N66" si="3">L3/M3*100000</f>
        <v>5.9278804261834033</v>
      </c>
      <c r="O3" s="5">
        <v>1105</v>
      </c>
      <c r="P3" s="5">
        <v>1817148</v>
      </c>
      <c r="Q3" s="7">
        <f t="shared" ref="Q3:Q66" si="4">O3/P3*100000</f>
        <v>60.809576325098455</v>
      </c>
      <c r="R3" s="5">
        <v>10</v>
      </c>
      <c r="S3" s="5">
        <v>1591</v>
      </c>
      <c r="T3" s="6">
        <f t="shared" ref="T3:T66" si="5">D3+G3+J3+M3+P3</f>
        <v>9158750</v>
      </c>
      <c r="U3" s="10">
        <f t="shared" ref="U3:U66" si="6">S3/T3*100000</f>
        <v>17.371366179882624</v>
      </c>
    </row>
    <row r="4" spans="1:21" x14ac:dyDescent="0.3">
      <c r="A4" s="9" t="s">
        <v>66</v>
      </c>
      <c r="B4" s="5" t="s">
        <v>2</v>
      </c>
      <c r="C4" s="5">
        <v>101</v>
      </c>
      <c r="D4" s="5">
        <v>423924</v>
      </c>
      <c r="E4" s="7">
        <f t="shared" si="0"/>
        <v>23.825025240373275</v>
      </c>
      <c r="F4" s="5">
        <v>47</v>
      </c>
      <c r="G4" s="5">
        <v>891897</v>
      </c>
      <c r="H4" s="7">
        <f t="shared" si="1"/>
        <v>5.2696667888780881</v>
      </c>
      <c r="I4" s="5">
        <v>42</v>
      </c>
      <c r="J4" s="5">
        <v>1538511</v>
      </c>
      <c r="K4" s="7">
        <f t="shared" si="2"/>
        <v>2.7299122333216985</v>
      </c>
      <c r="L4" s="5">
        <v>281</v>
      </c>
      <c r="M4" s="5">
        <v>4487270</v>
      </c>
      <c r="N4" s="7">
        <f t="shared" si="3"/>
        <v>6.2621593975847238</v>
      </c>
      <c r="O4" s="5">
        <v>1249</v>
      </c>
      <c r="P4" s="5">
        <v>1817148</v>
      </c>
      <c r="Q4" s="7">
        <f t="shared" si="4"/>
        <v>68.734082199138427</v>
      </c>
      <c r="R4" s="5">
        <v>15</v>
      </c>
      <c r="S4" s="5">
        <v>1735</v>
      </c>
      <c r="T4" s="6">
        <f t="shared" si="5"/>
        <v>9158750</v>
      </c>
      <c r="U4" s="10">
        <f t="shared" si="6"/>
        <v>18.943633137709842</v>
      </c>
    </row>
    <row r="5" spans="1:21" x14ac:dyDescent="0.3">
      <c r="A5" s="9" t="s">
        <v>66</v>
      </c>
      <c r="B5" s="5" t="s">
        <v>3</v>
      </c>
      <c r="C5" s="5">
        <v>98</v>
      </c>
      <c r="D5" s="5">
        <v>423924</v>
      </c>
      <c r="E5" s="7">
        <f t="shared" si="0"/>
        <v>23.117351223332484</v>
      </c>
      <c r="F5" s="5">
        <v>42</v>
      </c>
      <c r="G5" s="5">
        <v>891897</v>
      </c>
      <c r="H5" s="7">
        <f t="shared" si="1"/>
        <v>4.7090639389974402</v>
      </c>
      <c r="I5" s="5">
        <v>38</v>
      </c>
      <c r="J5" s="5">
        <v>1538511</v>
      </c>
      <c r="K5" s="7">
        <f t="shared" si="2"/>
        <v>2.4699205920529654</v>
      </c>
      <c r="L5" s="5">
        <v>288</v>
      </c>
      <c r="M5" s="5">
        <v>4487270</v>
      </c>
      <c r="N5" s="7">
        <f t="shared" si="3"/>
        <v>6.4181562509053389</v>
      </c>
      <c r="O5" s="5">
        <v>1346</v>
      </c>
      <c r="P5" s="5">
        <v>1817148</v>
      </c>
      <c r="Q5" s="7">
        <f t="shared" si="4"/>
        <v>74.07211740595703</v>
      </c>
      <c r="R5" s="5">
        <v>21</v>
      </c>
      <c r="S5" s="5">
        <v>1833</v>
      </c>
      <c r="T5" s="6">
        <f t="shared" si="5"/>
        <v>9158750</v>
      </c>
      <c r="U5" s="10">
        <f t="shared" si="6"/>
        <v>20.013648150675582</v>
      </c>
    </row>
    <row r="6" spans="1:21" x14ac:dyDescent="0.3">
      <c r="A6" s="9" t="s">
        <v>66</v>
      </c>
      <c r="B6" s="5" t="s">
        <v>4</v>
      </c>
      <c r="C6" s="5">
        <v>121</v>
      </c>
      <c r="D6" s="5">
        <v>423924</v>
      </c>
      <c r="E6" s="7">
        <f t="shared" si="0"/>
        <v>28.54285202064521</v>
      </c>
      <c r="F6" s="5">
        <v>29</v>
      </c>
      <c r="G6" s="5">
        <v>891897</v>
      </c>
      <c r="H6" s="7">
        <f t="shared" si="1"/>
        <v>3.2514965293077562</v>
      </c>
      <c r="I6" s="5">
        <v>44</v>
      </c>
      <c r="J6" s="5">
        <v>1538511</v>
      </c>
      <c r="K6" s="7">
        <f t="shared" si="2"/>
        <v>2.8599080539560653</v>
      </c>
      <c r="L6" s="5">
        <v>282</v>
      </c>
      <c r="M6" s="5">
        <v>4487270</v>
      </c>
      <c r="N6" s="7">
        <f t="shared" si="3"/>
        <v>6.2844446623448116</v>
      </c>
      <c r="O6" s="5">
        <v>1374</v>
      </c>
      <c r="P6" s="5">
        <v>1817148</v>
      </c>
      <c r="Q6" s="7">
        <f t="shared" si="4"/>
        <v>75.61299354813147</v>
      </c>
      <c r="R6" s="5">
        <v>19</v>
      </c>
      <c r="S6" s="5">
        <v>1869</v>
      </c>
      <c r="T6" s="6">
        <f t="shared" si="5"/>
        <v>9158750</v>
      </c>
      <c r="U6" s="10">
        <f t="shared" si="6"/>
        <v>20.406714890132385</v>
      </c>
    </row>
    <row r="7" spans="1:21" x14ac:dyDescent="0.3">
      <c r="A7" s="9" t="s">
        <v>66</v>
      </c>
      <c r="B7" s="5" t="s">
        <v>5</v>
      </c>
      <c r="C7" s="5">
        <v>120</v>
      </c>
      <c r="D7" s="5">
        <v>423924</v>
      </c>
      <c r="E7" s="7">
        <f t="shared" si="0"/>
        <v>28.306960681631615</v>
      </c>
      <c r="F7" s="5">
        <v>47</v>
      </c>
      <c r="G7" s="5">
        <v>891897</v>
      </c>
      <c r="H7" s="7">
        <f t="shared" si="1"/>
        <v>5.2696667888780881</v>
      </c>
      <c r="I7" s="5">
        <v>45</v>
      </c>
      <c r="J7" s="5">
        <v>1538511</v>
      </c>
      <c r="K7" s="7">
        <f t="shared" si="2"/>
        <v>2.9249059642732487</v>
      </c>
      <c r="L7" s="5">
        <v>271</v>
      </c>
      <c r="M7" s="5">
        <v>4487270</v>
      </c>
      <c r="N7" s="7">
        <f t="shared" si="3"/>
        <v>6.0393067499838429</v>
      </c>
      <c r="O7" s="5">
        <v>1377</v>
      </c>
      <c r="P7" s="5">
        <v>1817148</v>
      </c>
      <c r="Q7" s="7">
        <f t="shared" si="4"/>
        <v>75.778087420507305</v>
      </c>
      <c r="R7" s="5">
        <v>7</v>
      </c>
      <c r="S7" s="5">
        <v>1867</v>
      </c>
      <c r="T7" s="6">
        <f t="shared" si="5"/>
        <v>9158750</v>
      </c>
      <c r="U7" s="10">
        <f t="shared" si="6"/>
        <v>20.384877849051453</v>
      </c>
    </row>
    <row r="8" spans="1:21" x14ac:dyDescent="0.3">
      <c r="A8" s="9" t="s">
        <v>66</v>
      </c>
      <c r="B8" s="5" t="s">
        <v>6</v>
      </c>
      <c r="C8" s="5">
        <v>143</v>
      </c>
      <c r="D8" s="5">
        <v>423924</v>
      </c>
      <c r="E8" s="7">
        <f t="shared" si="0"/>
        <v>33.732461478944337</v>
      </c>
      <c r="F8" s="5">
        <v>42</v>
      </c>
      <c r="G8" s="5">
        <v>891897</v>
      </c>
      <c r="H8" s="7">
        <f t="shared" si="1"/>
        <v>4.7090639389974402</v>
      </c>
      <c r="I8" s="5">
        <v>52</v>
      </c>
      <c r="J8" s="5">
        <v>1538511</v>
      </c>
      <c r="K8" s="7">
        <f t="shared" si="2"/>
        <v>3.3798913364935319</v>
      </c>
      <c r="L8" s="5">
        <v>311</v>
      </c>
      <c r="M8" s="5">
        <v>4487270</v>
      </c>
      <c r="N8" s="7">
        <f t="shared" si="3"/>
        <v>6.9307173403873623</v>
      </c>
      <c r="O8" s="5">
        <v>1577</v>
      </c>
      <c r="P8" s="5">
        <v>1817148</v>
      </c>
      <c r="Q8" s="7">
        <f t="shared" si="4"/>
        <v>86.784345578896151</v>
      </c>
      <c r="R8" s="5">
        <v>9</v>
      </c>
      <c r="S8" s="5">
        <v>2134</v>
      </c>
      <c r="T8" s="6">
        <f t="shared" si="5"/>
        <v>9158750</v>
      </c>
      <c r="U8" s="10">
        <f t="shared" si="6"/>
        <v>23.300122833356081</v>
      </c>
    </row>
    <row r="9" spans="1:21" x14ac:dyDescent="0.3">
      <c r="A9" s="9" t="s">
        <v>66</v>
      </c>
      <c r="B9" s="5" t="s">
        <v>7</v>
      </c>
      <c r="C9" s="5">
        <v>174</v>
      </c>
      <c r="D9" s="5">
        <v>423924</v>
      </c>
      <c r="E9" s="7">
        <f t="shared" si="0"/>
        <v>41.045092988365838</v>
      </c>
      <c r="F9" s="5">
        <v>67</v>
      </c>
      <c r="G9" s="5">
        <v>891897</v>
      </c>
      <c r="H9" s="7">
        <f t="shared" si="1"/>
        <v>7.5120781884006789</v>
      </c>
      <c r="I9" s="5">
        <v>55</v>
      </c>
      <c r="J9" s="5">
        <v>1538511</v>
      </c>
      <c r="K9" s="7">
        <f t="shared" si="2"/>
        <v>3.5748850674450812</v>
      </c>
      <c r="L9" s="5">
        <v>354</v>
      </c>
      <c r="M9" s="5">
        <v>4487270</v>
      </c>
      <c r="N9" s="7">
        <f t="shared" si="3"/>
        <v>7.888983725071145</v>
      </c>
      <c r="O9" s="5">
        <v>1714</v>
      </c>
      <c r="P9" s="5">
        <v>1817148</v>
      </c>
      <c r="Q9" s="7">
        <f t="shared" si="4"/>
        <v>94.323632417392531</v>
      </c>
      <c r="R9" s="5">
        <v>10</v>
      </c>
      <c r="S9" s="5">
        <v>2374</v>
      </c>
      <c r="T9" s="6">
        <f t="shared" si="5"/>
        <v>9158750</v>
      </c>
      <c r="U9" s="10">
        <f t="shared" si="6"/>
        <v>25.920567763068103</v>
      </c>
    </row>
    <row r="10" spans="1:21" x14ac:dyDescent="0.3">
      <c r="A10" s="9" t="s">
        <v>66</v>
      </c>
      <c r="B10" s="5" t="s">
        <v>8</v>
      </c>
      <c r="C10" s="5">
        <v>186</v>
      </c>
      <c r="D10" s="5">
        <v>423924</v>
      </c>
      <c r="E10" s="7">
        <f t="shared" si="0"/>
        <v>43.875789056529001</v>
      </c>
      <c r="F10" s="5">
        <v>50</v>
      </c>
      <c r="G10" s="5">
        <v>891897</v>
      </c>
      <c r="H10" s="7">
        <f t="shared" si="1"/>
        <v>5.6060284988064764</v>
      </c>
      <c r="I10" s="5">
        <v>52</v>
      </c>
      <c r="J10" s="5">
        <v>1538511</v>
      </c>
      <c r="K10" s="7">
        <f t="shared" si="2"/>
        <v>3.3798913364935319</v>
      </c>
      <c r="L10" s="5">
        <v>439</v>
      </c>
      <c r="M10" s="5">
        <v>4487270</v>
      </c>
      <c r="N10" s="7">
        <f t="shared" si="3"/>
        <v>9.7832312296786252</v>
      </c>
      <c r="O10" s="5">
        <v>1781</v>
      </c>
      <c r="P10" s="5">
        <v>1817148</v>
      </c>
      <c r="Q10" s="7">
        <f t="shared" si="4"/>
        <v>98.010728900452804</v>
      </c>
      <c r="R10" s="5">
        <v>14</v>
      </c>
      <c r="S10" s="5">
        <v>2522</v>
      </c>
      <c r="T10" s="6">
        <f t="shared" si="5"/>
        <v>9158750</v>
      </c>
      <c r="U10" s="10">
        <f t="shared" si="6"/>
        <v>27.536508803057185</v>
      </c>
    </row>
    <row r="11" spans="1:21" x14ac:dyDescent="0.3">
      <c r="A11" s="9" t="s">
        <v>66</v>
      </c>
      <c r="B11" s="5" t="s">
        <v>9</v>
      </c>
      <c r="C11" s="5">
        <v>249</v>
      </c>
      <c r="D11" s="5">
        <v>423924</v>
      </c>
      <c r="E11" s="7">
        <f t="shared" si="0"/>
        <v>58.7369434143856</v>
      </c>
      <c r="F11" s="5">
        <v>58</v>
      </c>
      <c r="G11" s="5">
        <v>891897</v>
      </c>
      <c r="H11" s="7">
        <f t="shared" si="1"/>
        <v>6.5029930586155125</v>
      </c>
      <c r="I11" s="5">
        <v>67</v>
      </c>
      <c r="J11" s="5">
        <v>1538511</v>
      </c>
      <c r="K11" s="7">
        <f t="shared" si="2"/>
        <v>4.3548599912512813</v>
      </c>
      <c r="L11" s="5">
        <v>446</v>
      </c>
      <c r="M11" s="5">
        <v>4487270</v>
      </c>
      <c r="N11" s="7">
        <f t="shared" si="3"/>
        <v>9.9392280829992394</v>
      </c>
      <c r="O11" s="5">
        <v>1837</v>
      </c>
      <c r="P11" s="5">
        <v>1817148</v>
      </c>
      <c r="Q11" s="7">
        <f t="shared" si="4"/>
        <v>101.09248118480168</v>
      </c>
      <c r="R11" s="5">
        <v>23</v>
      </c>
      <c r="S11" s="5">
        <v>2680</v>
      </c>
      <c r="T11" s="6">
        <f t="shared" si="5"/>
        <v>9158750</v>
      </c>
      <c r="U11" s="10">
        <f t="shared" si="6"/>
        <v>29.261635048450934</v>
      </c>
    </row>
    <row r="12" spans="1:21" x14ac:dyDescent="0.3">
      <c r="A12" s="9" t="s">
        <v>66</v>
      </c>
      <c r="B12" s="5" t="s">
        <v>10</v>
      </c>
      <c r="C12" s="5">
        <v>290</v>
      </c>
      <c r="D12" s="5">
        <v>423924</v>
      </c>
      <c r="E12" s="7">
        <f t="shared" si="0"/>
        <v>68.408488313943067</v>
      </c>
      <c r="F12" s="5">
        <v>52</v>
      </c>
      <c r="G12" s="5">
        <v>891897</v>
      </c>
      <c r="H12" s="7">
        <f t="shared" si="1"/>
        <v>5.8302696387587361</v>
      </c>
      <c r="I12" s="5">
        <v>58</v>
      </c>
      <c r="J12" s="5">
        <v>1538511</v>
      </c>
      <c r="K12" s="7">
        <f t="shared" si="2"/>
        <v>3.7698787983966318</v>
      </c>
      <c r="L12" s="5">
        <v>472</v>
      </c>
      <c r="M12" s="5">
        <v>4487270</v>
      </c>
      <c r="N12" s="7">
        <f t="shared" si="3"/>
        <v>10.518644966761528</v>
      </c>
      <c r="O12" s="5">
        <v>1955</v>
      </c>
      <c r="P12" s="5">
        <v>1817148</v>
      </c>
      <c r="Q12" s="7">
        <f t="shared" si="4"/>
        <v>107.5861734982511</v>
      </c>
      <c r="R12" s="5">
        <v>27</v>
      </c>
      <c r="S12" s="5">
        <v>2854</v>
      </c>
      <c r="T12" s="6">
        <f t="shared" si="5"/>
        <v>9158750</v>
      </c>
      <c r="U12" s="10">
        <f t="shared" si="6"/>
        <v>31.161457622492151</v>
      </c>
    </row>
    <row r="13" spans="1:21" x14ac:dyDescent="0.3">
      <c r="A13" s="9" t="s">
        <v>66</v>
      </c>
      <c r="B13" s="5" t="s">
        <v>11</v>
      </c>
      <c r="C13" s="5">
        <v>310</v>
      </c>
      <c r="D13" s="5">
        <v>423924</v>
      </c>
      <c r="E13" s="7">
        <f t="shared" si="0"/>
        <v>73.126315094215002</v>
      </c>
      <c r="F13" s="5">
        <v>55</v>
      </c>
      <c r="G13" s="5">
        <v>891897</v>
      </c>
      <c r="H13" s="7">
        <f t="shared" si="1"/>
        <v>6.1666313486871243</v>
      </c>
      <c r="I13" s="5">
        <v>51</v>
      </c>
      <c r="J13" s="5">
        <v>1538511</v>
      </c>
      <c r="K13" s="7">
        <f t="shared" si="2"/>
        <v>3.314893426176349</v>
      </c>
      <c r="L13" s="5">
        <v>416</v>
      </c>
      <c r="M13" s="5">
        <v>4487270</v>
      </c>
      <c r="N13" s="7">
        <f t="shared" si="3"/>
        <v>9.2706701401966018</v>
      </c>
      <c r="O13" s="5">
        <v>2014</v>
      </c>
      <c r="P13" s="5">
        <v>1817148</v>
      </c>
      <c r="Q13" s="7">
        <f t="shared" si="4"/>
        <v>110.83301965497583</v>
      </c>
      <c r="R13" s="5">
        <v>29</v>
      </c>
      <c r="S13" s="5">
        <v>2875</v>
      </c>
      <c r="T13" s="6">
        <f t="shared" si="5"/>
        <v>9158750</v>
      </c>
      <c r="U13" s="10">
        <f t="shared" si="6"/>
        <v>31.390746553841954</v>
      </c>
    </row>
    <row r="14" spans="1:21" x14ac:dyDescent="0.3">
      <c r="A14" s="9" t="s">
        <v>66</v>
      </c>
      <c r="B14" s="5" t="s">
        <v>12</v>
      </c>
      <c r="C14" s="5">
        <v>398</v>
      </c>
      <c r="D14" s="5">
        <v>423924</v>
      </c>
      <c r="E14" s="7">
        <f t="shared" si="0"/>
        <v>93.884752927411512</v>
      </c>
      <c r="F14" s="5">
        <v>65</v>
      </c>
      <c r="G14" s="5">
        <v>891897</v>
      </c>
      <c r="H14" s="7">
        <f t="shared" si="1"/>
        <v>7.2878370484484201</v>
      </c>
      <c r="I14" s="5">
        <v>54</v>
      </c>
      <c r="J14" s="5">
        <v>1538511</v>
      </c>
      <c r="K14" s="7">
        <f t="shared" si="2"/>
        <v>3.5098871571278982</v>
      </c>
      <c r="L14" s="5">
        <v>483</v>
      </c>
      <c r="M14" s="5">
        <v>4487270</v>
      </c>
      <c r="N14" s="7">
        <f t="shared" si="3"/>
        <v>10.763782879122495</v>
      </c>
      <c r="O14" s="5">
        <v>2119</v>
      </c>
      <c r="P14" s="5">
        <v>1817148</v>
      </c>
      <c r="Q14" s="7">
        <f t="shared" si="4"/>
        <v>116.61130518812998</v>
      </c>
      <c r="R14" s="5">
        <v>99</v>
      </c>
      <c r="S14" s="5">
        <v>3218</v>
      </c>
      <c r="T14" s="6">
        <f t="shared" si="5"/>
        <v>9158750</v>
      </c>
      <c r="U14" s="10">
        <f t="shared" si="6"/>
        <v>35.135799099222055</v>
      </c>
    </row>
    <row r="15" spans="1:21" x14ac:dyDescent="0.3">
      <c r="A15" s="9" t="s">
        <v>66</v>
      </c>
      <c r="B15" s="5" t="s">
        <v>13</v>
      </c>
      <c r="C15" s="5">
        <v>402</v>
      </c>
      <c r="D15" s="5">
        <v>423924</v>
      </c>
      <c r="E15" s="7">
        <f t="shared" si="0"/>
        <v>94.828318283465904</v>
      </c>
      <c r="F15" s="5">
        <v>49</v>
      </c>
      <c r="G15" s="5">
        <v>891897</v>
      </c>
      <c r="H15" s="7">
        <f t="shared" si="1"/>
        <v>5.493907928830347</v>
      </c>
      <c r="I15" s="5">
        <v>56</v>
      </c>
      <c r="J15" s="5">
        <v>1538511</v>
      </c>
      <c r="K15" s="7">
        <f t="shared" si="2"/>
        <v>3.639882977762265</v>
      </c>
      <c r="L15" s="5">
        <v>463</v>
      </c>
      <c r="M15" s="5">
        <v>4487270</v>
      </c>
      <c r="N15" s="7">
        <f t="shared" si="3"/>
        <v>10.318077583920736</v>
      </c>
      <c r="O15" s="5">
        <v>1849</v>
      </c>
      <c r="P15" s="5">
        <v>1817148</v>
      </c>
      <c r="Q15" s="7">
        <f t="shared" si="4"/>
        <v>101.75285667430501</v>
      </c>
      <c r="R15" s="5">
        <v>60</v>
      </c>
      <c r="S15" s="5">
        <v>2879</v>
      </c>
      <c r="T15" s="6">
        <f t="shared" si="5"/>
        <v>9158750</v>
      </c>
      <c r="U15" s="10">
        <f t="shared" si="6"/>
        <v>31.434420636003821</v>
      </c>
    </row>
    <row r="16" spans="1:21" x14ac:dyDescent="0.3">
      <c r="A16" s="9" t="s">
        <v>66</v>
      </c>
      <c r="B16" s="5" t="s">
        <v>14</v>
      </c>
      <c r="C16" s="5">
        <v>268</v>
      </c>
      <c r="D16" s="5">
        <v>423924</v>
      </c>
      <c r="E16" s="7">
        <f t="shared" si="0"/>
        <v>63.218878855643936</v>
      </c>
      <c r="F16" s="5">
        <v>51</v>
      </c>
      <c r="G16" s="5">
        <v>891897</v>
      </c>
      <c r="H16" s="7">
        <f t="shared" si="1"/>
        <v>5.7181490687826058</v>
      </c>
      <c r="I16" s="5">
        <v>50</v>
      </c>
      <c r="J16" s="5">
        <v>1538511</v>
      </c>
      <c r="K16" s="7">
        <f t="shared" si="2"/>
        <v>3.2498955158591651</v>
      </c>
      <c r="L16" s="5">
        <v>425</v>
      </c>
      <c r="M16" s="5">
        <v>4487270</v>
      </c>
      <c r="N16" s="7">
        <f t="shared" si="3"/>
        <v>9.4712375230373915</v>
      </c>
      <c r="O16" s="5">
        <v>1469</v>
      </c>
      <c r="P16" s="5">
        <v>1817148</v>
      </c>
      <c r="Q16" s="7">
        <f t="shared" si="4"/>
        <v>80.840966173366169</v>
      </c>
      <c r="R16" s="5">
        <v>43</v>
      </c>
      <c r="S16" s="5">
        <v>2306</v>
      </c>
      <c r="T16" s="6">
        <f t="shared" si="5"/>
        <v>9158750</v>
      </c>
      <c r="U16" s="10">
        <f t="shared" si="6"/>
        <v>25.178108366316366</v>
      </c>
    </row>
    <row r="17" spans="1:21" x14ac:dyDescent="0.3">
      <c r="A17" s="9" t="s">
        <v>66</v>
      </c>
      <c r="B17" s="5" t="s">
        <v>15</v>
      </c>
      <c r="C17" s="5">
        <v>382</v>
      </c>
      <c r="D17" s="5">
        <v>423924</v>
      </c>
      <c r="E17" s="7">
        <f t="shared" si="0"/>
        <v>90.11049150319397</v>
      </c>
      <c r="F17" s="5">
        <v>92</v>
      </c>
      <c r="G17" s="5">
        <v>891897</v>
      </c>
      <c r="H17" s="7">
        <f t="shared" si="1"/>
        <v>10.315092437803917</v>
      </c>
      <c r="I17" s="5">
        <v>58</v>
      </c>
      <c r="J17" s="5">
        <v>1538511</v>
      </c>
      <c r="K17" s="7">
        <f t="shared" si="2"/>
        <v>3.7698787983966318</v>
      </c>
      <c r="L17" s="5">
        <v>383</v>
      </c>
      <c r="M17" s="5">
        <v>4487270</v>
      </c>
      <c r="N17" s="7">
        <f t="shared" si="3"/>
        <v>8.5352564031136975</v>
      </c>
      <c r="O17" s="5">
        <v>1470</v>
      </c>
      <c r="P17" s="5">
        <v>1817148</v>
      </c>
      <c r="Q17" s="7">
        <f t="shared" si="4"/>
        <v>80.895997464158128</v>
      </c>
      <c r="R17" s="5">
        <v>49</v>
      </c>
      <c r="S17" s="5">
        <v>2434</v>
      </c>
      <c r="T17" s="6">
        <f t="shared" si="5"/>
        <v>9158750</v>
      </c>
      <c r="U17" s="10">
        <f t="shared" si="6"/>
        <v>26.575678995496112</v>
      </c>
    </row>
    <row r="18" spans="1:21" x14ac:dyDescent="0.3">
      <c r="A18" s="9" t="s">
        <v>66</v>
      </c>
      <c r="B18" s="5" t="s">
        <v>16</v>
      </c>
      <c r="C18" s="5">
        <v>520</v>
      </c>
      <c r="D18" s="5">
        <v>423924</v>
      </c>
      <c r="E18" s="7">
        <f t="shared" si="0"/>
        <v>122.66349628707032</v>
      </c>
      <c r="F18" s="5">
        <v>88</v>
      </c>
      <c r="G18" s="5">
        <v>891897</v>
      </c>
      <c r="H18" s="7">
        <f t="shared" si="1"/>
        <v>9.8666101578993981</v>
      </c>
      <c r="I18" s="5">
        <v>54</v>
      </c>
      <c r="J18" s="5">
        <v>1538511</v>
      </c>
      <c r="K18" s="7">
        <f t="shared" si="2"/>
        <v>3.5098871571278982</v>
      </c>
      <c r="L18" s="5">
        <v>444</v>
      </c>
      <c r="M18" s="5">
        <v>4487270</v>
      </c>
      <c r="N18" s="7">
        <f t="shared" si="3"/>
        <v>9.8946575534790639</v>
      </c>
      <c r="O18" s="5">
        <v>1585</v>
      </c>
      <c r="P18" s="5">
        <v>1817148</v>
      </c>
      <c r="Q18" s="7">
        <f t="shared" si="4"/>
        <v>87.224595905231723</v>
      </c>
      <c r="R18" s="5">
        <v>77</v>
      </c>
      <c r="S18" s="5">
        <v>2768</v>
      </c>
      <c r="T18" s="6">
        <f t="shared" si="5"/>
        <v>9158750</v>
      </c>
      <c r="U18" s="10">
        <f t="shared" si="6"/>
        <v>30.222464856012007</v>
      </c>
    </row>
    <row r="19" spans="1:21" x14ac:dyDescent="0.3">
      <c r="A19" s="9" t="s">
        <v>66</v>
      </c>
      <c r="B19" s="5" t="s">
        <v>17</v>
      </c>
      <c r="C19" s="5">
        <v>537</v>
      </c>
      <c r="D19" s="5">
        <v>423924</v>
      </c>
      <c r="E19" s="7">
        <f t="shared" si="0"/>
        <v>126.67364905030146</v>
      </c>
      <c r="F19" s="5">
        <v>97</v>
      </c>
      <c r="G19" s="5">
        <v>891897</v>
      </c>
      <c r="H19" s="7">
        <f t="shared" si="1"/>
        <v>10.875695287684565</v>
      </c>
      <c r="I19" s="5">
        <v>49</v>
      </c>
      <c r="J19" s="5">
        <v>1538511</v>
      </c>
      <c r="K19" s="7">
        <f t="shared" si="2"/>
        <v>3.1848976055419822</v>
      </c>
      <c r="L19" s="5">
        <v>541</v>
      </c>
      <c r="M19" s="5">
        <v>4487270</v>
      </c>
      <c r="N19" s="7">
        <f t="shared" si="3"/>
        <v>12.056328235207598</v>
      </c>
      <c r="O19" s="5">
        <v>1645</v>
      </c>
      <c r="P19" s="5">
        <v>1817148</v>
      </c>
      <c r="Q19" s="7">
        <f t="shared" si="4"/>
        <v>90.526473352748368</v>
      </c>
      <c r="R19" s="5">
        <v>98</v>
      </c>
      <c r="S19" s="5">
        <v>2967</v>
      </c>
      <c r="T19" s="6">
        <f t="shared" si="5"/>
        <v>9158750</v>
      </c>
      <c r="U19" s="10">
        <f t="shared" si="6"/>
        <v>32.395250443564898</v>
      </c>
    </row>
    <row r="20" spans="1:21" x14ac:dyDescent="0.3">
      <c r="A20" s="9" t="s">
        <v>66</v>
      </c>
      <c r="B20" s="5" t="s">
        <v>18</v>
      </c>
      <c r="C20" s="5">
        <v>516</v>
      </c>
      <c r="D20" s="5">
        <v>423924</v>
      </c>
      <c r="E20" s="7">
        <f t="shared" si="0"/>
        <v>121.71993093101592</v>
      </c>
      <c r="F20" s="5">
        <v>92</v>
      </c>
      <c r="G20" s="5">
        <v>891897</v>
      </c>
      <c r="H20" s="7">
        <f t="shared" si="1"/>
        <v>10.315092437803917</v>
      </c>
      <c r="I20" s="5">
        <v>41</v>
      </c>
      <c r="J20" s="5">
        <v>1538511</v>
      </c>
      <c r="K20" s="7">
        <f t="shared" si="2"/>
        <v>2.6649143230045151</v>
      </c>
      <c r="L20" s="5">
        <v>487</v>
      </c>
      <c r="M20" s="5">
        <v>4487270</v>
      </c>
      <c r="N20" s="7">
        <f t="shared" si="3"/>
        <v>10.852923938162848</v>
      </c>
      <c r="O20" s="5">
        <v>1658</v>
      </c>
      <c r="P20" s="5">
        <v>1817148</v>
      </c>
      <c r="Q20" s="7">
        <f t="shared" si="4"/>
        <v>91.241880133043651</v>
      </c>
      <c r="R20" s="5">
        <v>104</v>
      </c>
      <c r="S20" s="5">
        <v>2898</v>
      </c>
      <c r="T20" s="6">
        <f t="shared" si="5"/>
        <v>9158750</v>
      </c>
      <c r="U20" s="10">
        <f t="shared" si="6"/>
        <v>31.641872526272689</v>
      </c>
    </row>
    <row r="21" spans="1:21" x14ac:dyDescent="0.3">
      <c r="A21" s="9" t="s">
        <v>66</v>
      </c>
      <c r="B21" s="5" t="s">
        <v>19</v>
      </c>
      <c r="C21" s="5">
        <v>375</v>
      </c>
      <c r="D21" s="5">
        <v>423924</v>
      </c>
      <c r="E21" s="7">
        <f t="shared" si="0"/>
        <v>88.45925213009879</v>
      </c>
      <c r="F21" s="5">
        <v>79</v>
      </c>
      <c r="G21" s="5">
        <v>891897</v>
      </c>
      <c r="H21" s="7">
        <f t="shared" si="1"/>
        <v>8.8575250281142335</v>
      </c>
      <c r="I21" s="5">
        <v>58</v>
      </c>
      <c r="J21" s="5">
        <v>1538511</v>
      </c>
      <c r="K21" s="7">
        <f t="shared" si="2"/>
        <v>3.7698787983966318</v>
      </c>
      <c r="L21" s="5">
        <v>404</v>
      </c>
      <c r="M21" s="5">
        <v>4487270</v>
      </c>
      <c r="N21" s="7">
        <f t="shared" si="3"/>
        <v>9.0032469630755454</v>
      </c>
      <c r="O21" s="5">
        <v>1374</v>
      </c>
      <c r="P21" s="5">
        <v>1817148</v>
      </c>
      <c r="Q21" s="7">
        <f t="shared" si="4"/>
        <v>75.61299354813147</v>
      </c>
      <c r="R21" s="5">
        <v>107</v>
      </c>
      <c r="S21" s="5">
        <v>2397</v>
      </c>
      <c r="T21" s="6">
        <f t="shared" si="5"/>
        <v>9158750</v>
      </c>
      <c r="U21" s="10">
        <f t="shared" si="6"/>
        <v>26.171693735498838</v>
      </c>
    </row>
    <row r="22" spans="1:21" x14ac:dyDescent="0.3">
      <c r="A22" s="9" t="s">
        <v>66</v>
      </c>
      <c r="B22" s="5" t="s">
        <v>20</v>
      </c>
      <c r="C22" s="5">
        <v>278</v>
      </c>
      <c r="D22" s="5">
        <v>423924</v>
      </c>
      <c r="E22" s="7">
        <f t="shared" si="0"/>
        <v>65.577792245779904</v>
      </c>
      <c r="F22" s="5">
        <v>70</v>
      </c>
      <c r="G22" s="5">
        <v>891897</v>
      </c>
      <c r="H22" s="7">
        <f t="shared" si="1"/>
        <v>7.848439898329068</v>
      </c>
      <c r="I22" s="5">
        <v>52</v>
      </c>
      <c r="J22" s="5">
        <v>1538511</v>
      </c>
      <c r="K22" s="7">
        <f t="shared" si="2"/>
        <v>3.3798913364935319</v>
      </c>
      <c r="L22" s="5">
        <v>283</v>
      </c>
      <c r="M22" s="5">
        <v>4487270</v>
      </c>
      <c r="N22" s="7">
        <f t="shared" si="3"/>
        <v>6.3067299271048993</v>
      </c>
      <c r="O22" s="5">
        <v>1214</v>
      </c>
      <c r="P22" s="5">
        <v>1817148</v>
      </c>
      <c r="Q22" s="7">
        <f t="shared" si="4"/>
        <v>66.807987021420374</v>
      </c>
      <c r="R22" s="5">
        <v>116</v>
      </c>
      <c r="S22" s="5">
        <v>2013</v>
      </c>
      <c r="T22" s="6">
        <f t="shared" si="5"/>
        <v>9158750</v>
      </c>
      <c r="U22" s="10">
        <f t="shared" si="6"/>
        <v>21.978981847959602</v>
      </c>
    </row>
    <row r="23" spans="1:21" x14ac:dyDescent="0.3">
      <c r="A23" s="9" t="s">
        <v>66</v>
      </c>
      <c r="B23" s="5" t="s">
        <v>21</v>
      </c>
      <c r="C23" s="5">
        <v>219</v>
      </c>
      <c r="D23" s="5">
        <v>423924</v>
      </c>
      <c r="E23" s="7">
        <f t="shared" si="0"/>
        <v>51.660203243977691</v>
      </c>
      <c r="F23" s="5">
        <v>61</v>
      </c>
      <c r="G23" s="5">
        <v>891897</v>
      </c>
      <c r="H23" s="7">
        <f t="shared" si="1"/>
        <v>6.8393547685439016</v>
      </c>
      <c r="I23" s="5">
        <v>31</v>
      </c>
      <c r="J23" s="5">
        <v>1538511</v>
      </c>
      <c r="K23" s="7">
        <f t="shared" si="2"/>
        <v>2.0149352198326826</v>
      </c>
      <c r="L23" s="5">
        <v>271</v>
      </c>
      <c r="M23" s="5">
        <v>4487270</v>
      </c>
      <c r="N23" s="7">
        <f t="shared" si="3"/>
        <v>6.0393067499838429</v>
      </c>
      <c r="O23" s="5">
        <v>987</v>
      </c>
      <c r="P23" s="5">
        <v>1817148</v>
      </c>
      <c r="Q23" s="7">
        <f t="shared" si="4"/>
        <v>54.315884011649025</v>
      </c>
      <c r="R23" s="5">
        <v>74</v>
      </c>
      <c r="S23" s="5">
        <v>1643</v>
      </c>
      <c r="T23" s="6">
        <f t="shared" si="5"/>
        <v>9158750</v>
      </c>
      <c r="U23" s="10">
        <f t="shared" si="6"/>
        <v>17.939129247986898</v>
      </c>
    </row>
    <row r="24" spans="1:21" x14ac:dyDescent="0.3">
      <c r="A24" s="9" t="s">
        <v>66</v>
      </c>
      <c r="B24" s="5" t="s">
        <v>22</v>
      </c>
      <c r="C24" s="5">
        <v>204</v>
      </c>
      <c r="D24" s="5">
        <v>423924</v>
      </c>
      <c r="E24" s="7">
        <f t="shared" si="0"/>
        <v>48.12183315877374</v>
      </c>
      <c r="F24" s="5">
        <v>61</v>
      </c>
      <c r="G24" s="5">
        <v>891897</v>
      </c>
      <c r="H24" s="7">
        <f t="shared" si="1"/>
        <v>6.8393547685439016</v>
      </c>
      <c r="I24" s="5">
        <v>35</v>
      </c>
      <c r="J24" s="5">
        <v>1538511</v>
      </c>
      <c r="K24" s="7">
        <f t="shared" si="2"/>
        <v>2.2749268611014157</v>
      </c>
      <c r="L24" s="5">
        <v>278</v>
      </c>
      <c r="M24" s="5">
        <v>4487270</v>
      </c>
      <c r="N24" s="7">
        <f t="shared" si="3"/>
        <v>6.1953036033044588</v>
      </c>
      <c r="O24" s="5">
        <v>946</v>
      </c>
      <c r="P24" s="5">
        <v>1817148</v>
      </c>
      <c r="Q24" s="7">
        <f t="shared" si="4"/>
        <v>52.05960108917931</v>
      </c>
      <c r="R24" s="5">
        <v>55</v>
      </c>
      <c r="S24" s="5">
        <v>1579</v>
      </c>
      <c r="T24" s="6">
        <f t="shared" si="5"/>
        <v>9158750</v>
      </c>
      <c r="U24" s="10">
        <f t="shared" si="6"/>
        <v>17.240343933397025</v>
      </c>
    </row>
    <row r="25" spans="1:21" x14ac:dyDescent="0.3">
      <c r="A25" s="9" t="s">
        <v>66</v>
      </c>
      <c r="B25" s="5" t="s">
        <v>23</v>
      </c>
      <c r="C25" s="5">
        <v>181</v>
      </c>
      <c r="D25" s="5">
        <v>423924</v>
      </c>
      <c r="E25" s="7">
        <f t="shared" si="0"/>
        <v>42.696332361461018</v>
      </c>
      <c r="F25" s="5">
        <v>47</v>
      </c>
      <c r="G25" s="5">
        <v>891897</v>
      </c>
      <c r="H25" s="7">
        <f t="shared" si="1"/>
        <v>5.2696667888780881</v>
      </c>
      <c r="I25" s="5">
        <v>27</v>
      </c>
      <c r="J25" s="5">
        <v>1538511</v>
      </c>
      <c r="K25" s="7">
        <f t="shared" si="2"/>
        <v>1.7549435785639491</v>
      </c>
      <c r="L25" s="5">
        <v>253</v>
      </c>
      <c r="M25" s="5">
        <v>4487270</v>
      </c>
      <c r="N25" s="7">
        <f t="shared" si="3"/>
        <v>5.6381719843022591</v>
      </c>
      <c r="O25" s="5">
        <v>867</v>
      </c>
      <c r="P25" s="5">
        <v>1817148</v>
      </c>
      <c r="Q25" s="7">
        <f t="shared" si="4"/>
        <v>47.712129116615714</v>
      </c>
      <c r="R25" s="5">
        <v>47</v>
      </c>
      <c r="S25" s="5">
        <v>1422</v>
      </c>
      <c r="T25" s="6">
        <f t="shared" si="5"/>
        <v>9158750</v>
      </c>
      <c r="U25" s="10">
        <f t="shared" si="6"/>
        <v>15.526136208543742</v>
      </c>
    </row>
    <row r="26" spans="1:21" x14ac:dyDescent="0.3">
      <c r="A26" s="9" t="s">
        <v>66</v>
      </c>
      <c r="B26" s="5" t="s">
        <v>24</v>
      </c>
      <c r="C26" s="5">
        <v>178</v>
      </c>
      <c r="D26" s="5">
        <v>423924</v>
      </c>
      <c r="E26" s="7">
        <f t="shared" si="0"/>
        <v>41.988658344420223</v>
      </c>
      <c r="F26" s="5">
        <v>52</v>
      </c>
      <c r="G26" s="5">
        <v>891897</v>
      </c>
      <c r="H26" s="7">
        <f t="shared" si="1"/>
        <v>5.8302696387587361</v>
      </c>
      <c r="I26" s="5">
        <v>34</v>
      </c>
      <c r="J26" s="5">
        <v>1538511</v>
      </c>
      <c r="K26" s="7">
        <f t="shared" si="2"/>
        <v>2.2099289507842323</v>
      </c>
      <c r="L26" s="5">
        <v>215</v>
      </c>
      <c r="M26" s="5">
        <v>4487270</v>
      </c>
      <c r="N26" s="7">
        <f t="shared" si="3"/>
        <v>4.791331923418916</v>
      </c>
      <c r="O26" s="5">
        <v>818</v>
      </c>
      <c r="P26" s="5">
        <v>1817148</v>
      </c>
      <c r="Q26" s="7">
        <f t="shared" si="4"/>
        <v>45.01559586781044</v>
      </c>
      <c r="R26" s="5">
        <v>46</v>
      </c>
      <c r="S26" s="5">
        <v>1343</v>
      </c>
      <c r="T26" s="6">
        <f t="shared" si="5"/>
        <v>9158750</v>
      </c>
      <c r="U26" s="10">
        <f t="shared" si="6"/>
        <v>14.663573085846869</v>
      </c>
    </row>
    <row r="27" spans="1:21" x14ac:dyDescent="0.3">
      <c r="A27" s="9" t="s">
        <v>66</v>
      </c>
      <c r="B27" s="5" t="s">
        <v>25</v>
      </c>
      <c r="C27" s="5">
        <v>144</v>
      </c>
      <c r="D27" s="5">
        <v>423924</v>
      </c>
      <c r="E27" s="7">
        <f t="shared" si="0"/>
        <v>33.968352817957935</v>
      </c>
      <c r="F27" s="5">
        <v>52</v>
      </c>
      <c r="G27" s="5">
        <v>891897</v>
      </c>
      <c r="H27" s="7">
        <f t="shared" si="1"/>
        <v>5.8302696387587361</v>
      </c>
      <c r="I27" s="5">
        <v>34</v>
      </c>
      <c r="J27" s="5">
        <v>1538511</v>
      </c>
      <c r="K27" s="7">
        <f t="shared" si="2"/>
        <v>2.2099289507842323</v>
      </c>
      <c r="L27" s="5">
        <v>215</v>
      </c>
      <c r="M27" s="5">
        <v>4487270</v>
      </c>
      <c r="N27" s="7">
        <f t="shared" si="3"/>
        <v>4.791331923418916</v>
      </c>
      <c r="O27" s="5">
        <v>867</v>
      </c>
      <c r="P27" s="5">
        <v>1817148</v>
      </c>
      <c r="Q27" s="7">
        <f t="shared" si="4"/>
        <v>47.712129116615714</v>
      </c>
      <c r="R27" s="5">
        <v>55</v>
      </c>
      <c r="S27" s="5">
        <v>1367</v>
      </c>
      <c r="T27" s="6">
        <f t="shared" si="5"/>
        <v>9158750</v>
      </c>
      <c r="U27" s="10">
        <f t="shared" si="6"/>
        <v>14.92561757881807</v>
      </c>
    </row>
    <row r="28" spans="1:21" x14ac:dyDescent="0.3">
      <c r="A28" s="9" t="s">
        <v>66</v>
      </c>
      <c r="B28" s="5" t="s">
        <v>26</v>
      </c>
      <c r="C28" s="5">
        <v>118</v>
      </c>
      <c r="D28" s="5">
        <v>423924</v>
      </c>
      <c r="E28" s="7">
        <f t="shared" si="0"/>
        <v>27.835178003604419</v>
      </c>
      <c r="F28" s="5">
        <v>32</v>
      </c>
      <c r="G28" s="5">
        <v>891897</v>
      </c>
      <c r="H28" s="7">
        <f t="shared" si="1"/>
        <v>3.5878582392361453</v>
      </c>
      <c r="I28" s="5">
        <v>28</v>
      </c>
      <c r="J28" s="5">
        <v>1538511</v>
      </c>
      <c r="K28" s="7">
        <f t="shared" si="2"/>
        <v>1.8199414888811325</v>
      </c>
      <c r="L28" s="5">
        <v>249</v>
      </c>
      <c r="M28" s="5">
        <v>4487270</v>
      </c>
      <c r="N28" s="7">
        <f t="shared" si="3"/>
        <v>5.5490309252619072</v>
      </c>
      <c r="O28" s="5">
        <v>914</v>
      </c>
      <c r="P28" s="5">
        <v>1817148</v>
      </c>
      <c r="Q28" s="7">
        <f t="shared" si="4"/>
        <v>50.298599783837091</v>
      </c>
      <c r="R28" s="5">
        <v>24</v>
      </c>
      <c r="S28" s="5">
        <v>1365</v>
      </c>
      <c r="T28" s="6">
        <f t="shared" si="5"/>
        <v>9158750</v>
      </c>
      <c r="U28" s="10">
        <f t="shared" si="6"/>
        <v>14.903780537737138</v>
      </c>
    </row>
    <row r="29" spans="1:21" x14ac:dyDescent="0.3">
      <c r="A29" s="9" t="s">
        <v>66</v>
      </c>
      <c r="B29" s="5" t="s">
        <v>27</v>
      </c>
      <c r="C29" s="5">
        <v>124</v>
      </c>
      <c r="D29" s="5">
        <v>423924</v>
      </c>
      <c r="E29" s="7">
        <f t="shared" si="0"/>
        <v>29.250526037686001</v>
      </c>
      <c r="F29" s="5">
        <v>42</v>
      </c>
      <c r="G29" s="5">
        <v>891897</v>
      </c>
      <c r="H29" s="7">
        <f t="shared" si="1"/>
        <v>4.7090639389974402</v>
      </c>
      <c r="I29" s="5">
        <v>41</v>
      </c>
      <c r="J29" s="5">
        <v>1538511</v>
      </c>
      <c r="K29" s="7">
        <f t="shared" si="2"/>
        <v>2.6649143230045151</v>
      </c>
      <c r="L29" s="5">
        <v>199</v>
      </c>
      <c r="M29" s="5">
        <v>4487270</v>
      </c>
      <c r="N29" s="7">
        <f t="shared" si="3"/>
        <v>4.4347676872575086</v>
      </c>
      <c r="O29" s="5">
        <v>802</v>
      </c>
      <c r="P29" s="5">
        <v>1817148</v>
      </c>
      <c r="Q29" s="7">
        <f t="shared" si="4"/>
        <v>44.13509521513933</v>
      </c>
      <c r="R29" s="5">
        <v>15</v>
      </c>
      <c r="S29" s="5">
        <v>1223</v>
      </c>
      <c r="T29" s="6">
        <f t="shared" si="5"/>
        <v>9158750</v>
      </c>
      <c r="U29" s="10">
        <f t="shared" si="6"/>
        <v>13.353350620990858</v>
      </c>
    </row>
    <row r="30" spans="1:21" x14ac:dyDescent="0.3">
      <c r="A30" s="9" t="s">
        <v>66</v>
      </c>
      <c r="B30" s="5" t="s">
        <v>28</v>
      </c>
      <c r="C30" s="5">
        <v>111</v>
      </c>
      <c r="D30" s="5">
        <v>423924</v>
      </c>
      <c r="E30" s="7">
        <f t="shared" si="0"/>
        <v>26.183938630509246</v>
      </c>
      <c r="F30" s="5">
        <v>46</v>
      </c>
      <c r="G30" s="5">
        <v>891897</v>
      </c>
      <c r="H30" s="7">
        <f t="shared" si="1"/>
        <v>5.1575462189019587</v>
      </c>
      <c r="I30" s="5">
        <v>26</v>
      </c>
      <c r="J30" s="5">
        <v>1538511</v>
      </c>
      <c r="K30" s="7">
        <f t="shared" si="2"/>
        <v>1.689945668246766</v>
      </c>
      <c r="L30" s="5">
        <v>208</v>
      </c>
      <c r="M30" s="5">
        <v>4487270</v>
      </c>
      <c r="N30" s="7">
        <f t="shared" si="3"/>
        <v>4.6353350700983009</v>
      </c>
      <c r="O30" s="5">
        <v>749</v>
      </c>
      <c r="P30" s="5">
        <v>1817148</v>
      </c>
      <c r="Q30" s="7">
        <f t="shared" si="4"/>
        <v>41.218436803166284</v>
      </c>
      <c r="R30" s="5">
        <v>29</v>
      </c>
      <c r="S30" s="5">
        <v>1169</v>
      </c>
      <c r="T30" s="6">
        <f t="shared" si="5"/>
        <v>9158750</v>
      </c>
      <c r="U30" s="10">
        <f t="shared" si="6"/>
        <v>12.76375051180565</v>
      </c>
    </row>
    <row r="31" spans="1:21" x14ac:dyDescent="0.3">
      <c r="A31" s="9" t="s">
        <v>66</v>
      </c>
      <c r="B31" s="5" t="s">
        <v>29</v>
      </c>
      <c r="C31" s="5">
        <v>110</v>
      </c>
      <c r="D31" s="5">
        <v>423924</v>
      </c>
      <c r="E31" s="7">
        <f t="shared" si="0"/>
        <v>25.948047291495648</v>
      </c>
      <c r="F31" s="5">
        <v>42</v>
      </c>
      <c r="G31" s="5">
        <v>891897</v>
      </c>
      <c r="H31" s="7">
        <f t="shared" si="1"/>
        <v>4.7090639389974402</v>
      </c>
      <c r="I31" s="5">
        <v>32</v>
      </c>
      <c r="J31" s="5">
        <v>1538511</v>
      </c>
      <c r="K31" s="7">
        <f t="shared" si="2"/>
        <v>2.0799331301498656</v>
      </c>
      <c r="L31" s="5">
        <v>205</v>
      </c>
      <c r="M31" s="5">
        <v>4487270</v>
      </c>
      <c r="N31" s="7">
        <f t="shared" si="3"/>
        <v>4.5684792758180359</v>
      </c>
      <c r="O31" s="5">
        <v>761</v>
      </c>
      <c r="P31" s="5">
        <v>1817148</v>
      </c>
      <c r="Q31" s="7">
        <f t="shared" si="4"/>
        <v>41.878812292669615</v>
      </c>
      <c r="R31" s="5">
        <v>17</v>
      </c>
      <c r="S31" s="5">
        <v>1167</v>
      </c>
      <c r="T31" s="6">
        <f t="shared" si="5"/>
        <v>9158750</v>
      </c>
      <c r="U31" s="10">
        <f t="shared" si="6"/>
        <v>12.741913470724716</v>
      </c>
    </row>
    <row r="32" spans="1:21" x14ac:dyDescent="0.3">
      <c r="A32" s="9" t="s">
        <v>66</v>
      </c>
      <c r="B32" s="5" t="s">
        <v>30</v>
      </c>
      <c r="C32" s="5">
        <v>99</v>
      </c>
      <c r="D32" s="5">
        <v>423924</v>
      </c>
      <c r="E32" s="7">
        <f t="shared" si="0"/>
        <v>23.353242562346082</v>
      </c>
      <c r="F32" s="5">
        <v>39</v>
      </c>
      <c r="G32" s="5">
        <v>891897</v>
      </c>
      <c r="H32" s="7">
        <f t="shared" si="1"/>
        <v>4.372702229069052</v>
      </c>
      <c r="I32" s="5">
        <v>31</v>
      </c>
      <c r="J32" s="5">
        <v>1538511</v>
      </c>
      <c r="K32" s="7">
        <f t="shared" si="2"/>
        <v>2.0149352198326826</v>
      </c>
      <c r="L32" s="5">
        <v>219</v>
      </c>
      <c r="M32" s="5">
        <v>4487270</v>
      </c>
      <c r="N32" s="7">
        <f t="shared" si="3"/>
        <v>4.8804729824592679</v>
      </c>
      <c r="O32" s="5">
        <v>819</v>
      </c>
      <c r="P32" s="5">
        <v>1817148</v>
      </c>
      <c r="Q32" s="7">
        <f t="shared" si="4"/>
        <v>45.070627158602377</v>
      </c>
      <c r="R32" s="5">
        <v>23</v>
      </c>
      <c r="S32" s="5">
        <v>1230</v>
      </c>
      <c r="T32" s="6">
        <f t="shared" si="5"/>
        <v>9158750</v>
      </c>
      <c r="U32" s="10">
        <f t="shared" si="6"/>
        <v>13.429780264774124</v>
      </c>
    </row>
    <row r="33" spans="1:21" x14ac:dyDescent="0.3">
      <c r="A33" s="9" t="s">
        <v>66</v>
      </c>
      <c r="B33" s="5" t="s">
        <v>31</v>
      </c>
      <c r="C33" s="5">
        <v>90</v>
      </c>
      <c r="D33" s="5">
        <v>423924</v>
      </c>
      <c r="E33" s="7">
        <f t="shared" si="0"/>
        <v>21.23022051122371</v>
      </c>
      <c r="F33" s="5">
        <v>30</v>
      </c>
      <c r="G33" s="5">
        <v>891897</v>
      </c>
      <c r="H33" s="7">
        <f t="shared" si="1"/>
        <v>3.3636170992838861</v>
      </c>
      <c r="I33" s="5">
        <v>32</v>
      </c>
      <c r="J33" s="5">
        <v>1538511</v>
      </c>
      <c r="K33" s="7">
        <f t="shared" si="2"/>
        <v>2.0799331301498656</v>
      </c>
      <c r="L33" s="5">
        <v>189</v>
      </c>
      <c r="M33" s="5">
        <v>4487270</v>
      </c>
      <c r="N33" s="7">
        <f t="shared" si="3"/>
        <v>4.2119150396566285</v>
      </c>
      <c r="O33" s="5">
        <v>781</v>
      </c>
      <c r="P33" s="5">
        <v>1817148</v>
      </c>
      <c r="Q33" s="7">
        <f t="shared" si="4"/>
        <v>42.979438108508496</v>
      </c>
      <c r="R33" s="5">
        <v>21</v>
      </c>
      <c r="S33" s="5">
        <v>1143</v>
      </c>
      <c r="T33" s="6">
        <f t="shared" si="5"/>
        <v>9158750</v>
      </c>
      <c r="U33" s="10">
        <f t="shared" si="6"/>
        <v>12.479868977753513</v>
      </c>
    </row>
    <row r="34" spans="1:21" x14ac:dyDescent="0.3">
      <c r="A34" s="9" t="s">
        <v>66</v>
      </c>
      <c r="B34" s="5" t="s">
        <v>32</v>
      </c>
      <c r="C34" s="5">
        <v>74</v>
      </c>
      <c r="D34" s="5">
        <v>423924</v>
      </c>
      <c r="E34" s="7">
        <f t="shared" si="0"/>
        <v>17.455959087006161</v>
      </c>
      <c r="F34" s="5">
        <v>33</v>
      </c>
      <c r="G34" s="5">
        <v>891897</v>
      </c>
      <c r="H34" s="7">
        <f t="shared" si="1"/>
        <v>3.6999788092122747</v>
      </c>
      <c r="I34" s="5">
        <v>28</v>
      </c>
      <c r="J34" s="5">
        <v>1538511</v>
      </c>
      <c r="K34" s="7">
        <f t="shared" si="2"/>
        <v>1.8199414888811325</v>
      </c>
      <c r="L34" s="5">
        <v>205</v>
      </c>
      <c r="M34" s="5">
        <v>4487270</v>
      </c>
      <c r="N34" s="7">
        <f t="shared" si="3"/>
        <v>4.5684792758180359</v>
      </c>
      <c r="O34" s="5">
        <v>742</v>
      </c>
      <c r="P34" s="5">
        <v>1817148</v>
      </c>
      <c r="Q34" s="7">
        <f t="shared" si="4"/>
        <v>40.833217767622671</v>
      </c>
      <c r="R34" s="5">
        <v>20</v>
      </c>
      <c r="S34" s="5">
        <v>1102</v>
      </c>
      <c r="T34" s="6">
        <f t="shared" si="5"/>
        <v>9158750</v>
      </c>
      <c r="U34" s="10">
        <f t="shared" si="6"/>
        <v>12.032209635594377</v>
      </c>
    </row>
    <row r="35" spans="1:21" x14ac:dyDescent="0.3">
      <c r="A35" s="9" t="s">
        <v>66</v>
      </c>
      <c r="B35" s="5" t="s">
        <v>33</v>
      </c>
      <c r="C35" s="5">
        <v>73</v>
      </c>
      <c r="D35" s="5">
        <v>423924</v>
      </c>
      <c r="E35" s="7">
        <f t="shared" si="0"/>
        <v>17.220067747992566</v>
      </c>
      <c r="F35" s="5">
        <v>30</v>
      </c>
      <c r="G35" s="5">
        <v>891897</v>
      </c>
      <c r="H35" s="7">
        <f t="shared" si="1"/>
        <v>3.3636170992838861</v>
      </c>
      <c r="I35" s="5">
        <v>23</v>
      </c>
      <c r="J35" s="5">
        <v>1538511</v>
      </c>
      <c r="K35" s="7">
        <f t="shared" si="2"/>
        <v>1.494951937295216</v>
      </c>
      <c r="L35" s="5">
        <v>186</v>
      </c>
      <c r="M35" s="5">
        <v>4487270</v>
      </c>
      <c r="N35" s="7">
        <f t="shared" si="3"/>
        <v>4.1450592453763644</v>
      </c>
      <c r="O35" s="5">
        <v>696</v>
      </c>
      <c r="P35" s="5">
        <v>1817148</v>
      </c>
      <c r="Q35" s="7">
        <f t="shared" si="4"/>
        <v>38.301778391193231</v>
      </c>
      <c r="R35" s="5">
        <v>20</v>
      </c>
      <c r="S35" s="5">
        <v>1028</v>
      </c>
      <c r="T35" s="6">
        <f t="shared" si="5"/>
        <v>9158750</v>
      </c>
      <c r="U35" s="10">
        <f t="shared" si="6"/>
        <v>11.224239115599836</v>
      </c>
    </row>
    <row r="36" spans="1:21" x14ac:dyDescent="0.3">
      <c r="A36" s="9" t="s">
        <v>66</v>
      </c>
      <c r="B36" s="5" t="s">
        <v>34</v>
      </c>
      <c r="C36" s="5">
        <v>74</v>
      </c>
      <c r="D36" s="5">
        <v>423924</v>
      </c>
      <c r="E36" s="7">
        <f t="shared" si="0"/>
        <v>17.455959087006161</v>
      </c>
      <c r="F36" s="5">
        <v>26</v>
      </c>
      <c r="G36" s="5">
        <v>891897</v>
      </c>
      <c r="H36" s="7">
        <f t="shared" si="1"/>
        <v>2.915134819379368</v>
      </c>
      <c r="I36" s="5">
        <v>22</v>
      </c>
      <c r="J36" s="5">
        <v>1538511</v>
      </c>
      <c r="K36" s="7">
        <f t="shared" si="2"/>
        <v>1.4299540269780326</v>
      </c>
      <c r="L36" s="5">
        <v>173</v>
      </c>
      <c r="M36" s="5">
        <v>4487270</v>
      </c>
      <c r="N36" s="7">
        <f t="shared" si="3"/>
        <v>3.8553508034952211</v>
      </c>
      <c r="O36" s="5">
        <v>701</v>
      </c>
      <c r="P36" s="5">
        <v>1817148</v>
      </c>
      <c r="Q36" s="7">
        <f t="shared" si="4"/>
        <v>38.576934845152955</v>
      </c>
      <c r="R36" s="5">
        <v>23</v>
      </c>
      <c r="S36" s="5">
        <v>1019</v>
      </c>
      <c r="T36" s="6">
        <f t="shared" si="5"/>
        <v>9158750</v>
      </c>
      <c r="U36" s="10">
        <f t="shared" si="6"/>
        <v>11.125972430735635</v>
      </c>
    </row>
    <row r="37" spans="1:21" x14ac:dyDescent="0.3">
      <c r="A37" s="9" t="s">
        <v>66</v>
      </c>
      <c r="B37" s="5" t="s">
        <v>35</v>
      </c>
      <c r="C37" s="5">
        <v>57</v>
      </c>
      <c r="D37" s="5">
        <v>423924</v>
      </c>
      <c r="E37" s="7">
        <f t="shared" si="0"/>
        <v>13.445806323775017</v>
      </c>
      <c r="F37" s="5">
        <v>31</v>
      </c>
      <c r="G37" s="5">
        <v>891897</v>
      </c>
      <c r="H37" s="7">
        <f t="shared" si="1"/>
        <v>3.4757376692600155</v>
      </c>
      <c r="I37" s="5">
        <v>31</v>
      </c>
      <c r="J37" s="5">
        <v>1538511</v>
      </c>
      <c r="K37" s="7">
        <f t="shared" si="2"/>
        <v>2.0149352198326826</v>
      </c>
      <c r="L37" s="5">
        <v>220</v>
      </c>
      <c r="M37" s="5">
        <v>4487270</v>
      </c>
      <c r="N37" s="7">
        <f t="shared" si="3"/>
        <v>4.9027582472193565</v>
      </c>
      <c r="O37" s="5">
        <v>770</v>
      </c>
      <c r="P37" s="5">
        <v>1817148</v>
      </c>
      <c r="Q37" s="7">
        <f t="shared" si="4"/>
        <v>42.374093909797111</v>
      </c>
      <c r="R37" s="5">
        <v>29</v>
      </c>
      <c r="S37" s="5">
        <v>1138</v>
      </c>
      <c r="T37" s="6">
        <f t="shared" si="5"/>
        <v>9158750</v>
      </c>
      <c r="U37" s="10">
        <f t="shared" si="6"/>
        <v>12.42527637505118</v>
      </c>
    </row>
    <row r="38" spans="1:21" x14ac:dyDescent="0.3">
      <c r="A38" s="9" t="s">
        <v>66</v>
      </c>
      <c r="B38" s="5" t="s">
        <v>36</v>
      </c>
      <c r="C38" s="5">
        <v>61</v>
      </c>
      <c r="D38" s="5">
        <v>423924</v>
      </c>
      <c r="E38" s="7">
        <f t="shared" si="0"/>
        <v>14.389371679829404</v>
      </c>
      <c r="F38" s="5">
        <v>49</v>
      </c>
      <c r="G38" s="5">
        <v>891897</v>
      </c>
      <c r="H38" s="7">
        <f t="shared" si="1"/>
        <v>5.493907928830347</v>
      </c>
      <c r="I38" s="5">
        <v>36</v>
      </c>
      <c r="J38" s="5">
        <v>1538511</v>
      </c>
      <c r="K38" s="7">
        <f t="shared" si="2"/>
        <v>2.3399247714185991</v>
      </c>
      <c r="L38" s="5">
        <v>207</v>
      </c>
      <c r="M38" s="5">
        <v>4487270</v>
      </c>
      <c r="N38" s="7">
        <f t="shared" si="3"/>
        <v>4.6130498053382123</v>
      </c>
      <c r="O38" s="5">
        <v>700</v>
      </c>
      <c r="P38" s="5">
        <v>1817148</v>
      </c>
      <c r="Q38" s="7">
        <f t="shared" si="4"/>
        <v>38.52190355436101</v>
      </c>
      <c r="R38" s="5">
        <v>24</v>
      </c>
      <c r="S38" s="5">
        <v>1077</v>
      </c>
      <c r="T38" s="6">
        <f t="shared" si="5"/>
        <v>9158750</v>
      </c>
      <c r="U38" s="10">
        <f t="shared" si="6"/>
        <v>11.759246622082708</v>
      </c>
    </row>
    <row r="39" spans="1:21" x14ac:dyDescent="0.3">
      <c r="A39" s="9" t="s">
        <v>66</v>
      </c>
      <c r="B39" s="5" t="s">
        <v>37</v>
      </c>
      <c r="C39" s="5">
        <v>90</v>
      </c>
      <c r="D39" s="5">
        <v>423924</v>
      </c>
      <c r="E39" s="7">
        <f t="shared" si="0"/>
        <v>21.23022051122371</v>
      </c>
      <c r="F39" s="5">
        <v>49</v>
      </c>
      <c r="G39" s="5">
        <v>891897</v>
      </c>
      <c r="H39" s="7">
        <f t="shared" si="1"/>
        <v>5.493907928830347</v>
      </c>
      <c r="I39" s="5">
        <v>34</v>
      </c>
      <c r="J39" s="5">
        <v>1538511</v>
      </c>
      <c r="K39" s="7">
        <f t="shared" si="2"/>
        <v>2.2099289507842323</v>
      </c>
      <c r="L39" s="5">
        <v>186</v>
      </c>
      <c r="M39" s="5">
        <v>4487270</v>
      </c>
      <c r="N39" s="7">
        <f t="shared" si="3"/>
        <v>4.1450592453763644</v>
      </c>
      <c r="O39" s="5">
        <v>709</v>
      </c>
      <c r="P39" s="5">
        <v>1817148</v>
      </c>
      <c r="Q39" s="7">
        <f t="shared" si="4"/>
        <v>39.017185171488507</v>
      </c>
      <c r="R39" s="5">
        <v>28</v>
      </c>
      <c r="S39" s="5">
        <v>1096</v>
      </c>
      <c r="T39" s="6">
        <f t="shared" si="5"/>
        <v>9158750</v>
      </c>
      <c r="U39" s="10">
        <f t="shared" si="6"/>
        <v>11.966698512351577</v>
      </c>
    </row>
    <row r="40" spans="1:21" x14ac:dyDescent="0.3">
      <c r="A40" s="9" t="s">
        <v>66</v>
      </c>
      <c r="B40" s="5" t="s">
        <v>38</v>
      </c>
      <c r="C40" s="5">
        <v>56</v>
      </c>
      <c r="D40" s="5">
        <v>423924</v>
      </c>
      <c r="E40" s="7">
        <f t="shared" si="0"/>
        <v>13.209914984761419</v>
      </c>
      <c r="F40" s="5">
        <v>43</v>
      </c>
      <c r="G40" s="5">
        <v>891897</v>
      </c>
      <c r="H40" s="7">
        <f t="shared" si="1"/>
        <v>4.8211845089735696</v>
      </c>
      <c r="I40" s="5">
        <v>39</v>
      </c>
      <c r="J40" s="5">
        <v>1538511</v>
      </c>
      <c r="K40" s="7">
        <f t="shared" si="2"/>
        <v>2.5349185023701488</v>
      </c>
      <c r="L40" s="5">
        <v>192</v>
      </c>
      <c r="M40" s="5">
        <v>4487270</v>
      </c>
      <c r="N40" s="7">
        <f t="shared" si="3"/>
        <v>4.2787708339368926</v>
      </c>
      <c r="O40" s="5">
        <v>697</v>
      </c>
      <c r="P40" s="5">
        <v>1817148</v>
      </c>
      <c r="Q40" s="7">
        <f t="shared" si="4"/>
        <v>38.356809681985176</v>
      </c>
      <c r="R40" s="5">
        <v>28</v>
      </c>
      <c r="S40" s="5">
        <v>1055</v>
      </c>
      <c r="T40" s="6">
        <f t="shared" si="5"/>
        <v>9158750</v>
      </c>
      <c r="U40" s="10">
        <f t="shared" si="6"/>
        <v>11.519039170192439</v>
      </c>
    </row>
    <row r="41" spans="1:21" x14ac:dyDescent="0.3">
      <c r="A41" s="9" t="s">
        <v>66</v>
      </c>
      <c r="B41" s="5" t="s">
        <v>39</v>
      </c>
      <c r="C41" s="5">
        <v>50</v>
      </c>
      <c r="D41" s="5">
        <v>423924</v>
      </c>
      <c r="E41" s="7">
        <f t="shared" si="0"/>
        <v>11.794566950679839</v>
      </c>
      <c r="F41" s="5">
        <v>41</v>
      </c>
      <c r="G41" s="5">
        <v>891897</v>
      </c>
      <c r="H41" s="7">
        <f t="shared" si="1"/>
        <v>4.5969433690213108</v>
      </c>
      <c r="I41" s="5">
        <v>30</v>
      </c>
      <c r="J41" s="5">
        <v>1538511</v>
      </c>
      <c r="K41" s="7">
        <f t="shared" si="2"/>
        <v>1.949937309515499</v>
      </c>
      <c r="L41" s="5">
        <v>154</v>
      </c>
      <c r="M41" s="5">
        <v>4487270</v>
      </c>
      <c r="N41" s="7">
        <f t="shared" si="3"/>
        <v>3.4319307730535491</v>
      </c>
      <c r="O41" s="5">
        <v>606</v>
      </c>
      <c r="P41" s="5">
        <v>1817148</v>
      </c>
      <c r="Q41" s="7">
        <f t="shared" si="4"/>
        <v>33.348962219918242</v>
      </c>
      <c r="R41" s="5">
        <v>25</v>
      </c>
      <c r="S41" s="5">
        <v>906</v>
      </c>
      <c r="T41" s="6">
        <f t="shared" si="5"/>
        <v>9158750</v>
      </c>
      <c r="U41" s="10">
        <f t="shared" si="6"/>
        <v>9.8921796096628913</v>
      </c>
    </row>
    <row r="42" spans="1:21" x14ac:dyDescent="0.3">
      <c r="A42" s="9" t="s">
        <v>66</v>
      </c>
      <c r="B42" s="5" t="s">
        <v>40</v>
      </c>
      <c r="C42" s="5">
        <v>31</v>
      </c>
      <c r="D42" s="5">
        <v>423924</v>
      </c>
      <c r="E42" s="7">
        <f t="shared" si="0"/>
        <v>7.3126315094215002</v>
      </c>
      <c r="F42" s="5">
        <v>34</v>
      </c>
      <c r="G42" s="5">
        <v>891897</v>
      </c>
      <c r="H42" s="7">
        <f t="shared" si="1"/>
        <v>3.8120993791884037</v>
      </c>
      <c r="I42" s="5">
        <v>40</v>
      </c>
      <c r="J42" s="5">
        <v>1538511</v>
      </c>
      <c r="K42" s="7">
        <f t="shared" si="2"/>
        <v>2.5999164126873318</v>
      </c>
      <c r="L42" s="5">
        <v>244</v>
      </c>
      <c r="M42" s="5">
        <v>4487270</v>
      </c>
      <c r="N42" s="7">
        <f t="shared" si="3"/>
        <v>5.4376046014614676</v>
      </c>
      <c r="O42" s="5">
        <v>717</v>
      </c>
      <c r="P42" s="5">
        <v>1817148</v>
      </c>
      <c r="Q42" s="7">
        <f t="shared" si="4"/>
        <v>39.457435497824065</v>
      </c>
      <c r="R42" s="5">
        <v>27</v>
      </c>
      <c r="S42" s="5">
        <v>1093</v>
      </c>
      <c r="T42" s="6">
        <f t="shared" si="5"/>
        <v>9158750</v>
      </c>
      <c r="U42" s="10">
        <f t="shared" si="6"/>
        <v>11.933942950730176</v>
      </c>
    </row>
    <row r="43" spans="1:21" x14ac:dyDescent="0.3">
      <c r="A43" s="9" t="s">
        <v>66</v>
      </c>
      <c r="B43" s="5" t="s">
        <v>41</v>
      </c>
      <c r="C43" s="5">
        <v>39</v>
      </c>
      <c r="D43" s="5">
        <v>423924</v>
      </c>
      <c r="E43" s="7">
        <f t="shared" si="0"/>
        <v>9.1997622215302748</v>
      </c>
      <c r="F43" s="5">
        <v>44</v>
      </c>
      <c r="G43" s="5">
        <v>891897</v>
      </c>
      <c r="H43" s="7">
        <f t="shared" si="1"/>
        <v>4.9333050789496991</v>
      </c>
      <c r="I43" s="5">
        <v>38</v>
      </c>
      <c r="J43" s="5">
        <v>1538511</v>
      </c>
      <c r="K43" s="7">
        <f t="shared" si="2"/>
        <v>2.4699205920529654</v>
      </c>
      <c r="L43" s="5">
        <v>208</v>
      </c>
      <c r="M43" s="5">
        <v>4487270</v>
      </c>
      <c r="N43" s="7">
        <f t="shared" si="3"/>
        <v>4.6353350700983009</v>
      </c>
      <c r="O43" s="5">
        <v>762</v>
      </c>
      <c r="P43" s="5">
        <v>1817148</v>
      </c>
      <c r="Q43" s="7">
        <f t="shared" si="4"/>
        <v>41.933843583461559</v>
      </c>
      <c r="R43" s="5">
        <v>42</v>
      </c>
      <c r="S43" s="5">
        <v>1133</v>
      </c>
      <c r="T43" s="6">
        <f t="shared" si="5"/>
        <v>9158750</v>
      </c>
      <c r="U43" s="10">
        <f t="shared" si="6"/>
        <v>12.370683772348846</v>
      </c>
    </row>
    <row r="44" spans="1:21" x14ac:dyDescent="0.3">
      <c r="A44" s="9" t="s">
        <v>66</v>
      </c>
      <c r="B44" s="5" t="s">
        <v>42</v>
      </c>
      <c r="C44" s="5">
        <v>43</v>
      </c>
      <c r="D44" s="5">
        <v>423924</v>
      </c>
      <c r="E44" s="7">
        <f t="shared" si="0"/>
        <v>10.143327577584662</v>
      </c>
      <c r="F44" s="5">
        <v>57</v>
      </c>
      <c r="G44" s="5">
        <v>891897</v>
      </c>
      <c r="H44" s="7">
        <f t="shared" si="1"/>
        <v>6.3908724886393831</v>
      </c>
      <c r="I44" s="5">
        <v>44</v>
      </c>
      <c r="J44" s="5">
        <v>1538511</v>
      </c>
      <c r="K44" s="7">
        <f t="shared" si="2"/>
        <v>2.8599080539560653</v>
      </c>
      <c r="L44" s="5">
        <v>204</v>
      </c>
      <c r="M44" s="5">
        <v>4487270</v>
      </c>
      <c r="N44" s="7">
        <f t="shared" si="3"/>
        <v>4.5461940110579482</v>
      </c>
      <c r="O44" s="5">
        <v>716</v>
      </c>
      <c r="P44" s="5">
        <v>1817148</v>
      </c>
      <c r="Q44" s="7">
        <f t="shared" si="4"/>
        <v>39.402404207032113</v>
      </c>
      <c r="R44" s="5">
        <v>38</v>
      </c>
      <c r="S44" s="5">
        <v>1102</v>
      </c>
      <c r="T44" s="6">
        <f t="shared" si="5"/>
        <v>9158750</v>
      </c>
      <c r="U44" s="10">
        <f t="shared" si="6"/>
        <v>12.032209635594377</v>
      </c>
    </row>
    <row r="45" spans="1:21" x14ac:dyDescent="0.3">
      <c r="A45" s="9" t="s">
        <v>66</v>
      </c>
      <c r="B45" s="5" t="s">
        <v>43</v>
      </c>
      <c r="C45" s="5">
        <v>29</v>
      </c>
      <c r="D45" s="5">
        <v>423924</v>
      </c>
      <c r="E45" s="7">
        <f t="shared" si="0"/>
        <v>6.8408488313943057</v>
      </c>
      <c r="F45" s="5">
        <v>40</v>
      </c>
      <c r="G45" s="5">
        <v>891897</v>
      </c>
      <c r="H45" s="7">
        <f t="shared" si="1"/>
        <v>4.4848227990451806</v>
      </c>
      <c r="I45" s="5">
        <v>45</v>
      </c>
      <c r="J45" s="5">
        <v>1538511</v>
      </c>
      <c r="K45" s="7">
        <f t="shared" si="2"/>
        <v>2.9249059642732487</v>
      </c>
      <c r="L45" s="5">
        <v>230</v>
      </c>
      <c r="M45" s="5">
        <v>4487270</v>
      </c>
      <c r="N45" s="7">
        <f t="shared" si="3"/>
        <v>5.1256108948202357</v>
      </c>
      <c r="O45" s="5">
        <v>749</v>
      </c>
      <c r="P45" s="5">
        <v>1817148</v>
      </c>
      <c r="Q45" s="7">
        <f t="shared" si="4"/>
        <v>41.218436803166284</v>
      </c>
      <c r="R45" s="5">
        <v>41</v>
      </c>
      <c r="S45" s="5">
        <v>1134</v>
      </c>
      <c r="T45" s="6">
        <f t="shared" si="5"/>
        <v>9158750</v>
      </c>
      <c r="U45" s="10">
        <f t="shared" si="6"/>
        <v>12.381602292889314</v>
      </c>
    </row>
    <row r="46" spans="1:21" x14ac:dyDescent="0.3">
      <c r="A46" s="9" t="s">
        <v>66</v>
      </c>
      <c r="B46" s="5" t="s">
        <v>44</v>
      </c>
      <c r="C46" s="5">
        <v>35</v>
      </c>
      <c r="D46" s="5">
        <v>423924</v>
      </c>
      <c r="E46" s="7">
        <f t="shared" si="0"/>
        <v>8.2561968654758875</v>
      </c>
      <c r="F46" s="5">
        <v>36</v>
      </c>
      <c r="G46" s="5">
        <v>891897</v>
      </c>
      <c r="H46" s="7">
        <f t="shared" si="1"/>
        <v>4.0363405191406629</v>
      </c>
      <c r="I46" s="5">
        <v>53</v>
      </c>
      <c r="J46" s="5">
        <v>1538511</v>
      </c>
      <c r="K46" s="7">
        <f t="shared" si="2"/>
        <v>3.4448892468107148</v>
      </c>
      <c r="L46" s="5">
        <v>223</v>
      </c>
      <c r="M46" s="5">
        <v>4487270</v>
      </c>
      <c r="N46" s="7">
        <f t="shared" si="3"/>
        <v>4.9696140414996197</v>
      </c>
      <c r="O46" s="5">
        <v>752</v>
      </c>
      <c r="P46" s="5">
        <v>1817148</v>
      </c>
      <c r="Q46" s="7">
        <f t="shared" si="4"/>
        <v>41.383530675542112</v>
      </c>
      <c r="R46" s="5">
        <v>49</v>
      </c>
      <c r="S46" s="5">
        <v>1148</v>
      </c>
      <c r="T46" s="6">
        <f t="shared" si="5"/>
        <v>9158750</v>
      </c>
      <c r="U46" s="10">
        <f t="shared" si="6"/>
        <v>12.534461580455849</v>
      </c>
    </row>
    <row r="47" spans="1:21" x14ac:dyDescent="0.3">
      <c r="A47" s="9" t="s">
        <v>66</v>
      </c>
      <c r="B47" s="5" t="s">
        <v>45</v>
      </c>
      <c r="C47" s="5">
        <v>28</v>
      </c>
      <c r="D47" s="5">
        <v>423924</v>
      </c>
      <c r="E47" s="7">
        <f t="shared" si="0"/>
        <v>6.6049574923807093</v>
      </c>
      <c r="F47" s="5">
        <v>42</v>
      </c>
      <c r="G47" s="5">
        <v>891897</v>
      </c>
      <c r="H47" s="7">
        <f t="shared" si="1"/>
        <v>4.7090639389974402</v>
      </c>
      <c r="I47" s="5">
        <v>55</v>
      </c>
      <c r="J47" s="5">
        <v>1538511</v>
      </c>
      <c r="K47" s="7">
        <f t="shared" si="2"/>
        <v>3.5748850674450812</v>
      </c>
      <c r="L47" s="5">
        <v>220</v>
      </c>
      <c r="M47" s="5">
        <v>4487270</v>
      </c>
      <c r="N47" s="7">
        <f t="shared" si="3"/>
        <v>4.9027582472193565</v>
      </c>
      <c r="O47" s="5">
        <v>755</v>
      </c>
      <c r="P47" s="5">
        <v>1817148</v>
      </c>
      <c r="Q47" s="7">
        <f t="shared" si="4"/>
        <v>41.548624547917946</v>
      </c>
      <c r="R47" s="5">
        <v>41</v>
      </c>
      <c r="S47" s="5">
        <v>1141</v>
      </c>
      <c r="T47" s="6">
        <f t="shared" si="5"/>
        <v>9158750</v>
      </c>
      <c r="U47" s="10">
        <f t="shared" si="6"/>
        <v>12.45803193667258</v>
      </c>
    </row>
    <row r="48" spans="1:21" x14ac:dyDescent="0.3">
      <c r="A48" s="9" t="s">
        <v>66</v>
      </c>
      <c r="B48" s="5" t="s">
        <v>46</v>
      </c>
      <c r="C48" s="5">
        <v>30</v>
      </c>
      <c r="D48" s="5">
        <v>423924</v>
      </c>
      <c r="E48" s="7">
        <f t="shared" si="0"/>
        <v>7.0767401704079038</v>
      </c>
      <c r="F48" s="5">
        <v>32</v>
      </c>
      <c r="G48" s="5">
        <v>891897</v>
      </c>
      <c r="H48" s="7">
        <f t="shared" si="1"/>
        <v>3.5878582392361453</v>
      </c>
      <c r="I48" s="5">
        <v>49</v>
      </c>
      <c r="J48" s="5">
        <v>1538511</v>
      </c>
      <c r="K48" s="7">
        <f t="shared" si="2"/>
        <v>3.1848976055419822</v>
      </c>
      <c r="L48" s="5">
        <v>249</v>
      </c>
      <c r="M48" s="5">
        <v>4487270</v>
      </c>
      <c r="N48" s="7">
        <f t="shared" si="3"/>
        <v>5.5490309252619072</v>
      </c>
      <c r="O48" s="5">
        <v>734</v>
      </c>
      <c r="P48" s="5">
        <v>1817148</v>
      </c>
      <c r="Q48" s="7">
        <f t="shared" si="4"/>
        <v>40.392967441287119</v>
      </c>
      <c r="R48" s="5">
        <v>45</v>
      </c>
      <c r="S48" s="5">
        <v>1139</v>
      </c>
      <c r="T48" s="6">
        <f t="shared" si="5"/>
        <v>9158750</v>
      </c>
      <c r="U48" s="10">
        <f t="shared" si="6"/>
        <v>12.436194895591647</v>
      </c>
    </row>
    <row r="49" spans="1:21" x14ac:dyDescent="0.3">
      <c r="A49" s="9" t="s">
        <v>66</v>
      </c>
      <c r="B49" s="5" t="s">
        <v>47</v>
      </c>
      <c r="C49" s="5">
        <v>54</v>
      </c>
      <c r="D49" s="5">
        <v>423924</v>
      </c>
      <c r="E49" s="7">
        <f t="shared" si="0"/>
        <v>12.738132306734226</v>
      </c>
      <c r="F49" s="5">
        <v>37</v>
      </c>
      <c r="G49" s="5">
        <v>891897</v>
      </c>
      <c r="H49" s="7">
        <f t="shared" si="1"/>
        <v>4.1484610891167923</v>
      </c>
      <c r="I49" s="5">
        <v>61</v>
      </c>
      <c r="J49" s="5">
        <v>1538511</v>
      </c>
      <c r="K49" s="7">
        <f t="shared" si="2"/>
        <v>3.964872529348181</v>
      </c>
      <c r="L49" s="5">
        <v>249</v>
      </c>
      <c r="M49" s="5">
        <v>4487270</v>
      </c>
      <c r="N49" s="7">
        <f t="shared" si="3"/>
        <v>5.5490309252619072</v>
      </c>
      <c r="O49" s="5">
        <v>770</v>
      </c>
      <c r="P49" s="5">
        <v>1817148</v>
      </c>
      <c r="Q49" s="7">
        <f t="shared" si="4"/>
        <v>42.374093909797111</v>
      </c>
      <c r="R49" s="5">
        <v>40</v>
      </c>
      <c r="S49" s="5">
        <v>1211</v>
      </c>
      <c r="T49" s="6">
        <f t="shared" si="5"/>
        <v>9158750</v>
      </c>
      <c r="U49" s="10">
        <f t="shared" si="6"/>
        <v>13.222328374505254</v>
      </c>
    </row>
    <row r="50" spans="1:21" x14ac:dyDescent="0.3">
      <c r="A50" s="9" t="s">
        <v>66</v>
      </c>
      <c r="B50" s="5" t="s">
        <v>48</v>
      </c>
      <c r="C50" s="5">
        <v>34</v>
      </c>
      <c r="D50" s="5">
        <v>423924</v>
      </c>
      <c r="E50" s="7">
        <f t="shared" si="0"/>
        <v>8.0203055264622911</v>
      </c>
      <c r="F50" s="5">
        <v>34</v>
      </c>
      <c r="G50" s="5">
        <v>891897</v>
      </c>
      <c r="H50" s="7">
        <f t="shared" si="1"/>
        <v>3.8120993791884037</v>
      </c>
      <c r="I50" s="5">
        <v>33</v>
      </c>
      <c r="J50" s="5">
        <v>1538511</v>
      </c>
      <c r="K50" s="7">
        <f t="shared" si="2"/>
        <v>2.144931040467049</v>
      </c>
      <c r="L50" s="5">
        <v>186</v>
      </c>
      <c r="M50" s="5">
        <v>4487270</v>
      </c>
      <c r="N50" s="7">
        <f t="shared" si="3"/>
        <v>4.1450592453763644</v>
      </c>
      <c r="O50" s="5">
        <v>628</v>
      </c>
      <c r="P50" s="5">
        <v>1817148</v>
      </c>
      <c r="Q50" s="7">
        <f t="shared" si="4"/>
        <v>34.559650617341021</v>
      </c>
      <c r="R50" s="5">
        <v>33</v>
      </c>
      <c r="S50" s="5">
        <v>948</v>
      </c>
      <c r="T50" s="6">
        <f t="shared" si="5"/>
        <v>9158750</v>
      </c>
      <c r="U50" s="10">
        <f t="shared" si="6"/>
        <v>10.350757472362494</v>
      </c>
    </row>
    <row r="51" spans="1:21" x14ac:dyDescent="0.3">
      <c r="A51" s="9" t="s">
        <v>66</v>
      </c>
      <c r="B51" s="5" t="s">
        <v>49</v>
      </c>
      <c r="C51" s="5">
        <v>72</v>
      </c>
      <c r="D51" s="5">
        <v>423924</v>
      </c>
      <c r="E51" s="7">
        <f t="shared" si="0"/>
        <v>16.984176408978968</v>
      </c>
      <c r="F51" s="5">
        <v>64</v>
      </c>
      <c r="G51" s="5">
        <v>891897</v>
      </c>
      <c r="H51" s="7">
        <f t="shared" si="1"/>
        <v>7.1757164784722907</v>
      </c>
      <c r="I51" s="5">
        <v>52</v>
      </c>
      <c r="J51" s="5">
        <v>1538511</v>
      </c>
      <c r="K51" s="7">
        <f t="shared" si="2"/>
        <v>3.3798913364935319</v>
      </c>
      <c r="L51" s="5">
        <v>249</v>
      </c>
      <c r="M51" s="5">
        <v>4487270</v>
      </c>
      <c r="N51" s="7">
        <f t="shared" si="3"/>
        <v>5.5490309252619072</v>
      </c>
      <c r="O51" s="5">
        <v>836</v>
      </c>
      <c r="P51" s="5">
        <v>1817148</v>
      </c>
      <c r="Q51" s="7">
        <f t="shared" si="4"/>
        <v>46.006159102065432</v>
      </c>
      <c r="R51" s="5">
        <v>34</v>
      </c>
      <c r="S51" s="5">
        <v>1307</v>
      </c>
      <c r="T51" s="6">
        <f t="shared" si="5"/>
        <v>9158750</v>
      </c>
      <c r="U51" s="10">
        <f t="shared" si="6"/>
        <v>14.270506346390064</v>
      </c>
    </row>
    <row r="52" spans="1:21" x14ac:dyDescent="0.3">
      <c r="A52" s="9" t="s">
        <v>66</v>
      </c>
      <c r="B52" s="5" t="s">
        <v>50</v>
      </c>
      <c r="C52" s="5">
        <v>109</v>
      </c>
      <c r="D52" s="5">
        <v>423924</v>
      </c>
      <c r="E52" s="7">
        <f t="shared" si="0"/>
        <v>25.71215595248205</v>
      </c>
      <c r="F52" s="5">
        <v>117</v>
      </c>
      <c r="G52" s="5">
        <v>891897</v>
      </c>
      <c r="H52" s="7">
        <f t="shared" si="1"/>
        <v>13.118106687207156</v>
      </c>
      <c r="I52" s="5">
        <v>62</v>
      </c>
      <c r="J52" s="5">
        <v>1538511</v>
      </c>
      <c r="K52" s="7">
        <f t="shared" si="2"/>
        <v>4.0298704396653653</v>
      </c>
      <c r="L52" s="5">
        <v>277</v>
      </c>
      <c r="M52" s="5">
        <v>4487270</v>
      </c>
      <c r="N52" s="7">
        <f t="shared" si="3"/>
        <v>6.1730183385443702</v>
      </c>
      <c r="O52" s="5">
        <v>1164</v>
      </c>
      <c r="P52" s="5">
        <v>1817148</v>
      </c>
      <c r="Q52" s="7">
        <f t="shared" si="4"/>
        <v>64.056422481823162</v>
      </c>
      <c r="R52" s="5">
        <v>52</v>
      </c>
      <c r="S52" s="5">
        <v>1781</v>
      </c>
      <c r="T52" s="6">
        <f t="shared" si="5"/>
        <v>9158750</v>
      </c>
      <c r="U52" s="10">
        <f t="shared" si="6"/>
        <v>19.445885082571312</v>
      </c>
    </row>
    <row r="53" spans="1:21" x14ac:dyDescent="0.3">
      <c r="A53" s="9" t="s">
        <v>66</v>
      </c>
      <c r="B53" s="5" t="s">
        <v>51</v>
      </c>
      <c r="C53" s="5">
        <v>101</v>
      </c>
      <c r="D53" s="5">
        <v>423924</v>
      </c>
      <c r="E53" s="7">
        <f t="shared" si="0"/>
        <v>23.825025240373275</v>
      </c>
      <c r="F53" s="5">
        <v>92</v>
      </c>
      <c r="G53" s="5">
        <v>891897</v>
      </c>
      <c r="H53" s="7">
        <f t="shared" si="1"/>
        <v>10.315092437803917</v>
      </c>
      <c r="I53" s="5">
        <v>51</v>
      </c>
      <c r="J53" s="5">
        <v>1538511</v>
      </c>
      <c r="K53" s="7">
        <f t="shared" si="2"/>
        <v>3.314893426176349</v>
      </c>
      <c r="L53" s="5">
        <v>290</v>
      </c>
      <c r="M53" s="5">
        <v>4487270</v>
      </c>
      <c r="N53" s="7">
        <f t="shared" si="3"/>
        <v>6.4627267804255144</v>
      </c>
      <c r="O53" s="5">
        <v>1258</v>
      </c>
      <c r="P53" s="5">
        <v>1817148</v>
      </c>
      <c r="Q53" s="7">
        <f t="shared" si="4"/>
        <v>69.229363816265931</v>
      </c>
      <c r="R53" s="5">
        <v>52</v>
      </c>
      <c r="S53" s="5">
        <v>1844</v>
      </c>
      <c r="T53" s="6">
        <f t="shared" si="5"/>
        <v>9158750</v>
      </c>
      <c r="U53" s="10">
        <f t="shared" si="6"/>
        <v>20.133751876620718</v>
      </c>
    </row>
    <row r="54" spans="1:21" x14ac:dyDescent="0.3">
      <c r="A54" s="9" t="s">
        <v>66</v>
      </c>
      <c r="B54" s="5" t="s">
        <v>52</v>
      </c>
      <c r="C54" s="5">
        <v>91</v>
      </c>
      <c r="D54" s="5">
        <v>423924</v>
      </c>
      <c r="E54" s="7">
        <f t="shared" si="0"/>
        <v>21.466111850237304</v>
      </c>
      <c r="F54" s="5">
        <v>71</v>
      </c>
      <c r="G54" s="5">
        <v>891897</v>
      </c>
      <c r="H54" s="7">
        <f t="shared" si="1"/>
        <v>7.9605604683051974</v>
      </c>
      <c r="I54" s="5">
        <v>55</v>
      </c>
      <c r="J54" s="5">
        <v>1538511</v>
      </c>
      <c r="K54" s="7">
        <f t="shared" si="2"/>
        <v>3.5748850674450812</v>
      </c>
      <c r="L54" s="5">
        <v>342</v>
      </c>
      <c r="M54" s="5">
        <v>4487270</v>
      </c>
      <c r="N54" s="7">
        <f t="shared" si="3"/>
        <v>7.6215605479500903</v>
      </c>
      <c r="O54" s="5">
        <v>1414</v>
      </c>
      <c r="P54" s="5">
        <v>1817148</v>
      </c>
      <c r="Q54" s="7">
        <f t="shared" si="4"/>
        <v>77.814245179809248</v>
      </c>
      <c r="R54" s="5">
        <v>48</v>
      </c>
      <c r="S54" s="5">
        <v>2021</v>
      </c>
      <c r="T54" s="6">
        <f t="shared" si="5"/>
        <v>9158750</v>
      </c>
      <c r="U54" s="10">
        <f t="shared" si="6"/>
        <v>22.066330012283338</v>
      </c>
    </row>
    <row r="55" spans="1:21" x14ac:dyDescent="0.3">
      <c r="A55" s="9" t="s">
        <v>66</v>
      </c>
      <c r="B55" s="5" t="s">
        <v>53</v>
      </c>
      <c r="C55" s="5">
        <v>95</v>
      </c>
      <c r="D55" s="5">
        <v>423924</v>
      </c>
      <c r="E55" s="7">
        <f t="shared" si="0"/>
        <v>22.409677206291693</v>
      </c>
      <c r="F55" s="5">
        <v>59</v>
      </c>
      <c r="G55" s="5">
        <v>891897</v>
      </c>
      <c r="H55" s="7">
        <f t="shared" si="1"/>
        <v>6.6151136285916428</v>
      </c>
      <c r="I55" s="5">
        <v>48</v>
      </c>
      <c r="J55" s="5">
        <v>1538511</v>
      </c>
      <c r="K55" s="7">
        <f t="shared" si="2"/>
        <v>3.1198996952247984</v>
      </c>
      <c r="L55" s="5">
        <v>329</v>
      </c>
      <c r="M55" s="5">
        <v>4487270</v>
      </c>
      <c r="N55" s="7">
        <f t="shared" si="3"/>
        <v>7.3318521060689461</v>
      </c>
      <c r="O55" s="5">
        <v>1445</v>
      </c>
      <c r="P55" s="5">
        <v>1817148</v>
      </c>
      <c r="Q55" s="7">
        <f t="shared" si="4"/>
        <v>79.520215194359508</v>
      </c>
      <c r="R55" s="5">
        <v>40</v>
      </c>
      <c r="S55" s="5">
        <v>2016</v>
      </c>
      <c r="T55" s="6">
        <f t="shared" si="5"/>
        <v>9158750</v>
      </c>
      <c r="U55" s="10">
        <f t="shared" si="6"/>
        <v>22.011737409581002</v>
      </c>
    </row>
    <row r="56" spans="1:21" x14ac:dyDescent="0.3">
      <c r="A56" s="9" t="s">
        <v>66</v>
      </c>
      <c r="B56" s="5" t="s">
        <v>54</v>
      </c>
      <c r="C56" s="5">
        <v>87</v>
      </c>
      <c r="D56" s="5">
        <v>423924</v>
      </c>
      <c r="E56" s="7">
        <f t="shared" si="0"/>
        <v>20.522546494182919</v>
      </c>
      <c r="F56" s="5">
        <v>62</v>
      </c>
      <c r="G56" s="5">
        <v>891897</v>
      </c>
      <c r="H56" s="7">
        <f t="shared" si="1"/>
        <v>6.951475338520031</v>
      </c>
      <c r="I56" s="5">
        <v>52</v>
      </c>
      <c r="J56" s="5">
        <v>1538511</v>
      </c>
      <c r="K56" s="7">
        <f t="shared" si="2"/>
        <v>3.3798913364935319</v>
      </c>
      <c r="L56" s="5">
        <v>261</v>
      </c>
      <c r="M56" s="5">
        <v>4487270</v>
      </c>
      <c r="N56" s="7">
        <f t="shared" si="3"/>
        <v>5.8164541023829637</v>
      </c>
      <c r="O56" s="5">
        <v>1358</v>
      </c>
      <c r="P56" s="5">
        <v>1817148</v>
      </c>
      <c r="Q56" s="7">
        <f t="shared" si="4"/>
        <v>74.732492895460368</v>
      </c>
      <c r="R56" s="5">
        <v>25</v>
      </c>
      <c r="S56" s="5">
        <v>1845</v>
      </c>
      <c r="T56" s="6">
        <f t="shared" si="5"/>
        <v>9158750</v>
      </c>
      <c r="U56" s="10">
        <f t="shared" si="6"/>
        <v>20.144670397161182</v>
      </c>
    </row>
    <row r="57" spans="1:21" x14ac:dyDescent="0.3">
      <c r="A57" s="9" t="s">
        <v>66</v>
      </c>
      <c r="B57" s="5" t="s">
        <v>55</v>
      </c>
      <c r="C57" s="5">
        <v>86</v>
      </c>
      <c r="D57" s="5">
        <v>423924</v>
      </c>
      <c r="E57" s="7">
        <f t="shared" si="0"/>
        <v>20.286655155169324</v>
      </c>
      <c r="F57" s="5">
        <v>50</v>
      </c>
      <c r="G57" s="5">
        <v>891897</v>
      </c>
      <c r="H57" s="7">
        <f t="shared" si="1"/>
        <v>5.6060284988064764</v>
      </c>
      <c r="I57" s="5">
        <v>35</v>
      </c>
      <c r="J57" s="5">
        <v>1538511</v>
      </c>
      <c r="K57" s="7">
        <f t="shared" si="2"/>
        <v>2.2749268611014157</v>
      </c>
      <c r="L57" s="5">
        <v>265</v>
      </c>
      <c r="M57" s="5">
        <v>4487270</v>
      </c>
      <c r="N57" s="7">
        <f t="shared" si="3"/>
        <v>5.9055951614233155</v>
      </c>
      <c r="O57" s="5">
        <v>1270</v>
      </c>
      <c r="P57" s="5">
        <v>1817148</v>
      </c>
      <c r="Q57" s="7">
        <f t="shared" si="4"/>
        <v>69.889739305769254</v>
      </c>
      <c r="R57" s="5">
        <v>0</v>
      </c>
      <c r="S57" s="5">
        <v>1706</v>
      </c>
      <c r="T57" s="6">
        <f t="shared" si="5"/>
        <v>9158750</v>
      </c>
      <c r="U57" s="10">
        <f t="shared" si="6"/>
        <v>18.626996042036303</v>
      </c>
    </row>
    <row r="58" spans="1:21" x14ac:dyDescent="0.3">
      <c r="A58" s="9" t="s">
        <v>66</v>
      </c>
      <c r="B58" s="5" t="s">
        <v>56</v>
      </c>
      <c r="C58" s="5">
        <v>80</v>
      </c>
      <c r="D58" s="5">
        <v>423924</v>
      </c>
      <c r="E58" s="7">
        <f t="shared" si="0"/>
        <v>18.871307121087742</v>
      </c>
      <c r="F58" s="5">
        <v>56</v>
      </c>
      <c r="G58" s="5">
        <v>891897</v>
      </c>
      <c r="H58" s="7">
        <f t="shared" si="1"/>
        <v>6.2787519186632537</v>
      </c>
      <c r="I58" s="5">
        <v>54</v>
      </c>
      <c r="J58" s="5">
        <v>1538511</v>
      </c>
      <c r="K58" s="7">
        <f t="shared" si="2"/>
        <v>3.5098871571278982</v>
      </c>
      <c r="L58" s="5">
        <v>273</v>
      </c>
      <c r="M58" s="5">
        <v>4487270</v>
      </c>
      <c r="N58" s="7">
        <f t="shared" si="3"/>
        <v>6.0838772795040192</v>
      </c>
      <c r="O58" s="5">
        <v>991</v>
      </c>
      <c r="P58" s="5">
        <v>1817148</v>
      </c>
      <c r="Q58" s="7">
        <f t="shared" si="4"/>
        <v>54.536009174816805</v>
      </c>
      <c r="R58" s="5">
        <v>0</v>
      </c>
      <c r="S58" s="5">
        <v>1454</v>
      </c>
      <c r="T58" s="6">
        <f t="shared" si="5"/>
        <v>9158750</v>
      </c>
      <c r="U58" s="10">
        <f t="shared" si="6"/>
        <v>15.875528865838678</v>
      </c>
    </row>
    <row r="59" spans="1:21" x14ac:dyDescent="0.3">
      <c r="A59" s="9" t="s">
        <v>66</v>
      </c>
      <c r="B59" s="5" t="s">
        <v>57</v>
      </c>
      <c r="C59" s="5">
        <v>78</v>
      </c>
      <c r="D59" s="5">
        <v>423924</v>
      </c>
      <c r="E59" s="7">
        <f t="shared" si="0"/>
        <v>18.39952444306055</v>
      </c>
      <c r="F59" s="5">
        <v>45</v>
      </c>
      <c r="G59" s="5">
        <v>891897</v>
      </c>
      <c r="H59" s="7">
        <f t="shared" si="1"/>
        <v>5.0454256489258285</v>
      </c>
      <c r="I59" s="5">
        <v>31</v>
      </c>
      <c r="J59" s="5">
        <v>1538511</v>
      </c>
      <c r="K59" s="7">
        <f t="shared" si="2"/>
        <v>2.0149352198326826</v>
      </c>
      <c r="L59" s="5">
        <v>260</v>
      </c>
      <c r="M59" s="5">
        <v>4487270</v>
      </c>
      <c r="N59" s="7">
        <f t="shared" si="3"/>
        <v>5.794168837622875</v>
      </c>
      <c r="O59" s="5">
        <v>1007</v>
      </c>
      <c r="P59" s="5">
        <v>1817148</v>
      </c>
      <c r="Q59" s="7">
        <f t="shared" si="4"/>
        <v>55.416509827487914</v>
      </c>
      <c r="R59" s="5">
        <v>0</v>
      </c>
      <c r="S59" s="5">
        <v>1421</v>
      </c>
      <c r="T59" s="6">
        <f t="shared" si="5"/>
        <v>9158750</v>
      </c>
      <c r="U59" s="10">
        <f t="shared" si="6"/>
        <v>15.515217688003277</v>
      </c>
    </row>
    <row r="60" spans="1:21" x14ac:dyDescent="0.3">
      <c r="A60" s="9" t="s">
        <v>66</v>
      </c>
      <c r="B60" s="5" t="s">
        <v>58</v>
      </c>
      <c r="C60" s="5">
        <v>82</v>
      </c>
      <c r="D60" s="5">
        <v>423924</v>
      </c>
      <c r="E60" s="7">
        <f t="shared" si="0"/>
        <v>19.343089799114935</v>
      </c>
      <c r="F60" s="5">
        <v>64</v>
      </c>
      <c r="G60" s="5">
        <v>891897</v>
      </c>
      <c r="H60" s="7">
        <f t="shared" si="1"/>
        <v>7.1757164784722907</v>
      </c>
      <c r="I60" s="5">
        <v>34</v>
      </c>
      <c r="J60" s="5">
        <v>1538511</v>
      </c>
      <c r="K60" s="7">
        <f t="shared" si="2"/>
        <v>2.2099289507842323</v>
      </c>
      <c r="L60" s="5">
        <v>250</v>
      </c>
      <c r="M60" s="5">
        <v>4487270</v>
      </c>
      <c r="N60" s="7">
        <f t="shared" si="3"/>
        <v>5.5713161900219959</v>
      </c>
      <c r="O60" s="5">
        <v>945</v>
      </c>
      <c r="P60" s="5">
        <v>1817148</v>
      </c>
      <c r="Q60" s="7">
        <f t="shared" si="4"/>
        <v>52.004569798387365</v>
      </c>
      <c r="R60" s="5">
        <v>0</v>
      </c>
      <c r="S60" s="5">
        <v>1375</v>
      </c>
      <c r="T60" s="6">
        <f t="shared" si="5"/>
        <v>9158750</v>
      </c>
      <c r="U60" s="10">
        <f t="shared" si="6"/>
        <v>15.012965743141805</v>
      </c>
    </row>
    <row r="61" spans="1:21" x14ac:dyDescent="0.3">
      <c r="A61" s="9" t="s">
        <v>66</v>
      </c>
      <c r="B61" s="5" t="s">
        <v>59</v>
      </c>
      <c r="C61" s="5">
        <v>74</v>
      </c>
      <c r="D61" s="5">
        <v>423924</v>
      </c>
      <c r="E61" s="7">
        <f t="shared" si="0"/>
        <v>17.455959087006161</v>
      </c>
      <c r="F61" s="5">
        <v>62</v>
      </c>
      <c r="G61" s="5">
        <v>891897</v>
      </c>
      <c r="H61" s="7">
        <f t="shared" si="1"/>
        <v>6.951475338520031</v>
      </c>
      <c r="I61" s="5">
        <v>52</v>
      </c>
      <c r="J61" s="5">
        <v>1538511</v>
      </c>
      <c r="K61" s="7">
        <f t="shared" si="2"/>
        <v>3.3798913364935319</v>
      </c>
      <c r="L61" s="5">
        <v>249</v>
      </c>
      <c r="M61" s="5">
        <v>4487270</v>
      </c>
      <c r="N61" s="7">
        <f t="shared" si="3"/>
        <v>5.5490309252619072</v>
      </c>
      <c r="O61" s="5">
        <v>952</v>
      </c>
      <c r="P61" s="5">
        <v>1817148</v>
      </c>
      <c r="Q61" s="7">
        <f t="shared" si="4"/>
        <v>52.389788833930972</v>
      </c>
      <c r="R61" s="5">
        <v>0</v>
      </c>
      <c r="S61" s="5">
        <v>1389</v>
      </c>
      <c r="T61" s="6">
        <f t="shared" si="5"/>
        <v>9158750</v>
      </c>
      <c r="U61" s="10">
        <f t="shared" si="6"/>
        <v>15.165825030708341</v>
      </c>
    </row>
    <row r="62" spans="1:21" x14ac:dyDescent="0.3">
      <c r="A62" s="9" t="s">
        <v>66</v>
      </c>
      <c r="B62" s="5" t="s">
        <v>60</v>
      </c>
      <c r="C62" s="5">
        <v>74</v>
      </c>
      <c r="D62" s="5">
        <v>423924</v>
      </c>
      <c r="E62" s="7">
        <f t="shared" si="0"/>
        <v>17.455959087006161</v>
      </c>
      <c r="F62" s="5">
        <v>76</v>
      </c>
      <c r="G62" s="5">
        <v>891897</v>
      </c>
      <c r="H62" s="7">
        <f t="shared" si="1"/>
        <v>8.5211633181858453</v>
      </c>
      <c r="I62" s="5">
        <v>31</v>
      </c>
      <c r="J62" s="5">
        <v>1538511</v>
      </c>
      <c r="K62" s="7">
        <f t="shared" si="2"/>
        <v>2.0149352198326826</v>
      </c>
      <c r="L62" s="5">
        <v>232</v>
      </c>
      <c r="M62" s="5">
        <v>4487270</v>
      </c>
      <c r="N62" s="7">
        <f t="shared" si="3"/>
        <v>5.1701814243404121</v>
      </c>
      <c r="O62" s="5">
        <v>924</v>
      </c>
      <c r="P62" s="5">
        <v>1817148</v>
      </c>
      <c r="Q62" s="7">
        <f t="shared" si="4"/>
        <v>50.848912691756532</v>
      </c>
      <c r="R62" s="5">
        <v>0</v>
      </c>
      <c r="S62" s="5">
        <v>1337</v>
      </c>
      <c r="T62" s="6">
        <f t="shared" si="5"/>
        <v>9158750</v>
      </c>
      <c r="U62" s="10">
        <f t="shared" si="6"/>
        <v>14.598061962604067</v>
      </c>
    </row>
    <row r="63" spans="1:21" x14ac:dyDescent="0.3">
      <c r="A63" s="9" t="s">
        <v>66</v>
      </c>
      <c r="B63" s="5" t="s">
        <v>61</v>
      </c>
      <c r="C63" s="5">
        <v>87</v>
      </c>
      <c r="D63" s="5">
        <v>423924</v>
      </c>
      <c r="E63" s="7">
        <f t="shared" si="0"/>
        <v>20.522546494182919</v>
      </c>
      <c r="F63" s="5">
        <v>55</v>
      </c>
      <c r="G63" s="5">
        <v>891897</v>
      </c>
      <c r="H63" s="7">
        <f t="shared" si="1"/>
        <v>6.1666313486871243</v>
      </c>
      <c r="I63" s="5">
        <v>49</v>
      </c>
      <c r="J63" s="5">
        <v>1538511</v>
      </c>
      <c r="K63" s="7">
        <f t="shared" si="2"/>
        <v>3.1848976055419822</v>
      </c>
      <c r="L63" s="5">
        <v>264</v>
      </c>
      <c r="M63" s="5">
        <v>4487270</v>
      </c>
      <c r="N63" s="7">
        <f t="shared" si="3"/>
        <v>5.8833098966632269</v>
      </c>
      <c r="O63" s="5">
        <v>1022</v>
      </c>
      <c r="P63" s="5">
        <v>1817148</v>
      </c>
      <c r="Q63" s="7">
        <f t="shared" si="4"/>
        <v>56.241979189367072</v>
      </c>
      <c r="R63" s="5">
        <v>0</v>
      </c>
      <c r="S63" s="5">
        <v>1477</v>
      </c>
      <c r="T63" s="6">
        <f t="shared" si="5"/>
        <v>9158750</v>
      </c>
      <c r="U63" s="10">
        <f t="shared" si="6"/>
        <v>16.126654838269417</v>
      </c>
    </row>
    <row r="64" spans="1:21" x14ac:dyDescent="0.3">
      <c r="A64" s="9" t="s">
        <v>66</v>
      </c>
      <c r="B64" s="5" t="s">
        <v>62</v>
      </c>
      <c r="C64" s="5">
        <v>75</v>
      </c>
      <c r="D64" s="5">
        <v>423924</v>
      </c>
      <c r="E64" s="7">
        <f t="shared" si="0"/>
        <v>17.691850426019759</v>
      </c>
      <c r="F64" s="5">
        <v>47</v>
      </c>
      <c r="G64" s="5">
        <v>891897</v>
      </c>
      <c r="H64" s="7">
        <f t="shared" si="1"/>
        <v>5.2696667888780881</v>
      </c>
      <c r="I64" s="5">
        <v>40</v>
      </c>
      <c r="J64" s="5">
        <v>1538511</v>
      </c>
      <c r="K64" s="7">
        <f t="shared" si="2"/>
        <v>2.5999164126873318</v>
      </c>
      <c r="L64" s="5">
        <v>259</v>
      </c>
      <c r="M64" s="5">
        <v>4487270</v>
      </c>
      <c r="N64" s="7">
        <f t="shared" si="3"/>
        <v>5.7718835728627873</v>
      </c>
      <c r="O64" s="5">
        <v>977</v>
      </c>
      <c r="P64" s="5">
        <v>1817148</v>
      </c>
      <c r="Q64" s="7">
        <f t="shared" si="4"/>
        <v>53.765571103729584</v>
      </c>
      <c r="R64" s="5">
        <v>0</v>
      </c>
      <c r="S64" s="5">
        <v>1398</v>
      </c>
      <c r="T64" s="6">
        <f t="shared" si="5"/>
        <v>9158750</v>
      </c>
      <c r="U64" s="10">
        <f t="shared" si="6"/>
        <v>15.264091715572539</v>
      </c>
    </row>
    <row r="65" spans="1:21" x14ac:dyDescent="0.3">
      <c r="A65" s="9" t="s">
        <v>66</v>
      </c>
      <c r="B65" s="5" t="s">
        <v>63</v>
      </c>
      <c r="C65" s="5">
        <v>120</v>
      </c>
      <c r="D65" s="5">
        <v>423924</v>
      </c>
      <c r="E65" s="7">
        <f t="shared" si="0"/>
        <v>28.306960681631615</v>
      </c>
      <c r="F65" s="5">
        <v>43</v>
      </c>
      <c r="G65" s="5">
        <v>891897</v>
      </c>
      <c r="H65" s="7">
        <f t="shared" si="1"/>
        <v>4.8211845089735696</v>
      </c>
      <c r="I65" s="5">
        <v>28</v>
      </c>
      <c r="J65" s="5">
        <v>1538511</v>
      </c>
      <c r="K65" s="7">
        <f t="shared" si="2"/>
        <v>1.8199414888811325</v>
      </c>
      <c r="L65" s="5">
        <v>280</v>
      </c>
      <c r="M65" s="5">
        <v>4487270</v>
      </c>
      <c r="N65" s="7">
        <f t="shared" si="3"/>
        <v>6.2398741328246352</v>
      </c>
      <c r="O65" s="5">
        <v>1038</v>
      </c>
      <c r="P65" s="5">
        <v>1817148</v>
      </c>
      <c r="Q65" s="7">
        <f t="shared" si="4"/>
        <v>57.122479842038182</v>
      </c>
      <c r="R65" s="5">
        <v>0</v>
      </c>
      <c r="S65" s="5">
        <v>1509</v>
      </c>
      <c r="T65" s="6">
        <f t="shared" si="5"/>
        <v>9158750</v>
      </c>
      <c r="U65" s="10">
        <f t="shared" si="6"/>
        <v>16.476047495564352</v>
      </c>
    </row>
    <row r="66" spans="1:21" x14ac:dyDescent="0.3">
      <c r="A66" s="9" t="s">
        <v>66</v>
      </c>
      <c r="B66" s="5" t="s">
        <v>64</v>
      </c>
      <c r="C66" s="5">
        <v>86</v>
      </c>
      <c r="D66" s="5">
        <v>423924</v>
      </c>
      <c r="E66" s="7">
        <f t="shared" si="0"/>
        <v>20.286655155169324</v>
      </c>
      <c r="F66" s="5">
        <v>55</v>
      </c>
      <c r="G66" s="5">
        <v>891897</v>
      </c>
      <c r="H66" s="7">
        <f t="shared" si="1"/>
        <v>6.1666313486871243</v>
      </c>
      <c r="I66" s="5">
        <v>31</v>
      </c>
      <c r="J66" s="5">
        <v>1538511</v>
      </c>
      <c r="K66" s="7">
        <f t="shared" si="2"/>
        <v>2.0149352198326826</v>
      </c>
      <c r="L66" s="5">
        <v>231</v>
      </c>
      <c r="M66" s="5">
        <v>4487270</v>
      </c>
      <c r="N66" s="7">
        <f t="shared" si="3"/>
        <v>5.1478961595803243</v>
      </c>
      <c r="O66" s="5">
        <v>1079</v>
      </c>
      <c r="P66" s="5">
        <v>1817148</v>
      </c>
      <c r="Q66" s="7">
        <f t="shared" si="4"/>
        <v>59.378762764507897</v>
      </c>
      <c r="R66" s="5">
        <v>0</v>
      </c>
      <c r="S66" s="5">
        <v>1482</v>
      </c>
      <c r="T66" s="6">
        <f t="shared" si="5"/>
        <v>9158750</v>
      </c>
      <c r="U66" s="10">
        <f t="shared" si="6"/>
        <v>16.181247440971749</v>
      </c>
    </row>
  </sheetData>
  <autoFilter ref="A1:S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SARI_per_10x5pop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2025-03-16T11:32:04Z</dcterms:modified>
</cp:coreProperties>
</file>