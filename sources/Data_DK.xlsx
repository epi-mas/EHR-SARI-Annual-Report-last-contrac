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 - 2026\sources\"/>
    </mc:Choice>
  </mc:AlternateContent>
  <xr:revisionPtr revIDLastSave="0" documentId="13_ncr:1_{F11CCE08-DA10-4252-B003-937E8745E4EF}" xr6:coauthVersionLast="47" xr6:coauthVersionMax="47" xr10:uidLastSave="{00000000-0000-0000-0000-000000000000}"/>
  <bookViews>
    <workbookView xWindow="28680" yWindow="-120" windowWidth="29040" windowHeight="15720" firstSheet="3" activeTab="3" xr2:uid="{00000000-000D-0000-FFFF-FFFF00000000}"/>
  </bookViews>
  <sheets>
    <sheet name="Read First" sheetId="1" r:id="rId1"/>
    <sheet name="SARI_per_10x5pop_incomplete" sheetId="2" r:id="rId2"/>
    <sheet name="number of SARI_cases" sheetId="3" r:id="rId3"/>
    <sheet name="SARI_per_10x5pop" sheetId="8" r:id="rId4"/>
    <sheet name="Catchment population" sheetId="4" r:id="rId5"/>
    <sheet name="Positivity SARS-CoV-2" sheetId="5" r:id="rId6"/>
    <sheet name="Positivity Influenza" sheetId="6" r:id="rId7"/>
    <sheet name="Positivity RSV" sheetId="7" r:id="rId8"/>
  </sheets>
  <definedNames>
    <definedName name="_xlnm._FilterDatabase" localSheetId="2" hidden="1">'number of SARI_cases'!$J$1:$J$1000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8" l="1"/>
  <c r="T3" i="8"/>
  <c r="U3" i="8"/>
  <c r="V3" i="8"/>
  <c r="W3" i="8"/>
  <c r="X3" i="8"/>
  <c r="Y3" i="8"/>
  <c r="Z3" i="8"/>
  <c r="S4" i="8"/>
  <c r="T4" i="8"/>
  <c r="U4" i="8"/>
  <c r="V4" i="8"/>
  <c r="W4" i="8"/>
  <c r="X4" i="8"/>
  <c r="Y4" i="8"/>
  <c r="Z4" i="8"/>
  <c r="S5" i="8"/>
  <c r="T5" i="8"/>
  <c r="U5" i="8"/>
  <c r="V5" i="8"/>
  <c r="W5" i="8"/>
  <c r="X5" i="8"/>
  <c r="Y5" i="8"/>
  <c r="Z5" i="8"/>
  <c r="S6" i="8"/>
  <c r="T6" i="8"/>
  <c r="U6" i="8"/>
  <c r="V6" i="8"/>
  <c r="W6" i="8"/>
  <c r="X6" i="8"/>
  <c r="Y6" i="8"/>
  <c r="Z6" i="8"/>
  <c r="S7" i="8"/>
  <c r="T7" i="8"/>
  <c r="U7" i="8"/>
  <c r="V7" i="8"/>
  <c r="W7" i="8"/>
  <c r="X7" i="8"/>
  <c r="Y7" i="8"/>
  <c r="Z7" i="8"/>
  <c r="S8" i="8"/>
  <c r="T8" i="8"/>
  <c r="U8" i="8"/>
  <c r="V8" i="8"/>
  <c r="W8" i="8"/>
  <c r="X8" i="8"/>
  <c r="Y8" i="8"/>
  <c r="Z8" i="8"/>
  <c r="S9" i="8"/>
  <c r="T9" i="8"/>
  <c r="U9" i="8"/>
  <c r="V9" i="8"/>
  <c r="W9" i="8"/>
  <c r="X9" i="8"/>
  <c r="Y9" i="8"/>
  <c r="Z9" i="8"/>
  <c r="S10" i="8"/>
  <c r="T10" i="8"/>
  <c r="U10" i="8"/>
  <c r="V10" i="8"/>
  <c r="W10" i="8"/>
  <c r="X10" i="8"/>
  <c r="Y10" i="8"/>
  <c r="Z10" i="8"/>
  <c r="S11" i="8"/>
  <c r="T11" i="8"/>
  <c r="U11" i="8"/>
  <c r="V11" i="8"/>
  <c r="W11" i="8"/>
  <c r="X11" i="8"/>
  <c r="Y11" i="8"/>
  <c r="Z11" i="8"/>
  <c r="S12" i="8"/>
  <c r="T12" i="8"/>
  <c r="U12" i="8"/>
  <c r="V12" i="8"/>
  <c r="W12" i="8"/>
  <c r="X12" i="8"/>
  <c r="Y12" i="8"/>
  <c r="Z12" i="8"/>
  <c r="S13" i="8"/>
  <c r="T13" i="8"/>
  <c r="U13" i="8"/>
  <c r="V13" i="8"/>
  <c r="W13" i="8"/>
  <c r="X13" i="8"/>
  <c r="Y13" i="8"/>
  <c r="Z13" i="8"/>
  <c r="S14" i="8"/>
  <c r="T14" i="8"/>
  <c r="U14" i="8"/>
  <c r="V14" i="8"/>
  <c r="W14" i="8"/>
  <c r="X14" i="8"/>
  <c r="Y14" i="8"/>
  <c r="Z14" i="8"/>
  <c r="S15" i="8"/>
  <c r="T15" i="8"/>
  <c r="U15" i="8"/>
  <c r="V15" i="8"/>
  <c r="W15" i="8"/>
  <c r="X15" i="8"/>
  <c r="Y15" i="8"/>
  <c r="Z15" i="8"/>
  <c r="S16" i="8"/>
  <c r="T16" i="8"/>
  <c r="U16" i="8"/>
  <c r="V16" i="8"/>
  <c r="W16" i="8"/>
  <c r="X16" i="8"/>
  <c r="Y16" i="8"/>
  <c r="Z16" i="8"/>
  <c r="S17" i="8"/>
  <c r="T17" i="8"/>
  <c r="U17" i="8"/>
  <c r="V17" i="8"/>
  <c r="W17" i="8"/>
  <c r="X17" i="8"/>
  <c r="Y17" i="8"/>
  <c r="Z17" i="8"/>
  <c r="S18" i="8"/>
  <c r="T18" i="8"/>
  <c r="U18" i="8"/>
  <c r="V18" i="8"/>
  <c r="W18" i="8"/>
  <c r="X18" i="8"/>
  <c r="Y18" i="8"/>
  <c r="Z18" i="8"/>
  <c r="S19" i="8"/>
  <c r="T19" i="8"/>
  <c r="U19" i="8"/>
  <c r="V19" i="8"/>
  <c r="W19" i="8"/>
  <c r="X19" i="8"/>
  <c r="Y19" i="8"/>
  <c r="Z19" i="8"/>
  <c r="S20" i="8"/>
  <c r="T20" i="8"/>
  <c r="U20" i="8"/>
  <c r="V20" i="8"/>
  <c r="W20" i="8"/>
  <c r="X20" i="8"/>
  <c r="Y20" i="8"/>
  <c r="Z20" i="8"/>
  <c r="S21" i="8"/>
  <c r="T21" i="8"/>
  <c r="U21" i="8"/>
  <c r="V21" i="8"/>
  <c r="W21" i="8"/>
  <c r="X21" i="8"/>
  <c r="Y21" i="8"/>
  <c r="Z21" i="8"/>
  <c r="S22" i="8"/>
  <c r="T22" i="8"/>
  <c r="U22" i="8"/>
  <c r="V22" i="8"/>
  <c r="W22" i="8"/>
  <c r="X22" i="8"/>
  <c r="Y22" i="8"/>
  <c r="Z22" i="8"/>
  <c r="S23" i="8"/>
  <c r="T23" i="8"/>
  <c r="U23" i="8"/>
  <c r="V23" i="8"/>
  <c r="W23" i="8"/>
  <c r="X23" i="8"/>
  <c r="Y23" i="8"/>
  <c r="Z23" i="8"/>
  <c r="S24" i="8"/>
  <c r="T24" i="8"/>
  <c r="U24" i="8"/>
  <c r="V24" i="8"/>
  <c r="W24" i="8"/>
  <c r="X24" i="8"/>
  <c r="Y24" i="8"/>
  <c r="Z24" i="8"/>
  <c r="S25" i="8"/>
  <c r="T25" i="8"/>
  <c r="U25" i="8"/>
  <c r="V25" i="8"/>
  <c r="W25" i="8"/>
  <c r="X25" i="8"/>
  <c r="Y25" i="8"/>
  <c r="Z25" i="8"/>
  <c r="S26" i="8"/>
  <c r="T26" i="8"/>
  <c r="U26" i="8"/>
  <c r="V26" i="8"/>
  <c r="W26" i="8"/>
  <c r="X26" i="8"/>
  <c r="Y26" i="8"/>
  <c r="Z26" i="8"/>
  <c r="S27" i="8"/>
  <c r="T27" i="8"/>
  <c r="U27" i="8"/>
  <c r="V27" i="8"/>
  <c r="W27" i="8"/>
  <c r="X27" i="8"/>
  <c r="Y27" i="8"/>
  <c r="Z27" i="8"/>
  <c r="S28" i="8"/>
  <c r="T28" i="8"/>
  <c r="U28" i="8"/>
  <c r="V28" i="8"/>
  <c r="W28" i="8"/>
  <c r="X28" i="8"/>
  <c r="Y28" i="8"/>
  <c r="Z28" i="8"/>
  <c r="S29" i="8"/>
  <c r="T29" i="8"/>
  <c r="U29" i="8"/>
  <c r="V29" i="8"/>
  <c r="W29" i="8"/>
  <c r="X29" i="8"/>
  <c r="Y29" i="8"/>
  <c r="Z29" i="8"/>
  <c r="S30" i="8"/>
  <c r="T30" i="8"/>
  <c r="U30" i="8"/>
  <c r="V30" i="8"/>
  <c r="W30" i="8"/>
  <c r="X30" i="8"/>
  <c r="Y30" i="8"/>
  <c r="Z30" i="8"/>
  <c r="S31" i="8"/>
  <c r="T31" i="8"/>
  <c r="U31" i="8"/>
  <c r="V31" i="8"/>
  <c r="W31" i="8"/>
  <c r="X31" i="8"/>
  <c r="Y31" i="8"/>
  <c r="Z31" i="8"/>
  <c r="S32" i="8"/>
  <c r="T32" i="8"/>
  <c r="U32" i="8"/>
  <c r="V32" i="8"/>
  <c r="W32" i="8"/>
  <c r="X32" i="8"/>
  <c r="Y32" i="8"/>
  <c r="Z32" i="8"/>
  <c r="S33" i="8"/>
  <c r="T33" i="8"/>
  <c r="U33" i="8"/>
  <c r="V33" i="8"/>
  <c r="W33" i="8"/>
  <c r="X33" i="8"/>
  <c r="Y33" i="8"/>
  <c r="Z33" i="8"/>
  <c r="S34" i="8"/>
  <c r="T34" i="8"/>
  <c r="U34" i="8"/>
  <c r="V34" i="8"/>
  <c r="W34" i="8"/>
  <c r="X34" i="8"/>
  <c r="Y34" i="8"/>
  <c r="Z34" i="8"/>
  <c r="S35" i="8"/>
  <c r="T35" i="8"/>
  <c r="U35" i="8"/>
  <c r="V35" i="8"/>
  <c r="W35" i="8"/>
  <c r="X35" i="8"/>
  <c r="Y35" i="8"/>
  <c r="Z35" i="8"/>
  <c r="S36" i="8"/>
  <c r="T36" i="8"/>
  <c r="U36" i="8"/>
  <c r="V36" i="8"/>
  <c r="W36" i="8"/>
  <c r="X36" i="8"/>
  <c r="Y36" i="8"/>
  <c r="Z36" i="8"/>
  <c r="S37" i="8"/>
  <c r="T37" i="8"/>
  <c r="U37" i="8"/>
  <c r="V37" i="8"/>
  <c r="W37" i="8"/>
  <c r="X37" i="8"/>
  <c r="Y37" i="8"/>
  <c r="Z37" i="8"/>
  <c r="S38" i="8"/>
  <c r="T38" i="8"/>
  <c r="U38" i="8"/>
  <c r="V38" i="8"/>
  <c r="W38" i="8"/>
  <c r="X38" i="8"/>
  <c r="Y38" i="8"/>
  <c r="Z38" i="8"/>
  <c r="S39" i="8"/>
  <c r="T39" i="8"/>
  <c r="U39" i="8"/>
  <c r="V39" i="8"/>
  <c r="W39" i="8"/>
  <c r="X39" i="8"/>
  <c r="Y39" i="8"/>
  <c r="Z39" i="8"/>
  <c r="S40" i="8"/>
  <c r="T40" i="8"/>
  <c r="U40" i="8"/>
  <c r="V40" i="8"/>
  <c r="W40" i="8"/>
  <c r="X40" i="8"/>
  <c r="Y40" i="8"/>
  <c r="Z40" i="8"/>
  <c r="S41" i="8"/>
  <c r="T41" i="8"/>
  <c r="U41" i="8"/>
  <c r="V41" i="8"/>
  <c r="W41" i="8"/>
  <c r="X41" i="8"/>
  <c r="Y41" i="8"/>
  <c r="Z41" i="8"/>
  <c r="S42" i="8"/>
  <c r="T42" i="8"/>
  <c r="U42" i="8"/>
  <c r="V42" i="8"/>
  <c r="W42" i="8"/>
  <c r="X42" i="8"/>
  <c r="Y42" i="8"/>
  <c r="Z42" i="8"/>
  <c r="S43" i="8"/>
  <c r="T43" i="8"/>
  <c r="U43" i="8"/>
  <c r="V43" i="8"/>
  <c r="W43" i="8"/>
  <c r="X43" i="8"/>
  <c r="Y43" i="8"/>
  <c r="Z43" i="8"/>
  <c r="S44" i="8"/>
  <c r="T44" i="8"/>
  <c r="U44" i="8"/>
  <c r="V44" i="8"/>
  <c r="W44" i="8"/>
  <c r="X44" i="8"/>
  <c r="Y44" i="8"/>
  <c r="Z44" i="8"/>
  <c r="S45" i="8"/>
  <c r="T45" i="8"/>
  <c r="U45" i="8"/>
  <c r="V45" i="8"/>
  <c r="W45" i="8"/>
  <c r="X45" i="8"/>
  <c r="Y45" i="8"/>
  <c r="Z45" i="8"/>
  <c r="S46" i="8"/>
  <c r="T46" i="8"/>
  <c r="U46" i="8"/>
  <c r="V46" i="8"/>
  <c r="W46" i="8"/>
  <c r="X46" i="8"/>
  <c r="Y46" i="8"/>
  <c r="Z46" i="8"/>
  <c r="S47" i="8"/>
  <c r="T47" i="8"/>
  <c r="U47" i="8"/>
  <c r="V47" i="8"/>
  <c r="W47" i="8"/>
  <c r="X47" i="8"/>
  <c r="Y47" i="8"/>
  <c r="Z47" i="8"/>
  <c r="S48" i="8"/>
  <c r="T48" i="8"/>
  <c r="U48" i="8"/>
  <c r="V48" i="8"/>
  <c r="W48" i="8"/>
  <c r="X48" i="8"/>
  <c r="Y48" i="8"/>
  <c r="Z48" i="8"/>
  <c r="S49" i="8"/>
  <c r="T49" i="8"/>
  <c r="U49" i="8"/>
  <c r="V49" i="8"/>
  <c r="W49" i="8"/>
  <c r="X49" i="8"/>
  <c r="Y49" i="8"/>
  <c r="Z49" i="8"/>
  <c r="S50" i="8"/>
  <c r="T50" i="8"/>
  <c r="U50" i="8"/>
  <c r="V50" i="8"/>
  <c r="W50" i="8"/>
  <c r="X50" i="8"/>
  <c r="Y50" i="8"/>
  <c r="Z50" i="8"/>
  <c r="S51" i="8"/>
  <c r="T51" i="8"/>
  <c r="U51" i="8"/>
  <c r="V51" i="8"/>
  <c r="W51" i="8"/>
  <c r="X51" i="8"/>
  <c r="Y51" i="8"/>
  <c r="Z51" i="8"/>
  <c r="S52" i="8"/>
  <c r="T52" i="8"/>
  <c r="U52" i="8"/>
  <c r="V52" i="8"/>
  <c r="W52" i="8"/>
  <c r="X52" i="8"/>
  <c r="Y52" i="8"/>
  <c r="Z52" i="8"/>
  <c r="S53" i="8"/>
  <c r="T53" i="8"/>
  <c r="U53" i="8"/>
  <c r="V53" i="8"/>
  <c r="W53" i="8"/>
  <c r="X53" i="8"/>
  <c r="Y53" i="8"/>
  <c r="Z53" i="8"/>
  <c r="S54" i="8"/>
  <c r="T54" i="8"/>
  <c r="U54" i="8"/>
  <c r="V54" i="8"/>
  <c r="W54" i="8"/>
  <c r="X54" i="8"/>
  <c r="Y54" i="8"/>
  <c r="Z54" i="8"/>
  <c r="S55" i="8"/>
  <c r="T55" i="8"/>
  <c r="U55" i="8"/>
  <c r="V55" i="8"/>
  <c r="W55" i="8"/>
  <c r="X55" i="8"/>
  <c r="Y55" i="8"/>
  <c r="Z55" i="8"/>
  <c r="S56" i="8"/>
  <c r="T56" i="8"/>
  <c r="U56" i="8"/>
  <c r="V56" i="8"/>
  <c r="W56" i="8"/>
  <c r="X56" i="8"/>
  <c r="Y56" i="8"/>
  <c r="Z56" i="8"/>
  <c r="S57" i="8"/>
  <c r="T57" i="8"/>
  <c r="U57" i="8"/>
  <c r="V57" i="8"/>
  <c r="W57" i="8"/>
  <c r="X57" i="8"/>
  <c r="Y57" i="8"/>
  <c r="Z57" i="8"/>
  <c r="S58" i="8"/>
  <c r="T58" i="8"/>
  <c r="U58" i="8"/>
  <c r="V58" i="8"/>
  <c r="W58" i="8"/>
  <c r="X58" i="8"/>
  <c r="Y58" i="8"/>
  <c r="Z58" i="8"/>
  <c r="S59" i="8"/>
  <c r="T59" i="8"/>
  <c r="U59" i="8"/>
  <c r="V59" i="8"/>
  <c r="W59" i="8"/>
  <c r="X59" i="8"/>
  <c r="Y59" i="8"/>
  <c r="Z59" i="8"/>
  <c r="S60" i="8"/>
  <c r="T60" i="8"/>
  <c r="U60" i="8"/>
  <c r="V60" i="8"/>
  <c r="W60" i="8"/>
  <c r="X60" i="8"/>
  <c r="Y60" i="8"/>
  <c r="Z60" i="8"/>
  <c r="S61" i="8"/>
  <c r="T61" i="8"/>
  <c r="U61" i="8"/>
  <c r="V61" i="8"/>
  <c r="W61" i="8"/>
  <c r="X61" i="8"/>
  <c r="Y61" i="8"/>
  <c r="Z61" i="8"/>
  <c r="S62" i="8"/>
  <c r="T62" i="8"/>
  <c r="U62" i="8"/>
  <c r="V62" i="8"/>
  <c r="W62" i="8"/>
  <c r="X62" i="8"/>
  <c r="Y62" i="8"/>
  <c r="Z62" i="8"/>
  <c r="S63" i="8"/>
  <c r="T63" i="8"/>
  <c r="U63" i="8"/>
  <c r="V63" i="8"/>
  <c r="W63" i="8"/>
  <c r="X63" i="8"/>
  <c r="Y63" i="8"/>
  <c r="Z63" i="8"/>
  <c r="S64" i="8"/>
  <c r="T64" i="8"/>
  <c r="U64" i="8"/>
  <c r="V64" i="8"/>
  <c r="W64" i="8"/>
  <c r="X64" i="8"/>
  <c r="Y64" i="8"/>
  <c r="Z64" i="8"/>
  <c r="S65" i="8"/>
  <c r="T65" i="8"/>
  <c r="U65" i="8"/>
  <c r="V65" i="8"/>
  <c r="W65" i="8"/>
  <c r="X65" i="8"/>
  <c r="Y65" i="8"/>
  <c r="Z65" i="8"/>
  <c r="S66" i="8"/>
  <c r="T66" i="8"/>
  <c r="U66" i="8"/>
  <c r="V66" i="8"/>
  <c r="W66" i="8"/>
  <c r="X66" i="8"/>
  <c r="Y66" i="8"/>
  <c r="Z66" i="8"/>
  <c r="Z2" i="8"/>
  <c r="Y2" i="8"/>
  <c r="X2" i="8"/>
  <c r="T2" i="8"/>
  <c r="U2" i="8"/>
  <c r="V2" i="8"/>
  <c r="S2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W2" i="8" s="1"/>
  <c r="G66" i="8"/>
  <c r="G65" i="8"/>
  <c r="G64" i="8"/>
  <c r="G63" i="8"/>
  <c r="G62" i="8"/>
  <c r="G61" i="8"/>
  <c r="G60" i="8"/>
  <c r="G59" i="8"/>
  <c r="G58" i="8"/>
  <c r="G57" i="8"/>
  <c r="G56" i="8"/>
  <c r="G55" i="8"/>
  <c r="G54" i="8"/>
  <c r="G53" i="8"/>
  <c r="G52" i="8"/>
  <c r="G51" i="8"/>
  <c r="G50" i="8"/>
  <c r="G49" i="8"/>
  <c r="G48" i="8"/>
  <c r="G47" i="8"/>
  <c r="G46" i="8"/>
  <c r="G45" i="8"/>
  <c r="G44" i="8"/>
  <c r="G43" i="8"/>
  <c r="G42" i="8"/>
  <c r="G41" i="8"/>
  <c r="G40" i="8"/>
  <c r="G39" i="8"/>
  <c r="G38" i="8"/>
  <c r="G37" i="8"/>
  <c r="G36" i="8"/>
  <c r="G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3" i="4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2" i="3"/>
</calcChain>
</file>

<file path=xl/sharedStrings.xml><?xml version="1.0" encoding="utf-8"?>
<sst xmlns="http://schemas.openxmlformats.org/spreadsheetml/2006/main" count="1411" uniqueCount="180">
  <si>
    <t>Please complete the Excel sheets up to week 52 of 2025 if possible.</t>
  </si>
  <si>
    <t>The template shows information from last year's report. You are welcome to update that information if you think it is inaccurate.</t>
  </si>
  <si>
    <t>Regarding SARI cases and SARI rates (Excel sheet SARI_per_10x5 pop). You can complete Excel sheets number of SARI_cases and Catchment population. Alternatively, you can complete the SARI-per_10x5pop sheet, as you did last year</t>
  </si>
  <si>
    <t>As for age groups, reporting 65+ is preferable. Otherwise, you can report information for the age gropus 65-79 and 80+.</t>
  </si>
  <si>
    <t>country</t>
  </si>
  <si>
    <t>week</t>
  </si>
  <si>
    <t>saricaserate0_4</t>
  </si>
  <si>
    <t>saricaserate05_14</t>
  </si>
  <si>
    <t>saricaserate15_29</t>
  </si>
  <si>
    <t>saricaserate30_64</t>
  </si>
  <si>
    <t>saricaserate65_79</t>
  </si>
  <si>
    <t>saricaserate_80+</t>
  </si>
  <si>
    <t>if possible report saricaserate_65+</t>
  </si>
  <si>
    <t>DK</t>
  </si>
  <si>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</si>
  <si>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</si>
  <si>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</si>
  <si>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</si>
  <si>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</si>
  <si>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</si>
  <si>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</si>
  <si>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</si>
  <si>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</si>
  <si>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</si>
  <si>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</si>
  <si>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</si>
  <si>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</si>
  <si>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</si>
  <si>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</si>
  <si>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</si>
  <si>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</si>
  <si>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</si>
  <si>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</si>
  <si>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</si>
  <si>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</si>
  <si>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</si>
  <si>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</si>
  <si>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</si>
  <si>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</si>
  <si>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</si>
  <si>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</si>
  <si>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</si>
  <si>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</si>
  <si>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</si>
  <si>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</si>
  <si>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</si>
  <si>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</si>
  <si>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</si>
  <si>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</si>
  <si>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</si>
  <si>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</si>
  <si>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</si>
  <si>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</si>
  <si>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</si>
  <si>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</si>
  <si>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</si>
  <si>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</si>
  <si>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</si>
  <si>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</si>
  <si>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</si>
  <si>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</si>
  <si>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</si>
  <si>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</si>
  <si>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</si>
  <si>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</si>
  <si>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</si>
  <si>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</si>
  <si>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</si>
  <si>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</si>
  <si>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</si>
  <si>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</si>
  <si>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</si>
  <si>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</si>
  <si>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</si>
  <si>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</si>
  <si>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</si>
  <si>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</si>
  <si>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</si>
  <si>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</si>
  <si>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>2025-W01</t>
  </si>
  <si>
    <t>2025-W02</t>
  </si>
  <si>
    <t>2025-W03</t>
  </si>
  <si>
    <t>2025-W04</t>
  </si>
  <si>
    <t>2025-W05</t>
  </si>
  <si>
    <t>2025-W06</t>
  </si>
  <si>
    <t>2025-W07</t>
  </si>
  <si>
    <t>2025-W08</t>
  </si>
  <si>
    <t>2025-W09</t>
  </si>
  <si>
    <t>2025-W10</t>
  </si>
  <si>
    <t>2025-W11</t>
  </si>
  <si>
    <t>2025-W12</t>
  </si>
  <si>
    <t>2025-W13</t>
  </si>
  <si>
    <t>2025-W14</t>
  </si>
  <si>
    <t>2025-W15</t>
  </si>
  <si>
    <t>2025-W16</t>
  </si>
  <si>
    <t>2025-W17</t>
  </si>
  <si>
    <t>2025-W18</t>
  </si>
  <si>
    <t>2025-W19</t>
  </si>
  <si>
    <t>2025-W20</t>
  </si>
  <si>
    <t>2025-W21</t>
  </si>
  <si>
    <t>2025-W22</t>
  </si>
  <si>
    <t>2025-W23</t>
  </si>
  <si>
    <t>2025-W24</t>
  </si>
  <si>
    <t>2025-W25</t>
  </si>
  <si>
    <t>2025-W26</t>
  </si>
  <si>
    <t>2025-W27</t>
  </si>
  <si>
    <t>2025-W28</t>
  </si>
  <si>
    <t>2025-W29</t>
  </si>
  <si>
    <t>2025-W30</t>
  </si>
  <si>
    <t>2025-W31</t>
  </si>
  <si>
    <t>2025-W32</t>
  </si>
  <si>
    <t>2025-W33</t>
  </si>
  <si>
    <t>2025-W34</t>
  </si>
  <si>
    <t>2025-W35</t>
  </si>
  <si>
    <t>2025-W36</t>
  </si>
  <si>
    <t>2025-W37</t>
  </si>
  <si>
    <t>2025-W38</t>
  </si>
  <si>
    <t>2025-W39</t>
  </si>
  <si>
    <t>2025-W40</t>
  </si>
  <si>
    <t>2025-W41</t>
  </si>
  <si>
    <t>2025-W42</t>
  </si>
  <si>
    <t>2025-W43</t>
  </si>
  <si>
    <t>2025-W44</t>
  </si>
  <si>
    <t>2025-W45</t>
  </si>
  <si>
    <t>2025-W46</t>
  </si>
  <si>
    <t>2025-W47</t>
  </si>
  <si>
    <t>2025-W48</t>
  </si>
  <si>
    <t>2025-W49</t>
  </si>
  <si>
    <t>2025-W50</t>
  </si>
  <si>
    <t>2025-W51</t>
  </si>
  <si>
    <t>2025-W52</t>
  </si>
  <si>
    <t>saricase0_4</t>
  </si>
  <si>
    <t>saricase05_14</t>
  </si>
  <si>
    <t>saricase15_29</t>
  </si>
  <si>
    <t>saricase30_64</t>
  </si>
  <si>
    <t>saricase_UNK</t>
  </si>
  <si>
    <t>saricase_total</t>
  </si>
  <si>
    <t>Epi week</t>
  </si>
  <si>
    <r>
      <t xml:space="preserve">catchment population -
</t>
    </r>
    <r>
      <rPr>
        <b/>
        <i/>
        <sz val="11"/>
        <color rgb="FF366092"/>
        <rFont val="Calibri"/>
        <family val="2"/>
        <scheme val="minor"/>
      </rPr>
      <t>if the population is stable throughout, you can simply fill in the first row (row number 3)</t>
    </r>
  </si>
  <si>
    <t>age 0-4</t>
  </si>
  <si>
    <t>age 5-14</t>
  </si>
  <si>
    <t>age 15-29</t>
  </si>
  <si>
    <t>age 30-64</t>
  </si>
  <si>
    <t>Total</t>
  </si>
  <si>
    <t>sc2_pos_0_4</t>
  </si>
  <si>
    <t>sc2_pos_5_14</t>
  </si>
  <si>
    <t>sc2_pos_15_29</t>
  </si>
  <si>
    <t>sc2_pos_30_64</t>
  </si>
  <si>
    <t>sc2_pos_65_79</t>
  </si>
  <si>
    <t>flu_pos_0_4</t>
  </si>
  <si>
    <t>flu_pos_5_14</t>
  </si>
  <si>
    <t>flu_pos_15_29</t>
  </si>
  <si>
    <t>flu_pos_30_64</t>
  </si>
  <si>
    <t>flu_pos_65_79</t>
  </si>
  <si>
    <t>rsv_pos_0_4</t>
  </si>
  <si>
    <t>rsv_pos_5_14</t>
  </si>
  <si>
    <t>rsv_pos_15_29</t>
  </si>
  <si>
    <t>rsv_pos_30_64</t>
  </si>
  <si>
    <t>rsv_pos_65_79</t>
  </si>
  <si>
    <t>age 65-79</t>
  </si>
  <si>
    <t>age 80+</t>
  </si>
  <si>
    <t>saricase65_79</t>
  </si>
  <si>
    <t>saricase80</t>
  </si>
  <si>
    <t>saricase65+</t>
  </si>
  <si>
    <t>age 65+</t>
  </si>
  <si>
    <t>denom_age 0-4</t>
  </si>
  <si>
    <t>denom_age 5-14</t>
  </si>
  <si>
    <t>denom_age 15-29</t>
  </si>
  <si>
    <t>denom_age 30-64</t>
  </si>
  <si>
    <t>denom_age 65+</t>
  </si>
  <si>
    <t>denom_age 65-79</t>
  </si>
  <si>
    <t>denom_age 80+</t>
  </si>
  <si>
    <t>denom_Total</t>
  </si>
  <si>
    <t>saricaserate_total</t>
  </si>
  <si>
    <t>saricaserate_65_79</t>
  </si>
  <si>
    <t>saricaserate65plus</t>
  </si>
  <si>
    <t>saricaserate_80plus</t>
  </si>
  <si>
    <t>sc2_pos_80plus</t>
  </si>
  <si>
    <t>flu_pos_80plus</t>
  </si>
  <si>
    <t>rsv_pos_80plus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</si>
</sst>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i/>
      <sz val="11"/>
      <color rgb="FF366092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3" borderId="0" xfId="0" applyFill="1"/>
    <xf numFmtId="0" fontId="0" fillId="3" borderId="1" xfId="0" applyFill="1" applyBorder="1" applyAlignment="1">
      <alignment vertic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5" xfId="0" applyBorder="1" applyAlignment="1">
      <alignment horizontal="right" wrapText="1"/>
    </xf>
    <xf numFmtId="0" fontId="0" fillId="0" borderId="1" xfId="0" applyBorder="1" applyAlignment="1">
      <alignment wrapText="1"/>
    </xf>
    <xf numFmtId="0" fontId="0" fillId="4" borderId="0" xfId="0" applyFill="1"/>
    <xf numFmtId="0" fontId="1" fillId="0" borderId="6" xfId="0" applyFont="1" applyBorder="1"/>
    <xf numFmtId="0" fontId="0" fillId="0" borderId="6" xfId="0" applyBorder="1"/>
    <xf numFmtId="0" fontId="2" fillId="0" borderId="3" xfId="0" applyFont="1" applyBorder="1" applyAlignment="1">
      <alignment horizontal="center" vertical="center" wrapText="1"/>
    </xf>
    <xf numFmtId="0" fontId="0" fillId="0" borderId="7" xfId="0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0" fillId="0" borderId="11" xfId="0" applyBorder="1" applyAlignment="1">
      <alignment wrapText="1"/>
    </xf>
    <xf numFmtId="0" fontId="1" fillId="0" borderId="12" xfId="0" applyFont="1" applyBorder="1" applyAlignment="1">
      <alignment horizontal="center" vertical="center" wrapText="1"/>
    </xf>
    <xf numFmtId="0" fontId="1" fillId="0" borderId="10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164" fontId="5" fillId="4" borderId="6" xfId="0" applyNumberFormat="1" applyFont="1" applyFill="1" applyBorder="1" applyAlignment="1">
      <alignment horizontal="left" vertical="center"/>
    </xf>
    <xf numFmtId="164" fontId="6" fillId="4" borderId="6" xfId="0" applyNumberFormat="1" applyFont="1" applyFill="1" applyBorder="1" applyAlignment="1">
      <alignment horizontal="lef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6"/>
  <sheetViews>
    <sheetView workbookViewId="0">
      <selection activeCell="G16" sqref="G16"/>
    </sheetView>
  </sheetViews>
  <sheetFormatPr defaultColWidth="8.88671875" defaultRowHeight="14.4" x14ac:dyDescent="0.3"/>
  <cols>
    <col min="1" max="16384" width="8.88671875" style="1"/>
  </cols>
  <sheetData>
    <row r="2" spans="1:1" ht="15" thickBot="1" x14ac:dyDescent="0.35"/>
    <row r="3" spans="1:1" ht="15" thickBot="1" x14ac:dyDescent="0.35">
      <c r="A3" s="2" t="s">
        <v>0</v>
      </c>
    </row>
    <row r="4" spans="1:1" ht="15" thickBot="1" x14ac:dyDescent="0.35">
      <c r="A4" s="2" t="s">
        <v>1</v>
      </c>
    </row>
    <row r="5" spans="1:1" ht="15" thickBot="1" x14ac:dyDescent="0.35">
      <c r="A5" s="2" t="s">
        <v>2</v>
      </c>
    </row>
    <row r="6" spans="1:1" ht="15" thickBot="1" x14ac:dyDescent="0.35">
      <c r="A6" s="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48F88-7E91-4C29-AB6A-6C3C6AF9307F}">
  <dimension ref="A1:I118"/>
  <sheetViews>
    <sheetView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J91" sqref="J91"/>
    </sheetView>
  </sheetViews>
  <sheetFormatPr defaultRowHeight="14.4" x14ac:dyDescent="0.3"/>
  <cols>
    <col min="1" max="1" width="7.33203125" bestFit="1" customWidth="1"/>
    <col min="2" max="2" width="9.44140625" bestFit="1" customWidth="1"/>
    <col min="3" max="3" width="14" bestFit="1" customWidth="1"/>
    <col min="4" max="7" width="16" bestFit="1" customWidth="1"/>
    <col min="8" max="8" width="15" bestFit="1" customWidth="1"/>
    <col min="9" max="9" width="29.5546875" bestFit="1" customWidth="1"/>
  </cols>
  <sheetData>
    <row r="1" spans="1:9" x14ac:dyDescent="0.3">
      <c r="A1" s="10" t="s">
        <v>4</v>
      </c>
      <c r="B1" s="10" t="s">
        <v>5</v>
      </c>
      <c r="C1" s="10" t="s">
        <v>6</v>
      </c>
      <c r="D1" s="10" t="s">
        <v>7</v>
      </c>
      <c r="E1" s="10" t="s">
        <v>8</v>
      </c>
      <c r="F1" s="10" t="s">
        <v>9</v>
      </c>
      <c r="G1" s="10" t="s">
        <v>10</v>
      </c>
      <c r="H1" s="10" t="s">
        <v>11</v>
      </c>
      <c r="I1" s="9" t="s">
        <v>12</v>
      </c>
    </row>
    <row r="2" spans="1:9" x14ac:dyDescent="0.3">
      <c r="A2" s="11" t="s">
        <v>13</v>
      </c>
      <c r="B2" s="11" t="s">
        <v>14</v>
      </c>
      <c r="C2" s="11">
        <v>9</v>
      </c>
      <c r="D2" s="11">
        <v>1.3</v>
      </c>
      <c r="E2" s="11">
        <v>1.2</v>
      </c>
      <c r="F2" s="11">
        <v>4.9000000000000004</v>
      </c>
      <c r="G2" s="11">
        <v>27.4</v>
      </c>
      <c r="H2" s="11">
        <v>98.6</v>
      </c>
    </row>
    <row r="3" spans="1:9" x14ac:dyDescent="0.3">
      <c r="A3" s="11" t="s">
        <v>13</v>
      </c>
      <c r="B3" s="11" t="s">
        <v>15</v>
      </c>
      <c r="C3" s="11">
        <v>16.100000000000001</v>
      </c>
      <c r="D3" s="11">
        <v>0.9</v>
      </c>
      <c r="E3" s="11">
        <v>1.5</v>
      </c>
      <c r="F3" s="11">
        <v>5</v>
      </c>
      <c r="G3" s="11">
        <v>30.8</v>
      </c>
      <c r="H3" s="11">
        <v>104.5</v>
      </c>
    </row>
    <row r="4" spans="1:9" x14ac:dyDescent="0.3">
      <c r="A4" s="11" t="s">
        <v>13</v>
      </c>
      <c r="B4" s="11" t="s">
        <v>16</v>
      </c>
      <c r="C4" s="11">
        <v>18.7</v>
      </c>
      <c r="D4" s="11">
        <v>1.6</v>
      </c>
      <c r="E4" s="11">
        <v>1.9</v>
      </c>
      <c r="F4" s="11">
        <v>5.0999999999999996</v>
      </c>
      <c r="G4" s="11">
        <v>34.299999999999997</v>
      </c>
      <c r="H4" s="11">
        <v>110.1</v>
      </c>
    </row>
    <row r="5" spans="1:9" x14ac:dyDescent="0.3">
      <c r="A5" s="11" t="s">
        <v>13</v>
      </c>
      <c r="B5" s="11" t="s">
        <v>17</v>
      </c>
      <c r="C5" s="11">
        <v>17.100000000000001</v>
      </c>
      <c r="D5" s="11">
        <v>0.8</v>
      </c>
      <c r="E5" s="11">
        <v>2.1</v>
      </c>
      <c r="F5" s="11">
        <v>5.5</v>
      </c>
      <c r="G5" s="11">
        <v>37.200000000000003</v>
      </c>
      <c r="H5" s="11">
        <v>116.7</v>
      </c>
    </row>
    <row r="6" spans="1:9" x14ac:dyDescent="0.3">
      <c r="A6" s="11" t="s">
        <v>13</v>
      </c>
      <c r="B6" s="11" t="s">
        <v>18</v>
      </c>
      <c r="C6" s="11">
        <v>24.1</v>
      </c>
      <c r="D6" s="11">
        <v>2.8</v>
      </c>
      <c r="E6" s="11">
        <v>2.2999999999999998</v>
      </c>
      <c r="F6" s="11">
        <v>6.5</v>
      </c>
      <c r="G6" s="11">
        <v>36.9</v>
      </c>
      <c r="H6" s="11">
        <v>116.7</v>
      </c>
    </row>
    <row r="7" spans="1:9" x14ac:dyDescent="0.3">
      <c r="A7" s="11" t="s">
        <v>13</v>
      </c>
      <c r="B7" s="11" t="s">
        <v>19</v>
      </c>
      <c r="C7" s="11">
        <v>23.2</v>
      </c>
      <c r="D7" s="11">
        <v>1.9</v>
      </c>
      <c r="E7" s="11">
        <v>3</v>
      </c>
      <c r="F7" s="11">
        <v>7.1</v>
      </c>
      <c r="G7" s="11">
        <v>38.700000000000003</v>
      </c>
      <c r="H7" s="11">
        <v>116</v>
      </c>
    </row>
    <row r="8" spans="1:9" x14ac:dyDescent="0.3">
      <c r="A8" s="11" t="s">
        <v>13</v>
      </c>
      <c r="B8" s="11" t="s">
        <v>20</v>
      </c>
      <c r="C8" s="11">
        <v>30.6</v>
      </c>
      <c r="D8" s="11">
        <v>3.3</v>
      </c>
      <c r="E8" s="11">
        <v>1.9</v>
      </c>
      <c r="F8" s="11">
        <v>7.4</v>
      </c>
      <c r="G8" s="11">
        <v>35.1</v>
      </c>
      <c r="H8" s="11">
        <v>118</v>
      </c>
    </row>
    <row r="9" spans="1:9" x14ac:dyDescent="0.3">
      <c r="A9" s="11" t="s">
        <v>13</v>
      </c>
      <c r="B9" s="11" t="s">
        <v>21</v>
      </c>
      <c r="C9" s="11">
        <v>42.8</v>
      </c>
      <c r="D9" s="11">
        <v>2.5</v>
      </c>
      <c r="E9" s="11">
        <v>2</v>
      </c>
      <c r="F9" s="11">
        <v>8.1999999999999993</v>
      </c>
      <c r="G9" s="11">
        <v>43.8</v>
      </c>
      <c r="H9" s="11">
        <v>132.1</v>
      </c>
    </row>
    <row r="10" spans="1:9" x14ac:dyDescent="0.3">
      <c r="A10" s="11" t="s">
        <v>13</v>
      </c>
      <c r="B10" s="11" t="s">
        <v>22</v>
      </c>
      <c r="C10" s="11">
        <v>54.1</v>
      </c>
      <c r="D10" s="11">
        <v>1.7</v>
      </c>
      <c r="E10" s="11">
        <v>1.9</v>
      </c>
      <c r="F10" s="11">
        <v>9.3000000000000007</v>
      </c>
      <c r="G10" s="11">
        <v>39.700000000000003</v>
      </c>
      <c r="H10" s="11">
        <v>136.69999999999999</v>
      </c>
    </row>
    <row r="11" spans="1:9" x14ac:dyDescent="0.3">
      <c r="A11" s="11" t="s">
        <v>13</v>
      </c>
      <c r="B11" s="11" t="s">
        <v>23</v>
      </c>
      <c r="C11" s="11">
        <v>61.5</v>
      </c>
      <c r="D11" s="11">
        <v>2</v>
      </c>
      <c r="E11" s="11">
        <v>3.1</v>
      </c>
      <c r="F11" s="11">
        <v>10.3</v>
      </c>
      <c r="G11" s="11">
        <v>53.1</v>
      </c>
      <c r="H11" s="11">
        <v>174.2</v>
      </c>
    </row>
    <row r="12" spans="1:9" x14ac:dyDescent="0.3">
      <c r="A12" s="11" t="s">
        <v>13</v>
      </c>
      <c r="B12" s="11" t="s">
        <v>24</v>
      </c>
      <c r="C12" s="11">
        <v>60.5</v>
      </c>
      <c r="D12" s="11">
        <v>3</v>
      </c>
      <c r="E12" s="11">
        <v>2.5</v>
      </c>
      <c r="F12" s="11">
        <v>11.1</v>
      </c>
      <c r="G12" s="11">
        <v>56.9</v>
      </c>
      <c r="H12" s="11">
        <v>185.3</v>
      </c>
    </row>
    <row r="13" spans="1:9" x14ac:dyDescent="0.3">
      <c r="A13" s="11" t="s">
        <v>13</v>
      </c>
      <c r="B13" s="11" t="s">
        <v>25</v>
      </c>
      <c r="C13" s="11">
        <v>67</v>
      </c>
      <c r="D13" s="11">
        <v>2.7</v>
      </c>
      <c r="E13" s="11">
        <v>2.7</v>
      </c>
      <c r="F13" s="11">
        <v>11.1</v>
      </c>
      <c r="G13" s="11">
        <v>58.8</v>
      </c>
      <c r="H13" s="11">
        <v>169.2</v>
      </c>
    </row>
    <row r="14" spans="1:9" x14ac:dyDescent="0.3">
      <c r="A14" s="11" t="s">
        <v>13</v>
      </c>
      <c r="B14" s="11" t="s">
        <v>26</v>
      </c>
      <c r="C14" s="11">
        <v>57.9</v>
      </c>
      <c r="D14" s="11">
        <v>2</v>
      </c>
      <c r="E14" s="11">
        <v>2.7</v>
      </c>
      <c r="F14" s="11">
        <v>11.8</v>
      </c>
      <c r="G14" s="11">
        <v>61.6</v>
      </c>
      <c r="H14" s="11">
        <v>195.8</v>
      </c>
    </row>
    <row r="15" spans="1:9" x14ac:dyDescent="0.3">
      <c r="A15" s="11" t="s">
        <v>13</v>
      </c>
      <c r="B15" s="11" t="s">
        <v>27</v>
      </c>
      <c r="C15" s="11">
        <v>32</v>
      </c>
      <c r="D15" s="11">
        <v>1.4</v>
      </c>
      <c r="E15" s="11">
        <v>2.8</v>
      </c>
      <c r="F15" s="11">
        <v>10.9</v>
      </c>
      <c r="G15" s="11">
        <v>48.9</v>
      </c>
      <c r="H15" s="11">
        <v>166.6</v>
      </c>
    </row>
    <row r="16" spans="1:9" x14ac:dyDescent="0.3">
      <c r="A16" s="11" t="s">
        <v>13</v>
      </c>
      <c r="B16" s="11" t="s">
        <v>28</v>
      </c>
      <c r="C16" s="11">
        <v>25.8</v>
      </c>
      <c r="D16" s="11">
        <v>2.1</v>
      </c>
      <c r="E16" s="11">
        <v>2.2999999999999998</v>
      </c>
      <c r="F16" s="11">
        <v>8.6999999999999993</v>
      </c>
      <c r="G16" s="11">
        <v>41</v>
      </c>
      <c r="H16" s="11">
        <v>126</v>
      </c>
    </row>
    <row r="17" spans="1:8" x14ac:dyDescent="0.3">
      <c r="A17" s="11" t="s">
        <v>13</v>
      </c>
      <c r="B17" s="11" t="s">
        <v>29</v>
      </c>
      <c r="C17" s="11">
        <v>30.3</v>
      </c>
      <c r="D17" s="11">
        <v>3.2</v>
      </c>
      <c r="E17" s="11">
        <v>3.1</v>
      </c>
      <c r="F17" s="11">
        <v>9.3000000000000007</v>
      </c>
      <c r="G17" s="11">
        <v>40.5</v>
      </c>
      <c r="H17" s="11">
        <v>123.8</v>
      </c>
    </row>
    <row r="18" spans="1:8" x14ac:dyDescent="0.3">
      <c r="A18" s="11" t="s">
        <v>13</v>
      </c>
      <c r="B18" s="11" t="s">
        <v>30</v>
      </c>
      <c r="C18" s="11">
        <v>30.7</v>
      </c>
      <c r="D18" s="11">
        <v>1.9</v>
      </c>
      <c r="E18" s="11">
        <v>3.4</v>
      </c>
      <c r="F18" s="11">
        <v>8.6999999999999993</v>
      </c>
      <c r="G18" s="11">
        <v>39.700000000000003</v>
      </c>
      <c r="H18" s="11">
        <v>104.7</v>
      </c>
    </row>
    <row r="19" spans="1:8" x14ac:dyDescent="0.3">
      <c r="A19" s="11" t="s">
        <v>13</v>
      </c>
      <c r="B19" s="11" t="s">
        <v>31</v>
      </c>
      <c r="C19" s="11">
        <v>24.5</v>
      </c>
      <c r="D19" s="11">
        <v>3.3</v>
      </c>
      <c r="E19" s="11">
        <v>2.2000000000000002</v>
      </c>
      <c r="F19" s="11">
        <v>9.8000000000000007</v>
      </c>
      <c r="G19" s="11">
        <v>41.9</v>
      </c>
      <c r="H19" s="11">
        <v>101.6</v>
      </c>
    </row>
    <row r="20" spans="1:8" x14ac:dyDescent="0.3">
      <c r="A20" s="11" t="s">
        <v>13</v>
      </c>
      <c r="B20" s="11" t="s">
        <v>32</v>
      </c>
      <c r="C20" s="11">
        <v>23.8</v>
      </c>
      <c r="D20" s="11">
        <v>3.8</v>
      </c>
      <c r="E20" s="11">
        <v>2.1</v>
      </c>
      <c r="F20" s="11">
        <v>9.3000000000000007</v>
      </c>
      <c r="G20" s="11">
        <v>39.6</v>
      </c>
      <c r="H20" s="11">
        <v>109.4</v>
      </c>
    </row>
    <row r="21" spans="1:8" x14ac:dyDescent="0.3">
      <c r="A21" s="11" t="s">
        <v>13</v>
      </c>
      <c r="B21" s="11" t="s">
        <v>33</v>
      </c>
      <c r="C21" s="11">
        <v>21.9</v>
      </c>
      <c r="D21" s="11">
        <v>2.2000000000000002</v>
      </c>
      <c r="E21" s="11">
        <v>2.9</v>
      </c>
      <c r="F21" s="11">
        <v>8.3000000000000007</v>
      </c>
      <c r="G21" s="11">
        <v>36.9</v>
      </c>
      <c r="H21" s="11">
        <v>122.2</v>
      </c>
    </row>
    <row r="22" spans="1:8" x14ac:dyDescent="0.3">
      <c r="A22" s="11" t="s">
        <v>13</v>
      </c>
      <c r="B22" s="11" t="s">
        <v>34</v>
      </c>
      <c r="C22" s="11">
        <v>21.5</v>
      </c>
      <c r="D22" s="11">
        <v>2.1</v>
      </c>
      <c r="E22" s="11">
        <v>1.8</v>
      </c>
      <c r="F22" s="11">
        <v>8.6999999999999993</v>
      </c>
      <c r="G22" s="11">
        <v>34.6</v>
      </c>
      <c r="H22" s="11">
        <v>113.2</v>
      </c>
    </row>
    <row r="23" spans="1:8" x14ac:dyDescent="0.3">
      <c r="A23" s="11" t="s">
        <v>13</v>
      </c>
      <c r="B23" s="11" t="s">
        <v>35</v>
      </c>
      <c r="C23" s="11">
        <v>18.3</v>
      </c>
      <c r="D23" s="11">
        <v>2.2000000000000002</v>
      </c>
      <c r="E23" s="11">
        <v>2.2000000000000002</v>
      </c>
      <c r="F23" s="11">
        <v>7.4</v>
      </c>
      <c r="G23" s="11">
        <v>28.6</v>
      </c>
      <c r="H23" s="11">
        <v>106.9</v>
      </c>
    </row>
    <row r="24" spans="1:8" x14ac:dyDescent="0.3">
      <c r="A24" s="11" t="s">
        <v>13</v>
      </c>
      <c r="B24" s="11" t="s">
        <v>36</v>
      </c>
      <c r="C24" s="11">
        <v>19.600000000000001</v>
      </c>
      <c r="D24" s="11">
        <v>2.7</v>
      </c>
      <c r="E24" s="11">
        <v>2.5</v>
      </c>
      <c r="F24" s="11">
        <v>6.4</v>
      </c>
      <c r="G24" s="11">
        <v>31</v>
      </c>
      <c r="H24" s="11">
        <v>95.4</v>
      </c>
    </row>
    <row r="25" spans="1:8" x14ac:dyDescent="0.3">
      <c r="A25" s="11" t="s">
        <v>13</v>
      </c>
      <c r="B25" s="11" t="s">
        <v>37</v>
      </c>
      <c r="C25" s="11">
        <v>18.600000000000001</v>
      </c>
      <c r="D25" s="11">
        <v>0.8</v>
      </c>
      <c r="E25" s="11">
        <v>2.1</v>
      </c>
      <c r="F25" s="11">
        <v>6.8</v>
      </c>
      <c r="G25" s="11">
        <v>32.6</v>
      </c>
      <c r="H25" s="11">
        <v>99.7</v>
      </c>
    </row>
    <row r="26" spans="1:8" x14ac:dyDescent="0.3">
      <c r="A26" s="11" t="s">
        <v>13</v>
      </c>
      <c r="B26" s="11" t="s">
        <v>38</v>
      </c>
      <c r="C26" s="11">
        <v>23.8</v>
      </c>
      <c r="D26" s="11">
        <v>1.4</v>
      </c>
      <c r="E26" s="11">
        <v>1.3</v>
      </c>
      <c r="F26" s="11">
        <v>6.3</v>
      </c>
      <c r="G26" s="11">
        <v>31.6</v>
      </c>
      <c r="H26" s="11">
        <v>105</v>
      </c>
    </row>
    <row r="27" spans="1:8" x14ac:dyDescent="0.3">
      <c r="A27" s="11" t="s">
        <v>13</v>
      </c>
      <c r="B27" s="11" t="s">
        <v>39</v>
      </c>
      <c r="C27" s="11">
        <v>17</v>
      </c>
      <c r="D27" s="11">
        <v>2.2000000000000002</v>
      </c>
      <c r="E27" s="11">
        <v>1.9</v>
      </c>
      <c r="F27" s="11">
        <v>6.3</v>
      </c>
      <c r="G27" s="11">
        <v>34</v>
      </c>
      <c r="H27" s="11">
        <v>112.9</v>
      </c>
    </row>
    <row r="28" spans="1:8" x14ac:dyDescent="0.3">
      <c r="A28" s="11" t="s">
        <v>13</v>
      </c>
      <c r="B28" s="11" t="s">
        <v>40</v>
      </c>
      <c r="C28" s="11">
        <v>12.4</v>
      </c>
      <c r="D28" s="11">
        <v>0.5</v>
      </c>
      <c r="E28" s="11">
        <v>1.7</v>
      </c>
      <c r="F28" s="11">
        <v>6.2</v>
      </c>
      <c r="G28" s="11">
        <v>34.700000000000003</v>
      </c>
      <c r="H28" s="11">
        <v>100.7</v>
      </c>
    </row>
    <row r="29" spans="1:8" x14ac:dyDescent="0.3">
      <c r="A29" s="11" t="s">
        <v>13</v>
      </c>
      <c r="B29" s="11" t="s">
        <v>41</v>
      </c>
      <c r="C29" s="11">
        <v>17.899999999999999</v>
      </c>
      <c r="D29" s="11">
        <v>1.6</v>
      </c>
      <c r="E29" s="11">
        <v>1.8</v>
      </c>
      <c r="F29" s="11">
        <v>6.2</v>
      </c>
      <c r="G29" s="11">
        <v>31</v>
      </c>
      <c r="H29" s="11">
        <v>95.4</v>
      </c>
    </row>
    <row r="30" spans="1:8" x14ac:dyDescent="0.3">
      <c r="A30" s="11" t="s">
        <v>13</v>
      </c>
      <c r="B30" s="11" t="s">
        <v>42</v>
      </c>
      <c r="C30" s="11">
        <v>19.2</v>
      </c>
      <c r="D30" s="11">
        <v>2.5</v>
      </c>
      <c r="E30" s="11">
        <v>1.7</v>
      </c>
      <c r="F30" s="11">
        <v>5.4</v>
      </c>
      <c r="G30" s="11">
        <v>29.2</v>
      </c>
      <c r="H30" s="11">
        <v>94.4</v>
      </c>
    </row>
    <row r="31" spans="1:8" x14ac:dyDescent="0.3">
      <c r="A31" s="11" t="s">
        <v>13</v>
      </c>
      <c r="B31" s="11" t="s">
        <v>43</v>
      </c>
      <c r="C31" s="11">
        <v>14.7</v>
      </c>
      <c r="D31" s="11">
        <v>1.1000000000000001</v>
      </c>
      <c r="E31" s="11">
        <v>2</v>
      </c>
      <c r="F31" s="11">
        <v>6.2</v>
      </c>
      <c r="G31" s="11">
        <v>34.1</v>
      </c>
      <c r="H31" s="11">
        <v>92.9</v>
      </c>
    </row>
    <row r="32" spans="1:8" x14ac:dyDescent="0.3">
      <c r="A32" s="11" t="s">
        <v>13</v>
      </c>
      <c r="B32" s="11" t="s">
        <v>44</v>
      </c>
      <c r="C32" s="11">
        <v>15</v>
      </c>
      <c r="D32" s="11">
        <v>1.6</v>
      </c>
      <c r="E32" s="11">
        <v>1.3</v>
      </c>
      <c r="F32" s="11">
        <v>5.8</v>
      </c>
      <c r="G32" s="11">
        <v>30.2</v>
      </c>
      <c r="H32" s="11">
        <v>96.3</v>
      </c>
    </row>
    <row r="33" spans="1:8" x14ac:dyDescent="0.3">
      <c r="A33" s="11" t="s">
        <v>13</v>
      </c>
      <c r="B33" s="11" t="s">
        <v>45</v>
      </c>
      <c r="C33" s="11">
        <v>12.4</v>
      </c>
      <c r="D33" s="11">
        <v>1.9</v>
      </c>
      <c r="E33" s="11">
        <v>1.1000000000000001</v>
      </c>
      <c r="F33" s="11">
        <v>4.5999999999999996</v>
      </c>
      <c r="G33" s="11">
        <v>30.8</v>
      </c>
      <c r="H33" s="11">
        <v>77.8</v>
      </c>
    </row>
    <row r="34" spans="1:8" x14ac:dyDescent="0.3">
      <c r="A34" s="11" t="s">
        <v>13</v>
      </c>
      <c r="B34" s="11" t="s">
        <v>46</v>
      </c>
      <c r="C34" s="11">
        <v>10.1</v>
      </c>
      <c r="D34" s="11">
        <v>2.9</v>
      </c>
      <c r="E34" s="11">
        <v>2</v>
      </c>
      <c r="F34" s="11">
        <v>5.2</v>
      </c>
      <c r="G34" s="11">
        <v>29.4</v>
      </c>
      <c r="H34" s="11">
        <v>91.6</v>
      </c>
    </row>
    <row r="35" spans="1:8" x14ac:dyDescent="0.3">
      <c r="A35" s="11" t="s">
        <v>13</v>
      </c>
      <c r="B35" s="11" t="s">
        <v>47</v>
      </c>
      <c r="C35" s="11">
        <v>10.4</v>
      </c>
      <c r="D35" s="11">
        <v>1.9</v>
      </c>
      <c r="E35" s="11">
        <v>1.6</v>
      </c>
      <c r="F35" s="11">
        <v>4.2</v>
      </c>
      <c r="G35" s="11">
        <v>31.3</v>
      </c>
      <c r="H35" s="11">
        <v>83.5</v>
      </c>
    </row>
    <row r="36" spans="1:8" x14ac:dyDescent="0.3">
      <c r="A36" s="11" t="s">
        <v>13</v>
      </c>
      <c r="B36" s="11" t="s">
        <v>48</v>
      </c>
      <c r="C36" s="11">
        <v>12.1</v>
      </c>
      <c r="D36" s="11">
        <v>0.8</v>
      </c>
      <c r="E36" s="11">
        <v>1.9</v>
      </c>
      <c r="F36" s="11">
        <v>4.9000000000000004</v>
      </c>
      <c r="G36" s="11">
        <v>26.4</v>
      </c>
      <c r="H36" s="11">
        <v>80.3</v>
      </c>
    </row>
    <row r="37" spans="1:8" x14ac:dyDescent="0.3">
      <c r="A37" s="11" t="s">
        <v>13</v>
      </c>
      <c r="B37" s="11" t="s">
        <v>49</v>
      </c>
      <c r="C37" s="11">
        <v>11.4</v>
      </c>
      <c r="D37" s="11">
        <v>1.6</v>
      </c>
      <c r="E37" s="11">
        <v>1.2</v>
      </c>
      <c r="F37" s="11">
        <v>4.9000000000000004</v>
      </c>
      <c r="G37" s="11">
        <v>23.9</v>
      </c>
      <c r="H37" s="11">
        <v>78.5</v>
      </c>
    </row>
    <row r="38" spans="1:8" x14ac:dyDescent="0.3">
      <c r="A38" s="11" t="s">
        <v>13</v>
      </c>
      <c r="B38" s="11" t="s">
        <v>50</v>
      </c>
      <c r="C38" s="11">
        <v>11.7</v>
      </c>
      <c r="D38" s="11">
        <v>1.9</v>
      </c>
      <c r="E38" s="11">
        <v>1.1000000000000001</v>
      </c>
      <c r="F38" s="11">
        <v>5.0999999999999996</v>
      </c>
      <c r="G38" s="11">
        <v>24</v>
      </c>
      <c r="H38" s="11">
        <v>78.2</v>
      </c>
    </row>
    <row r="39" spans="1:8" x14ac:dyDescent="0.3">
      <c r="A39" s="11" t="s">
        <v>13</v>
      </c>
      <c r="B39" s="11" t="s">
        <v>51</v>
      </c>
      <c r="C39" s="11">
        <v>10.4</v>
      </c>
      <c r="D39" s="11">
        <v>1.4</v>
      </c>
      <c r="E39" s="11">
        <v>1.5</v>
      </c>
      <c r="F39" s="11">
        <v>5.4</v>
      </c>
      <c r="G39" s="11">
        <v>25.9</v>
      </c>
      <c r="H39" s="11">
        <v>76.900000000000006</v>
      </c>
    </row>
    <row r="40" spans="1:8" x14ac:dyDescent="0.3">
      <c r="A40" s="11" t="s">
        <v>13</v>
      </c>
      <c r="B40" s="11" t="s">
        <v>52</v>
      </c>
      <c r="C40" s="11">
        <v>9.8000000000000007</v>
      </c>
      <c r="D40" s="11">
        <v>1.9</v>
      </c>
      <c r="E40" s="11">
        <v>1.1000000000000001</v>
      </c>
      <c r="F40" s="11">
        <v>4.4000000000000004</v>
      </c>
      <c r="G40" s="11">
        <v>29.2</v>
      </c>
      <c r="H40" s="11">
        <v>91</v>
      </c>
    </row>
    <row r="41" spans="1:8" x14ac:dyDescent="0.3">
      <c r="A41" s="11" t="s">
        <v>13</v>
      </c>
      <c r="B41" s="11" t="s">
        <v>53</v>
      </c>
      <c r="C41" s="11">
        <v>6.9</v>
      </c>
      <c r="D41" s="11">
        <v>1.7</v>
      </c>
      <c r="E41" s="11">
        <v>1.5</v>
      </c>
      <c r="F41" s="11">
        <v>5.5</v>
      </c>
      <c r="G41" s="11">
        <v>24.6</v>
      </c>
      <c r="H41" s="11">
        <v>83.8</v>
      </c>
    </row>
    <row r="42" spans="1:8" x14ac:dyDescent="0.3">
      <c r="A42" s="11" t="s">
        <v>13</v>
      </c>
      <c r="B42" s="11" t="s">
        <v>54</v>
      </c>
      <c r="C42" s="11">
        <v>7.8</v>
      </c>
      <c r="D42" s="11">
        <v>1.6</v>
      </c>
      <c r="E42" s="11">
        <v>1.5</v>
      </c>
      <c r="F42" s="11">
        <v>4.7</v>
      </c>
      <c r="G42" s="11">
        <v>29.6</v>
      </c>
      <c r="H42" s="11">
        <v>89.4</v>
      </c>
    </row>
    <row r="43" spans="1:8" x14ac:dyDescent="0.3">
      <c r="A43" s="11" t="s">
        <v>13</v>
      </c>
      <c r="B43" s="11" t="s">
        <v>55</v>
      </c>
      <c r="C43" s="11">
        <v>7.2</v>
      </c>
      <c r="D43" s="11">
        <v>1</v>
      </c>
      <c r="E43" s="11">
        <v>1.7</v>
      </c>
      <c r="F43" s="11">
        <v>4.4000000000000004</v>
      </c>
      <c r="G43" s="11">
        <v>28.5</v>
      </c>
      <c r="H43" s="11">
        <v>87.5</v>
      </c>
    </row>
    <row r="44" spans="1:8" x14ac:dyDescent="0.3">
      <c r="A44" s="11" t="s">
        <v>13</v>
      </c>
      <c r="B44" s="11" t="s">
        <v>56</v>
      </c>
      <c r="C44" s="11">
        <v>3.9</v>
      </c>
      <c r="D44" s="11">
        <v>1.9</v>
      </c>
      <c r="E44" s="11">
        <v>1.9</v>
      </c>
      <c r="F44" s="11">
        <v>5.4</v>
      </c>
      <c r="G44" s="11">
        <v>26.4</v>
      </c>
      <c r="H44" s="11">
        <v>77.2</v>
      </c>
    </row>
    <row r="45" spans="1:8" x14ac:dyDescent="0.3">
      <c r="A45" s="11" t="s">
        <v>13</v>
      </c>
      <c r="B45" s="11" t="s">
        <v>57</v>
      </c>
      <c r="C45" s="11">
        <v>5.2</v>
      </c>
      <c r="D45" s="11">
        <v>1.3</v>
      </c>
      <c r="E45" s="11">
        <v>2</v>
      </c>
      <c r="F45" s="11">
        <v>5.7</v>
      </c>
      <c r="G45" s="11">
        <v>24.5</v>
      </c>
      <c r="H45" s="11">
        <v>71.3</v>
      </c>
    </row>
    <row r="46" spans="1:8" x14ac:dyDescent="0.3">
      <c r="A46" s="11" t="s">
        <v>13</v>
      </c>
      <c r="B46" s="11" t="s">
        <v>58</v>
      </c>
      <c r="C46" s="11">
        <v>10.1</v>
      </c>
      <c r="D46" s="11">
        <v>1.1000000000000001</v>
      </c>
      <c r="E46" s="11">
        <v>2.2000000000000002</v>
      </c>
      <c r="F46" s="11">
        <v>5.8</v>
      </c>
      <c r="G46" s="11">
        <v>26.6</v>
      </c>
      <c r="H46" s="11">
        <v>83.8</v>
      </c>
    </row>
    <row r="47" spans="1:8" x14ac:dyDescent="0.3">
      <c r="A47" s="11" t="s">
        <v>13</v>
      </c>
      <c r="B47" s="11" t="s">
        <v>59</v>
      </c>
      <c r="C47" s="11">
        <v>6.5</v>
      </c>
      <c r="D47" s="11">
        <v>1.7</v>
      </c>
      <c r="E47" s="11">
        <v>1.5</v>
      </c>
      <c r="F47" s="11">
        <v>4.5999999999999996</v>
      </c>
      <c r="G47" s="11">
        <v>27.8</v>
      </c>
      <c r="H47" s="11">
        <v>80.3</v>
      </c>
    </row>
    <row r="48" spans="1:8" x14ac:dyDescent="0.3">
      <c r="A48" s="11" t="s">
        <v>13</v>
      </c>
      <c r="B48" s="11" t="s">
        <v>60</v>
      </c>
      <c r="C48" s="11">
        <v>15.3</v>
      </c>
      <c r="D48" s="11">
        <v>2.2000000000000002</v>
      </c>
      <c r="E48" s="11">
        <v>1.9</v>
      </c>
      <c r="F48" s="11">
        <v>5.3</v>
      </c>
      <c r="G48" s="11">
        <v>25.7</v>
      </c>
      <c r="H48" s="11">
        <v>76</v>
      </c>
    </row>
    <row r="49" spans="1:8" x14ac:dyDescent="0.3">
      <c r="A49" s="11" t="s">
        <v>13</v>
      </c>
      <c r="B49" s="11" t="s">
        <v>61</v>
      </c>
      <c r="C49" s="11">
        <v>15</v>
      </c>
      <c r="D49" s="11">
        <v>2.2000000000000002</v>
      </c>
      <c r="E49" s="11">
        <v>2</v>
      </c>
      <c r="F49" s="11">
        <v>5.0999999999999996</v>
      </c>
      <c r="G49" s="11">
        <v>25.2</v>
      </c>
      <c r="H49" s="11">
        <v>94.4</v>
      </c>
    </row>
    <row r="50" spans="1:8" x14ac:dyDescent="0.3">
      <c r="A50" s="11" t="s">
        <v>13</v>
      </c>
      <c r="B50" s="11" t="s">
        <v>62</v>
      </c>
      <c r="C50" s="11">
        <v>19.899999999999999</v>
      </c>
      <c r="D50" s="11">
        <v>1.9</v>
      </c>
      <c r="E50" s="11">
        <v>2.7</v>
      </c>
      <c r="F50" s="11">
        <v>5.6</v>
      </c>
      <c r="G50" s="11">
        <v>30.2</v>
      </c>
      <c r="H50" s="11">
        <v>95.7</v>
      </c>
    </row>
    <row r="51" spans="1:8" x14ac:dyDescent="0.3">
      <c r="A51" s="11" t="s">
        <v>13</v>
      </c>
      <c r="B51" s="11" t="s">
        <v>63</v>
      </c>
      <c r="C51" s="11">
        <v>12.7</v>
      </c>
      <c r="D51" s="11">
        <v>2.4</v>
      </c>
      <c r="E51" s="11">
        <v>2.2999999999999998</v>
      </c>
      <c r="F51" s="11">
        <v>4.8</v>
      </c>
      <c r="G51" s="11">
        <v>24.5</v>
      </c>
      <c r="H51" s="11">
        <v>82.5</v>
      </c>
    </row>
    <row r="52" spans="1:8" x14ac:dyDescent="0.3">
      <c r="A52" s="11" t="s">
        <v>13</v>
      </c>
      <c r="B52" s="11" t="s">
        <v>64</v>
      </c>
      <c r="C52" s="11">
        <v>20.2</v>
      </c>
      <c r="D52" s="11">
        <v>2.2000000000000002</v>
      </c>
      <c r="E52" s="11">
        <v>2.7</v>
      </c>
      <c r="F52" s="11">
        <v>5.2</v>
      </c>
      <c r="G52" s="11">
        <v>26.8</v>
      </c>
      <c r="H52" s="11">
        <v>94.4</v>
      </c>
    </row>
    <row r="53" spans="1:8" x14ac:dyDescent="0.3">
      <c r="A53" s="11" t="s">
        <v>13</v>
      </c>
      <c r="B53" s="11" t="s">
        <v>65</v>
      </c>
      <c r="C53" s="11">
        <v>18.600000000000001</v>
      </c>
      <c r="D53" s="11">
        <v>2.1</v>
      </c>
      <c r="E53" s="11">
        <v>3</v>
      </c>
      <c r="F53" s="11">
        <v>5.5</v>
      </c>
      <c r="G53" s="11">
        <v>25.1</v>
      </c>
      <c r="H53" s="11">
        <v>96.3</v>
      </c>
    </row>
    <row r="54" spans="1:8" x14ac:dyDescent="0.3">
      <c r="A54" s="11" t="s">
        <v>13</v>
      </c>
      <c r="B54" s="11" t="s">
        <v>66</v>
      </c>
      <c r="C54" s="11">
        <v>16.600000000000001</v>
      </c>
      <c r="D54" s="11">
        <v>1.7</v>
      </c>
      <c r="E54" s="11">
        <v>2.2999999999999998</v>
      </c>
      <c r="F54" s="11">
        <v>5.7</v>
      </c>
      <c r="G54" s="11">
        <v>34.200000000000003</v>
      </c>
      <c r="H54" s="11">
        <v>88.5</v>
      </c>
    </row>
    <row r="55" spans="1:8" x14ac:dyDescent="0.3">
      <c r="A55" s="11" t="s">
        <v>13</v>
      </c>
      <c r="B55" s="11" t="s">
        <v>67</v>
      </c>
      <c r="C55" s="11">
        <v>17</v>
      </c>
      <c r="D55" s="11">
        <v>3</v>
      </c>
      <c r="E55" s="11">
        <v>1.7</v>
      </c>
      <c r="F55" s="11">
        <v>6.7</v>
      </c>
      <c r="G55" s="11">
        <v>29.8</v>
      </c>
      <c r="H55" s="11">
        <v>115.7</v>
      </c>
    </row>
    <row r="56" spans="1:8" x14ac:dyDescent="0.3">
      <c r="A56" s="11" t="s">
        <v>13</v>
      </c>
      <c r="B56" s="11" t="s">
        <v>68</v>
      </c>
      <c r="C56" s="11">
        <v>11.4</v>
      </c>
      <c r="D56" s="11">
        <v>4.3</v>
      </c>
      <c r="E56" s="11">
        <v>2.6</v>
      </c>
      <c r="F56" s="11">
        <v>6.3</v>
      </c>
      <c r="G56" s="11">
        <v>32.1</v>
      </c>
      <c r="H56" s="11">
        <v>105</v>
      </c>
    </row>
    <row r="57" spans="1:8" x14ac:dyDescent="0.3">
      <c r="A57" s="11" t="s">
        <v>13</v>
      </c>
      <c r="B57" s="11" t="s">
        <v>69</v>
      </c>
      <c r="C57" s="11">
        <v>17.3</v>
      </c>
      <c r="D57" s="11">
        <v>2.1</v>
      </c>
      <c r="E57" s="11">
        <v>1.3</v>
      </c>
      <c r="F57" s="11">
        <v>6.6</v>
      </c>
      <c r="G57" s="11">
        <v>27.1</v>
      </c>
      <c r="H57" s="11">
        <v>87.2</v>
      </c>
    </row>
    <row r="58" spans="1:8" x14ac:dyDescent="0.3">
      <c r="A58" s="11" t="s">
        <v>13</v>
      </c>
      <c r="B58" s="11" t="s">
        <v>70</v>
      </c>
      <c r="C58" s="11">
        <v>11.4</v>
      </c>
      <c r="D58" s="11">
        <v>1.4</v>
      </c>
      <c r="E58" s="11">
        <v>1.8</v>
      </c>
      <c r="F58" s="11">
        <v>6.3</v>
      </c>
      <c r="G58" s="11">
        <v>28.4</v>
      </c>
      <c r="H58" s="11">
        <v>87.5</v>
      </c>
    </row>
    <row r="59" spans="1:8" x14ac:dyDescent="0.3">
      <c r="A59" s="11" t="s">
        <v>13</v>
      </c>
      <c r="B59" s="11" t="s">
        <v>71</v>
      </c>
      <c r="C59" s="11">
        <v>18.600000000000001</v>
      </c>
      <c r="D59" s="11">
        <v>1.9</v>
      </c>
      <c r="E59" s="11">
        <v>2.2000000000000002</v>
      </c>
      <c r="F59" s="11">
        <v>6.4</v>
      </c>
      <c r="G59" s="11">
        <v>26.3</v>
      </c>
      <c r="H59" s="11">
        <v>89.7</v>
      </c>
    </row>
    <row r="60" spans="1:8" x14ac:dyDescent="0.3">
      <c r="A60" s="11" t="s">
        <v>13</v>
      </c>
      <c r="B60" s="11" t="s">
        <v>72</v>
      </c>
      <c r="C60" s="11">
        <v>12.4</v>
      </c>
      <c r="D60" s="11">
        <v>2.1</v>
      </c>
      <c r="E60" s="11">
        <v>1.7</v>
      </c>
      <c r="F60" s="11">
        <v>6.7</v>
      </c>
      <c r="G60" s="11">
        <v>27.5</v>
      </c>
      <c r="H60" s="11">
        <v>92.2</v>
      </c>
    </row>
    <row r="61" spans="1:8" x14ac:dyDescent="0.3">
      <c r="A61" s="11" t="s">
        <v>13</v>
      </c>
      <c r="B61" s="11" t="s">
        <v>73</v>
      </c>
      <c r="C61" s="11">
        <v>15.3</v>
      </c>
      <c r="D61" s="11">
        <v>1.7</v>
      </c>
      <c r="E61" s="11">
        <v>2.5</v>
      </c>
      <c r="F61" s="11">
        <v>7.1</v>
      </c>
      <c r="G61" s="11">
        <v>30.2</v>
      </c>
      <c r="H61" s="11">
        <v>89.7</v>
      </c>
    </row>
    <row r="62" spans="1:8" x14ac:dyDescent="0.3">
      <c r="A62" s="11" t="s">
        <v>13</v>
      </c>
      <c r="B62" s="11" t="s">
        <v>74</v>
      </c>
      <c r="C62" s="11">
        <v>12.4</v>
      </c>
      <c r="D62" s="11">
        <v>2.1</v>
      </c>
      <c r="E62" s="11">
        <v>2</v>
      </c>
      <c r="F62" s="11">
        <v>5.8</v>
      </c>
      <c r="G62" s="11">
        <v>28.3</v>
      </c>
      <c r="H62" s="11">
        <v>94.7</v>
      </c>
    </row>
    <row r="63" spans="1:8" x14ac:dyDescent="0.3">
      <c r="A63" s="11" t="s">
        <v>13</v>
      </c>
      <c r="B63" s="11" t="s">
        <v>75</v>
      </c>
      <c r="C63" s="11">
        <v>18.3</v>
      </c>
      <c r="D63" s="11">
        <v>2.1</v>
      </c>
      <c r="E63" s="11">
        <v>1.6</v>
      </c>
      <c r="F63" s="11">
        <v>5.9</v>
      </c>
      <c r="G63" s="11">
        <v>27</v>
      </c>
      <c r="H63" s="11">
        <v>100</v>
      </c>
    </row>
    <row r="64" spans="1:8" x14ac:dyDescent="0.3">
      <c r="A64" s="11" t="s">
        <v>13</v>
      </c>
      <c r="B64" s="11" t="s">
        <v>76</v>
      </c>
      <c r="C64" s="11">
        <v>19.600000000000001</v>
      </c>
      <c r="D64" s="11">
        <v>1.7</v>
      </c>
      <c r="E64" s="11">
        <v>2.1</v>
      </c>
      <c r="F64" s="11">
        <v>5.9</v>
      </c>
      <c r="G64" s="11">
        <v>29.1</v>
      </c>
      <c r="H64" s="11">
        <v>95.7</v>
      </c>
    </row>
    <row r="65" spans="1:8" x14ac:dyDescent="0.3">
      <c r="A65" s="11" t="s">
        <v>13</v>
      </c>
      <c r="B65" s="11" t="s">
        <v>77</v>
      </c>
      <c r="C65" s="11">
        <v>30.3</v>
      </c>
      <c r="D65" s="11">
        <v>1.6</v>
      </c>
      <c r="E65" s="11">
        <v>2.1</v>
      </c>
      <c r="F65" s="11">
        <v>7.8</v>
      </c>
      <c r="G65" s="11">
        <v>37.200000000000003</v>
      </c>
      <c r="H65" s="11">
        <v>129.4</v>
      </c>
    </row>
    <row r="66" spans="1:8" x14ac:dyDescent="0.3">
      <c r="A66" s="11" t="s">
        <v>13</v>
      </c>
      <c r="B66" s="11" t="s">
        <v>78</v>
      </c>
      <c r="C66" s="11">
        <v>31.3</v>
      </c>
      <c r="D66" s="11">
        <v>1.4</v>
      </c>
      <c r="E66" s="11">
        <v>2.5</v>
      </c>
      <c r="F66" s="11">
        <v>6.8</v>
      </c>
      <c r="G66" s="11">
        <v>40.6</v>
      </c>
      <c r="H66" s="11">
        <v>134.69999999999999</v>
      </c>
    </row>
    <row r="67" spans="1:8" x14ac:dyDescent="0.3">
      <c r="A67" s="11" t="s">
        <v>13</v>
      </c>
      <c r="B67" s="11" t="s">
        <v>79</v>
      </c>
      <c r="C67" s="11">
        <v>28.1</v>
      </c>
      <c r="D67" s="11">
        <v>0.8</v>
      </c>
      <c r="E67" s="11">
        <v>1.5</v>
      </c>
      <c r="F67" s="11">
        <v>8.1</v>
      </c>
      <c r="G67" s="11">
        <v>40.700000000000003</v>
      </c>
      <c r="H67" s="11">
        <v>153.5</v>
      </c>
    </row>
    <row r="68" spans="1:8" x14ac:dyDescent="0.3">
      <c r="A68" s="11" t="s">
        <v>13</v>
      </c>
      <c r="B68" s="11" t="s">
        <v>80</v>
      </c>
      <c r="C68" s="11">
        <v>21.2</v>
      </c>
      <c r="D68" s="11">
        <v>1.3</v>
      </c>
      <c r="E68" s="11">
        <v>2</v>
      </c>
      <c r="F68" s="11">
        <v>7.7</v>
      </c>
      <c r="G68" s="11">
        <v>38.4</v>
      </c>
      <c r="H68" s="11">
        <v>116.1</v>
      </c>
    </row>
    <row r="69" spans="1:8" x14ac:dyDescent="0.3">
      <c r="A69" s="11" t="s">
        <v>13</v>
      </c>
      <c r="B69" s="11" t="s">
        <v>81</v>
      </c>
      <c r="C69" s="11">
        <v>41</v>
      </c>
      <c r="D69" s="11">
        <v>1.8</v>
      </c>
      <c r="E69" s="11">
        <v>1.7</v>
      </c>
      <c r="F69" s="11">
        <v>7.5</v>
      </c>
      <c r="G69" s="11">
        <v>29.4</v>
      </c>
      <c r="H69" s="11">
        <v>88.1</v>
      </c>
    </row>
    <row r="70" spans="1:8" x14ac:dyDescent="0.3">
      <c r="A70" s="11" t="s">
        <v>13</v>
      </c>
      <c r="B70" s="11" t="s">
        <v>82</v>
      </c>
      <c r="C70" s="11">
        <v>47</v>
      </c>
      <c r="D70" s="11">
        <v>2.2000000000000002</v>
      </c>
      <c r="E70" s="11">
        <v>2.2999999999999998</v>
      </c>
      <c r="F70" s="11">
        <v>7.3</v>
      </c>
      <c r="G70" s="11">
        <v>35</v>
      </c>
      <c r="H70" s="11">
        <v>107.3</v>
      </c>
    </row>
    <row r="71" spans="1:8" x14ac:dyDescent="0.3">
      <c r="A71" s="11" t="s">
        <v>13</v>
      </c>
      <c r="B71" s="11" t="s">
        <v>83</v>
      </c>
      <c r="C71" s="11">
        <v>53.2</v>
      </c>
      <c r="D71" s="11">
        <v>2.7</v>
      </c>
      <c r="E71" s="11">
        <v>2.1</v>
      </c>
      <c r="F71" s="11">
        <v>7.7</v>
      </c>
      <c r="G71" s="11">
        <v>37</v>
      </c>
      <c r="H71" s="11">
        <v>108.7</v>
      </c>
    </row>
    <row r="72" spans="1:8" x14ac:dyDescent="0.3">
      <c r="A72" s="11" t="s">
        <v>13</v>
      </c>
      <c r="B72" s="11" t="s">
        <v>84</v>
      </c>
      <c r="C72" s="11"/>
      <c r="D72" s="11"/>
      <c r="E72" s="11"/>
      <c r="F72" s="11"/>
      <c r="G72" s="11"/>
      <c r="H72" s="11"/>
    </row>
    <row r="73" spans="1:8" x14ac:dyDescent="0.3">
      <c r="A73" s="11" t="s">
        <v>13</v>
      </c>
      <c r="B73" s="11" t="s">
        <v>85</v>
      </c>
      <c r="C73" s="11"/>
      <c r="D73" s="11"/>
      <c r="E73" s="11"/>
      <c r="F73" s="11"/>
      <c r="G73" s="11"/>
      <c r="H73" s="11"/>
    </row>
    <row r="74" spans="1:8" x14ac:dyDescent="0.3">
      <c r="A74" s="11" t="s">
        <v>13</v>
      </c>
      <c r="B74" s="11" t="s">
        <v>86</v>
      </c>
      <c r="C74" s="11"/>
      <c r="D74" s="11"/>
      <c r="E74" s="11"/>
      <c r="F74" s="11"/>
      <c r="G74" s="11"/>
      <c r="H74" s="11"/>
    </row>
    <row r="75" spans="1:8" x14ac:dyDescent="0.3">
      <c r="A75" s="11" t="s">
        <v>13</v>
      </c>
      <c r="B75" s="11" t="s">
        <v>87</v>
      </c>
      <c r="C75" s="11"/>
      <c r="D75" s="11"/>
      <c r="E75" s="11"/>
      <c r="F75" s="11"/>
      <c r="G75" s="11"/>
      <c r="H75" s="11"/>
    </row>
    <row r="76" spans="1:8" x14ac:dyDescent="0.3">
      <c r="A76" s="11" t="s">
        <v>13</v>
      </c>
      <c r="B76" s="11" t="s">
        <v>88</v>
      </c>
      <c r="C76" s="11"/>
      <c r="D76" s="11"/>
      <c r="E76" s="11"/>
      <c r="F76" s="11"/>
      <c r="G76" s="11"/>
      <c r="H76" s="11"/>
    </row>
    <row r="77" spans="1:8" x14ac:dyDescent="0.3">
      <c r="A77" s="11" t="s">
        <v>13</v>
      </c>
      <c r="B77" s="11" t="s">
        <v>89</v>
      </c>
      <c r="C77" s="11"/>
      <c r="D77" s="11"/>
      <c r="E77" s="11"/>
      <c r="F77" s="11"/>
      <c r="G77" s="11"/>
      <c r="H77" s="11"/>
    </row>
    <row r="78" spans="1:8" x14ac:dyDescent="0.3">
      <c r="A78" s="11" t="s">
        <v>13</v>
      </c>
      <c r="B78" s="11" t="s">
        <v>90</v>
      </c>
      <c r="C78" s="11"/>
      <c r="D78" s="11"/>
      <c r="E78" s="11"/>
      <c r="F78" s="11"/>
      <c r="G78" s="11"/>
      <c r="H78" s="11"/>
    </row>
    <row r="79" spans="1:8" x14ac:dyDescent="0.3">
      <c r="A79" s="11" t="s">
        <v>13</v>
      </c>
      <c r="B79" s="11" t="s">
        <v>91</v>
      </c>
      <c r="C79" s="11"/>
      <c r="D79" s="11"/>
      <c r="E79" s="11"/>
      <c r="F79" s="11"/>
      <c r="G79" s="11"/>
      <c r="H79" s="11"/>
    </row>
    <row r="80" spans="1:8" x14ac:dyDescent="0.3">
      <c r="A80" s="11" t="s">
        <v>13</v>
      </c>
      <c r="B80" s="11" t="s">
        <v>92</v>
      </c>
      <c r="C80" s="11"/>
      <c r="D80" s="11"/>
      <c r="E80" s="11"/>
      <c r="F80" s="11"/>
      <c r="G80" s="11"/>
      <c r="H80" s="11"/>
    </row>
    <row r="81" spans="1:8" x14ac:dyDescent="0.3">
      <c r="A81" s="11" t="s">
        <v>13</v>
      </c>
      <c r="B81" s="11" t="s">
        <v>93</v>
      </c>
      <c r="C81" s="11"/>
      <c r="D81" s="11"/>
      <c r="E81" s="11"/>
      <c r="F81" s="11"/>
      <c r="G81" s="11"/>
      <c r="H81" s="11"/>
    </row>
    <row r="82" spans="1:8" x14ac:dyDescent="0.3">
      <c r="A82" s="11" t="s">
        <v>13</v>
      </c>
      <c r="B82" s="11" t="s">
        <v>94</v>
      </c>
      <c r="C82" s="11"/>
      <c r="D82" s="11"/>
      <c r="E82" s="11"/>
      <c r="F82" s="11"/>
      <c r="G82" s="11"/>
      <c r="H82" s="11"/>
    </row>
    <row r="83" spans="1:8" x14ac:dyDescent="0.3">
      <c r="A83" s="11" t="s">
        <v>13</v>
      </c>
      <c r="B83" s="11" t="s">
        <v>95</v>
      </c>
      <c r="C83" s="11"/>
      <c r="D83" s="11"/>
      <c r="E83" s="11"/>
      <c r="F83" s="11"/>
      <c r="G83" s="11"/>
      <c r="H83" s="11"/>
    </row>
    <row r="84" spans="1:8" x14ac:dyDescent="0.3">
      <c r="A84" s="11" t="s">
        <v>13</v>
      </c>
      <c r="B84" s="11" t="s">
        <v>96</v>
      </c>
      <c r="C84" s="11"/>
      <c r="D84" s="11"/>
      <c r="E84" s="11"/>
      <c r="F84" s="11"/>
      <c r="G84" s="11"/>
      <c r="H84" s="11"/>
    </row>
    <row r="85" spans="1:8" x14ac:dyDescent="0.3">
      <c r="A85" s="11" t="s">
        <v>13</v>
      </c>
      <c r="B85" s="11" t="s">
        <v>97</v>
      </c>
      <c r="C85" s="11"/>
      <c r="D85" s="11"/>
      <c r="E85" s="11"/>
      <c r="F85" s="11"/>
      <c r="G85" s="11"/>
      <c r="H85" s="11"/>
    </row>
    <row r="86" spans="1:8" x14ac:dyDescent="0.3">
      <c r="A86" s="11" t="s">
        <v>13</v>
      </c>
      <c r="B86" s="11" t="s">
        <v>98</v>
      </c>
      <c r="C86" s="11"/>
      <c r="D86" s="11"/>
      <c r="E86" s="11"/>
      <c r="F86" s="11"/>
      <c r="G86" s="11"/>
      <c r="H86" s="11"/>
    </row>
    <row r="87" spans="1:8" x14ac:dyDescent="0.3">
      <c r="A87" s="11" t="s">
        <v>13</v>
      </c>
      <c r="B87" s="11" t="s">
        <v>99</v>
      </c>
      <c r="C87" s="11"/>
      <c r="D87" s="11"/>
      <c r="E87" s="11"/>
      <c r="F87" s="11"/>
      <c r="G87" s="11"/>
      <c r="H87" s="11"/>
    </row>
    <row r="88" spans="1:8" x14ac:dyDescent="0.3">
      <c r="A88" s="11" t="s">
        <v>13</v>
      </c>
      <c r="B88" s="11" t="s">
        <v>100</v>
      </c>
      <c r="C88" s="11"/>
      <c r="D88" s="11"/>
      <c r="E88" s="11"/>
      <c r="F88" s="11"/>
      <c r="G88" s="11"/>
      <c r="H88" s="11"/>
    </row>
    <row r="89" spans="1:8" x14ac:dyDescent="0.3">
      <c r="A89" s="11" t="s">
        <v>13</v>
      </c>
      <c r="B89" s="11" t="s">
        <v>101</v>
      </c>
      <c r="C89" s="11"/>
      <c r="D89" s="11"/>
      <c r="E89" s="11"/>
      <c r="F89" s="11"/>
      <c r="G89" s="11"/>
      <c r="H89" s="11"/>
    </row>
    <row r="90" spans="1:8" x14ac:dyDescent="0.3">
      <c r="A90" s="11" t="s">
        <v>13</v>
      </c>
      <c r="B90" s="11" t="s">
        <v>102</v>
      </c>
      <c r="C90" s="11"/>
      <c r="D90" s="11"/>
      <c r="E90" s="11"/>
      <c r="F90" s="11"/>
      <c r="G90" s="11"/>
      <c r="H90" s="11"/>
    </row>
    <row r="91" spans="1:8" x14ac:dyDescent="0.3">
      <c r="A91" s="11" t="s">
        <v>13</v>
      </c>
      <c r="B91" s="11" t="s">
        <v>103</v>
      </c>
      <c r="C91" s="11"/>
      <c r="D91" s="11"/>
      <c r="E91" s="11"/>
      <c r="F91" s="11"/>
      <c r="G91" s="11"/>
      <c r="H91" s="11"/>
    </row>
    <row r="92" spans="1:8" x14ac:dyDescent="0.3">
      <c r="A92" s="11" t="s">
        <v>13</v>
      </c>
      <c r="B92" s="11" t="s">
        <v>104</v>
      </c>
      <c r="C92" s="11"/>
      <c r="D92" s="11"/>
      <c r="E92" s="11"/>
      <c r="F92" s="11"/>
      <c r="G92" s="11"/>
      <c r="H92" s="11"/>
    </row>
    <row r="93" spans="1:8" x14ac:dyDescent="0.3">
      <c r="A93" s="11" t="s">
        <v>13</v>
      </c>
      <c r="B93" s="11" t="s">
        <v>105</v>
      </c>
      <c r="C93" s="11"/>
      <c r="D93" s="11"/>
      <c r="E93" s="11"/>
      <c r="F93" s="11"/>
      <c r="G93" s="11"/>
      <c r="H93" s="11"/>
    </row>
    <row r="94" spans="1:8" x14ac:dyDescent="0.3">
      <c r="A94" s="11" t="s">
        <v>13</v>
      </c>
      <c r="B94" s="11" t="s">
        <v>106</v>
      </c>
      <c r="C94" s="11"/>
      <c r="D94" s="11"/>
      <c r="E94" s="11"/>
      <c r="F94" s="11"/>
      <c r="G94" s="11"/>
      <c r="H94" s="11"/>
    </row>
    <row r="95" spans="1:8" x14ac:dyDescent="0.3">
      <c r="A95" s="11" t="s">
        <v>13</v>
      </c>
      <c r="B95" s="11" t="s">
        <v>107</v>
      </c>
      <c r="C95" s="11"/>
      <c r="D95" s="11"/>
      <c r="E95" s="11"/>
      <c r="F95" s="11"/>
      <c r="G95" s="11"/>
      <c r="H95" s="11"/>
    </row>
    <row r="96" spans="1:8" x14ac:dyDescent="0.3">
      <c r="A96" s="11" t="s">
        <v>13</v>
      </c>
      <c r="B96" s="11" t="s">
        <v>108</v>
      </c>
      <c r="C96" s="11"/>
      <c r="D96" s="11"/>
      <c r="E96" s="11"/>
      <c r="F96" s="11"/>
      <c r="G96" s="11"/>
      <c r="H96" s="11"/>
    </row>
    <row r="97" spans="1:8" x14ac:dyDescent="0.3">
      <c r="A97" s="11" t="s">
        <v>13</v>
      </c>
      <c r="B97" s="11" t="s">
        <v>109</v>
      </c>
      <c r="C97" s="11"/>
      <c r="D97" s="11"/>
      <c r="E97" s="11"/>
      <c r="F97" s="11"/>
      <c r="G97" s="11"/>
      <c r="H97" s="11"/>
    </row>
    <row r="98" spans="1:8" x14ac:dyDescent="0.3">
      <c r="A98" s="11" t="s">
        <v>13</v>
      </c>
      <c r="B98" s="11" t="s">
        <v>110</v>
      </c>
      <c r="C98" s="11"/>
      <c r="D98" s="11"/>
      <c r="E98" s="11"/>
      <c r="F98" s="11"/>
      <c r="G98" s="11"/>
      <c r="H98" s="11"/>
    </row>
    <row r="99" spans="1:8" x14ac:dyDescent="0.3">
      <c r="A99" s="11" t="s">
        <v>13</v>
      </c>
      <c r="B99" s="11" t="s">
        <v>111</v>
      </c>
      <c r="C99" s="11"/>
      <c r="D99" s="11"/>
      <c r="E99" s="11"/>
      <c r="F99" s="11"/>
      <c r="G99" s="11"/>
      <c r="H99" s="11"/>
    </row>
    <row r="100" spans="1:8" x14ac:dyDescent="0.3">
      <c r="A100" s="11" t="s">
        <v>13</v>
      </c>
      <c r="B100" s="11" t="s">
        <v>112</v>
      </c>
      <c r="C100" s="11"/>
      <c r="D100" s="11"/>
      <c r="E100" s="11"/>
      <c r="F100" s="11"/>
      <c r="G100" s="11"/>
      <c r="H100" s="11"/>
    </row>
    <row r="101" spans="1:8" x14ac:dyDescent="0.3">
      <c r="A101" s="11" t="s">
        <v>13</v>
      </c>
      <c r="B101" s="11" t="s">
        <v>113</v>
      </c>
      <c r="C101" s="11"/>
      <c r="D101" s="11"/>
      <c r="E101" s="11"/>
      <c r="F101" s="11"/>
      <c r="G101" s="11"/>
      <c r="H101" s="11"/>
    </row>
    <row r="102" spans="1:8" x14ac:dyDescent="0.3">
      <c r="A102" s="11" t="s">
        <v>13</v>
      </c>
      <c r="B102" s="11" t="s">
        <v>114</v>
      </c>
      <c r="C102" s="11"/>
      <c r="D102" s="11"/>
      <c r="E102" s="11"/>
      <c r="F102" s="11"/>
      <c r="G102" s="11"/>
      <c r="H102" s="11"/>
    </row>
    <row r="103" spans="1:8" x14ac:dyDescent="0.3">
      <c r="A103" s="11" t="s">
        <v>13</v>
      </c>
      <c r="B103" s="11" t="s">
        <v>115</v>
      </c>
      <c r="C103" s="11"/>
      <c r="D103" s="11"/>
      <c r="E103" s="11"/>
      <c r="F103" s="11"/>
      <c r="G103" s="11"/>
      <c r="H103" s="11"/>
    </row>
    <row r="104" spans="1:8" x14ac:dyDescent="0.3">
      <c r="A104" s="11" t="s">
        <v>13</v>
      </c>
      <c r="B104" s="11" t="s">
        <v>116</v>
      </c>
      <c r="C104" s="11"/>
      <c r="D104" s="11"/>
      <c r="E104" s="11"/>
      <c r="F104" s="11"/>
      <c r="G104" s="11"/>
      <c r="H104" s="11"/>
    </row>
    <row r="105" spans="1:8" x14ac:dyDescent="0.3">
      <c r="A105" s="11" t="s">
        <v>13</v>
      </c>
      <c r="B105" s="11" t="s">
        <v>117</v>
      </c>
      <c r="C105" s="11"/>
      <c r="D105" s="11"/>
      <c r="E105" s="11"/>
      <c r="F105" s="11"/>
      <c r="G105" s="11"/>
      <c r="H105" s="11"/>
    </row>
    <row r="106" spans="1:8" x14ac:dyDescent="0.3">
      <c r="A106" s="11" t="s">
        <v>13</v>
      </c>
      <c r="B106" s="11" t="s">
        <v>118</v>
      </c>
      <c r="C106" s="11"/>
      <c r="D106" s="11"/>
      <c r="E106" s="11"/>
      <c r="F106" s="11"/>
      <c r="G106" s="11"/>
      <c r="H106" s="11"/>
    </row>
    <row r="107" spans="1:8" x14ac:dyDescent="0.3">
      <c r="A107" s="11" t="s">
        <v>13</v>
      </c>
      <c r="B107" s="11" t="s">
        <v>119</v>
      </c>
      <c r="C107" s="11"/>
      <c r="D107" s="11"/>
      <c r="E107" s="11"/>
      <c r="F107" s="11"/>
      <c r="G107" s="11"/>
      <c r="H107" s="11"/>
    </row>
    <row r="108" spans="1:8" x14ac:dyDescent="0.3">
      <c r="A108" s="11" t="s">
        <v>13</v>
      </c>
      <c r="B108" s="11" t="s">
        <v>120</v>
      </c>
      <c r="C108" s="11"/>
      <c r="D108" s="11"/>
      <c r="E108" s="11"/>
      <c r="F108" s="11"/>
      <c r="G108" s="11"/>
      <c r="H108" s="11"/>
    </row>
    <row r="109" spans="1:8" x14ac:dyDescent="0.3">
      <c r="A109" s="11" t="s">
        <v>13</v>
      </c>
      <c r="B109" s="11" t="s">
        <v>121</v>
      </c>
      <c r="C109" s="11"/>
      <c r="D109" s="11"/>
      <c r="E109" s="11"/>
      <c r="F109" s="11"/>
      <c r="G109" s="11"/>
      <c r="H109" s="11"/>
    </row>
    <row r="110" spans="1:8" x14ac:dyDescent="0.3">
      <c r="A110" s="11" t="s">
        <v>13</v>
      </c>
      <c r="B110" s="11" t="s">
        <v>122</v>
      </c>
      <c r="C110" s="11"/>
      <c r="D110" s="11"/>
      <c r="E110" s="11"/>
      <c r="F110" s="11"/>
      <c r="G110" s="11"/>
      <c r="H110" s="11"/>
    </row>
    <row r="111" spans="1:8" x14ac:dyDescent="0.3">
      <c r="A111" s="11" t="s">
        <v>13</v>
      </c>
      <c r="B111" s="11" t="s">
        <v>123</v>
      </c>
      <c r="C111" s="11"/>
      <c r="D111" s="11"/>
      <c r="E111" s="11"/>
      <c r="F111" s="11"/>
      <c r="G111" s="11"/>
      <c r="H111" s="11"/>
    </row>
    <row r="112" spans="1:8" x14ac:dyDescent="0.3">
      <c r="A112" s="11" t="s">
        <v>13</v>
      </c>
      <c r="B112" s="11" t="s">
        <v>124</v>
      </c>
      <c r="C112" s="11"/>
      <c r="D112" s="11"/>
      <c r="E112" s="11"/>
      <c r="F112" s="11"/>
      <c r="G112" s="11"/>
      <c r="H112" s="11"/>
    </row>
    <row r="113" spans="1:8" x14ac:dyDescent="0.3">
      <c r="A113" s="11" t="s">
        <v>13</v>
      </c>
      <c r="B113" s="11" t="s">
        <v>125</v>
      </c>
      <c r="C113" s="11"/>
      <c r="D113" s="11"/>
      <c r="E113" s="11"/>
      <c r="F113" s="11"/>
      <c r="G113" s="11"/>
      <c r="H113" s="11"/>
    </row>
    <row r="114" spans="1:8" x14ac:dyDescent="0.3">
      <c r="A114" s="11" t="s">
        <v>13</v>
      </c>
      <c r="B114" s="11" t="s">
        <v>126</v>
      </c>
      <c r="C114" s="11"/>
      <c r="D114" s="11"/>
      <c r="E114" s="11"/>
      <c r="F114" s="11"/>
      <c r="G114" s="11"/>
      <c r="H114" s="11"/>
    </row>
    <row r="115" spans="1:8" x14ac:dyDescent="0.3">
      <c r="A115" s="11" t="s">
        <v>13</v>
      </c>
      <c r="B115" s="11" t="s">
        <v>127</v>
      </c>
      <c r="C115" s="11"/>
      <c r="D115" s="11"/>
      <c r="E115" s="11"/>
      <c r="F115" s="11"/>
      <c r="G115" s="11"/>
      <c r="H115" s="11"/>
    </row>
    <row r="116" spans="1:8" x14ac:dyDescent="0.3">
      <c r="A116" s="11" t="s">
        <v>13</v>
      </c>
      <c r="B116" s="11" t="s">
        <v>128</v>
      </c>
      <c r="C116" s="11"/>
      <c r="D116" s="11"/>
      <c r="E116" s="11"/>
      <c r="F116" s="11"/>
      <c r="G116" s="11"/>
      <c r="H116" s="11"/>
    </row>
    <row r="117" spans="1:8" x14ac:dyDescent="0.3">
      <c r="A117" s="11" t="s">
        <v>13</v>
      </c>
      <c r="B117" s="11" t="s">
        <v>129</v>
      </c>
      <c r="C117" s="11"/>
      <c r="D117" s="11"/>
      <c r="E117" s="11"/>
      <c r="F117" s="11"/>
      <c r="G117" s="11"/>
      <c r="H117" s="11"/>
    </row>
    <row r="118" spans="1:8" x14ac:dyDescent="0.3">
      <c r="A118" s="11" t="s">
        <v>13</v>
      </c>
      <c r="B118" s="11" t="s">
        <v>130</v>
      </c>
      <c r="C118" s="11"/>
      <c r="D118" s="11"/>
      <c r="E118" s="11"/>
      <c r="F118" s="11"/>
      <c r="G118" s="11"/>
      <c r="H118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0267D-FB32-4F6F-A3C9-8B3265A4DF9E}">
  <dimension ref="A1:AB1000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sqref="A1:K66"/>
    </sheetView>
  </sheetViews>
  <sheetFormatPr defaultRowHeight="14.4" x14ac:dyDescent="0.3"/>
  <cols>
    <col min="2" max="2" width="9.44140625" bestFit="1" customWidth="1"/>
    <col min="4" max="4" width="10.6640625" customWidth="1"/>
    <col min="5" max="5" width="11.88671875" customWidth="1"/>
    <col min="6" max="7" width="12.109375" customWidth="1"/>
    <col min="8" max="8" width="15.109375" customWidth="1"/>
    <col min="9" max="10" width="12.33203125" customWidth="1"/>
    <col min="11" max="11" width="13.44140625" customWidth="1"/>
  </cols>
  <sheetData>
    <row r="1" spans="1:28" ht="21" thickBot="1" x14ac:dyDescent="0.35">
      <c r="A1" s="3" t="s">
        <v>4</v>
      </c>
      <c r="B1" s="4" t="s">
        <v>5</v>
      </c>
      <c r="C1" s="12" t="s">
        <v>131</v>
      </c>
      <c r="D1" s="12" t="s">
        <v>132</v>
      </c>
      <c r="E1" s="12" t="s">
        <v>133</v>
      </c>
      <c r="F1" s="12" t="s">
        <v>134</v>
      </c>
      <c r="G1" s="12" t="s">
        <v>163</v>
      </c>
      <c r="H1" s="12" t="s">
        <v>161</v>
      </c>
      <c r="I1" s="12" t="s">
        <v>162</v>
      </c>
      <c r="J1" s="12" t="s">
        <v>135</v>
      </c>
      <c r="K1" s="12" t="s">
        <v>136</v>
      </c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</row>
    <row r="2" spans="1:28" ht="15" thickBot="1" x14ac:dyDescent="0.35">
      <c r="A2" s="5" t="s">
        <v>13</v>
      </c>
      <c r="B2" s="13" t="s">
        <v>66</v>
      </c>
      <c r="C2" s="6">
        <v>51</v>
      </c>
      <c r="D2" s="6">
        <v>11</v>
      </c>
      <c r="E2" s="6">
        <v>26</v>
      </c>
      <c r="F2" s="6">
        <v>152</v>
      </c>
      <c r="G2" s="6">
        <f>SUM(H2:I2)</f>
        <v>601</v>
      </c>
      <c r="H2" s="6">
        <v>318</v>
      </c>
      <c r="I2" s="6">
        <v>283</v>
      </c>
      <c r="J2" s="6">
        <v>0</v>
      </c>
      <c r="K2" s="6">
        <v>841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ht="15" thickBot="1" x14ac:dyDescent="0.35">
      <c r="A3" s="5" t="s">
        <v>13</v>
      </c>
      <c r="B3" s="13" t="s">
        <v>67</v>
      </c>
      <c r="C3" s="6">
        <v>52</v>
      </c>
      <c r="D3" s="6">
        <v>19</v>
      </c>
      <c r="E3" s="6">
        <v>19</v>
      </c>
      <c r="F3" s="6">
        <v>179</v>
      </c>
      <c r="G3" s="6">
        <f t="shared" ref="G3:G66" si="0">SUM(H3:I3)</f>
        <v>645</v>
      </c>
      <c r="H3" s="6">
        <v>271</v>
      </c>
      <c r="I3" s="6">
        <v>374</v>
      </c>
      <c r="J3" s="6">
        <v>0</v>
      </c>
      <c r="K3" s="6">
        <v>914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</row>
    <row r="4" spans="1:28" ht="15" thickBot="1" x14ac:dyDescent="0.35">
      <c r="A4" s="5" t="s">
        <v>13</v>
      </c>
      <c r="B4" s="13" t="s">
        <v>68</v>
      </c>
      <c r="C4" s="6">
        <v>35</v>
      </c>
      <c r="D4" s="6">
        <v>27</v>
      </c>
      <c r="E4" s="6">
        <v>30</v>
      </c>
      <c r="F4" s="6">
        <v>168</v>
      </c>
      <c r="G4" s="6">
        <f t="shared" si="0"/>
        <v>633</v>
      </c>
      <c r="H4" s="6">
        <v>295</v>
      </c>
      <c r="I4" s="6">
        <v>338</v>
      </c>
      <c r="J4" s="6">
        <v>0</v>
      </c>
      <c r="K4" s="6">
        <v>893</v>
      </c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</row>
    <row r="5" spans="1:28" ht="15" thickBot="1" x14ac:dyDescent="0.35">
      <c r="A5" s="5" t="s">
        <v>13</v>
      </c>
      <c r="B5" s="13" t="s">
        <v>69</v>
      </c>
      <c r="C5" s="6">
        <v>52</v>
      </c>
      <c r="D5" s="6">
        <v>13</v>
      </c>
      <c r="E5" s="6">
        <v>15</v>
      </c>
      <c r="F5" s="6">
        <v>177</v>
      </c>
      <c r="G5" s="6">
        <f t="shared" si="0"/>
        <v>536</v>
      </c>
      <c r="H5" s="6">
        <v>254</v>
      </c>
      <c r="I5" s="6">
        <v>282</v>
      </c>
      <c r="J5" s="6">
        <v>0</v>
      </c>
      <c r="K5" s="6">
        <v>793</v>
      </c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</row>
    <row r="6" spans="1:28" ht="15" thickBot="1" x14ac:dyDescent="0.35">
      <c r="A6" s="5" t="s">
        <v>13</v>
      </c>
      <c r="B6" s="13" t="s">
        <v>70</v>
      </c>
      <c r="C6" s="6">
        <v>34</v>
      </c>
      <c r="D6" s="6">
        <v>9</v>
      </c>
      <c r="E6" s="6">
        <v>21</v>
      </c>
      <c r="F6" s="6">
        <v>169</v>
      </c>
      <c r="G6" s="6">
        <f t="shared" si="0"/>
        <v>549</v>
      </c>
      <c r="H6" s="6">
        <v>264</v>
      </c>
      <c r="I6" s="6">
        <v>285</v>
      </c>
      <c r="J6" s="6">
        <v>0</v>
      </c>
      <c r="K6" s="6">
        <v>782</v>
      </c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</row>
    <row r="7" spans="1:28" ht="15" thickBot="1" x14ac:dyDescent="0.35">
      <c r="A7" s="5" t="s">
        <v>13</v>
      </c>
      <c r="B7" s="13" t="s">
        <v>71</v>
      </c>
      <c r="C7" s="6">
        <v>56</v>
      </c>
      <c r="D7" s="6">
        <v>12</v>
      </c>
      <c r="E7" s="6">
        <v>25</v>
      </c>
      <c r="F7" s="6">
        <v>172</v>
      </c>
      <c r="G7" s="6">
        <f t="shared" si="0"/>
        <v>536</v>
      </c>
      <c r="H7" s="6">
        <v>247</v>
      </c>
      <c r="I7" s="6">
        <v>289</v>
      </c>
      <c r="J7" s="6">
        <v>0</v>
      </c>
      <c r="K7" s="6">
        <v>801</v>
      </c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</row>
    <row r="8" spans="1:28" ht="15" thickBot="1" x14ac:dyDescent="0.35">
      <c r="A8" s="5" t="s">
        <v>13</v>
      </c>
      <c r="B8" s="13" t="s">
        <v>72</v>
      </c>
      <c r="C8" s="6">
        <v>38</v>
      </c>
      <c r="D8" s="6">
        <v>13</v>
      </c>
      <c r="E8" s="6">
        <v>19</v>
      </c>
      <c r="F8" s="6">
        <v>178</v>
      </c>
      <c r="G8" s="6">
        <f t="shared" si="0"/>
        <v>543</v>
      </c>
      <c r="H8" s="6">
        <v>249</v>
      </c>
      <c r="I8" s="6">
        <v>294</v>
      </c>
      <c r="J8" s="6">
        <v>0</v>
      </c>
      <c r="K8" s="6">
        <v>791</v>
      </c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</row>
    <row r="9" spans="1:28" ht="15" thickBot="1" x14ac:dyDescent="0.35">
      <c r="A9" s="5" t="s">
        <v>13</v>
      </c>
      <c r="B9" s="13" t="s">
        <v>73</v>
      </c>
      <c r="C9" s="6">
        <v>48</v>
      </c>
      <c r="D9" s="6">
        <v>11</v>
      </c>
      <c r="E9" s="6">
        <v>28</v>
      </c>
      <c r="F9" s="6">
        <v>190</v>
      </c>
      <c r="G9" s="6">
        <f t="shared" si="0"/>
        <v>569</v>
      </c>
      <c r="H9" s="6">
        <v>278</v>
      </c>
      <c r="I9" s="6">
        <v>291</v>
      </c>
      <c r="J9" s="6">
        <v>0</v>
      </c>
      <c r="K9" s="6">
        <v>846</v>
      </c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</row>
    <row r="10" spans="1:28" ht="15" thickBot="1" x14ac:dyDescent="0.35">
      <c r="A10" s="5" t="s">
        <v>13</v>
      </c>
      <c r="B10" s="13" t="s">
        <v>74</v>
      </c>
      <c r="C10" s="6">
        <v>38</v>
      </c>
      <c r="D10" s="6">
        <v>13</v>
      </c>
      <c r="E10" s="6">
        <v>24</v>
      </c>
      <c r="F10" s="6">
        <v>157</v>
      </c>
      <c r="G10" s="6">
        <f t="shared" si="0"/>
        <v>575</v>
      </c>
      <c r="H10" s="6">
        <v>267</v>
      </c>
      <c r="I10" s="6">
        <v>308</v>
      </c>
      <c r="J10" s="6">
        <v>0</v>
      </c>
      <c r="K10" s="6">
        <v>807</v>
      </c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</row>
    <row r="11" spans="1:28" ht="15" thickBot="1" x14ac:dyDescent="0.35">
      <c r="A11" s="5" t="s">
        <v>13</v>
      </c>
      <c r="B11" s="13" t="s">
        <v>75</v>
      </c>
      <c r="C11" s="6">
        <v>60</v>
      </c>
      <c r="D11" s="6">
        <v>13</v>
      </c>
      <c r="E11" s="6">
        <v>18</v>
      </c>
      <c r="F11" s="6">
        <v>163</v>
      </c>
      <c r="G11" s="6">
        <f t="shared" si="0"/>
        <v>611</v>
      </c>
      <c r="H11" s="6">
        <v>269</v>
      </c>
      <c r="I11" s="6">
        <v>342</v>
      </c>
      <c r="J11" s="6">
        <v>0</v>
      </c>
      <c r="K11" s="6">
        <v>865</v>
      </c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</row>
    <row r="12" spans="1:28" ht="15" thickBot="1" x14ac:dyDescent="0.35">
      <c r="A12" s="5" t="s">
        <v>13</v>
      </c>
      <c r="B12" s="13" t="s">
        <v>76</v>
      </c>
      <c r="C12" s="6">
        <v>62</v>
      </c>
      <c r="D12" s="6">
        <v>11</v>
      </c>
      <c r="E12" s="6">
        <v>23</v>
      </c>
      <c r="F12" s="6">
        <v>159</v>
      </c>
      <c r="G12" s="6">
        <f t="shared" si="0"/>
        <v>571</v>
      </c>
      <c r="H12" s="6">
        <v>266</v>
      </c>
      <c r="I12" s="6">
        <v>305</v>
      </c>
      <c r="J12" s="6">
        <v>0</v>
      </c>
      <c r="K12" s="6">
        <v>826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</row>
    <row r="13" spans="1:28" ht="15" thickBot="1" x14ac:dyDescent="0.35">
      <c r="A13" s="5" t="s">
        <v>13</v>
      </c>
      <c r="B13" s="13" t="s">
        <v>77</v>
      </c>
      <c r="C13" s="6">
        <v>93</v>
      </c>
      <c r="D13" s="6">
        <v>10</v>
      </c>
      <c r="E13" s="6">
        <v>24</v>
      </c>
      <c r="F13" s="6">
        <v>207</v>
      </c>
      <c r="G13" s="6">
        <f t="shared" si="0"/>
        <v>754</v>
      </c>
      <c r="H13" s="6">
        <v>339</v>
      </c>
      <c r="I13" s="6">
        <v>415</v>
      </c>
      <c r="J13" s="6">
        <v>0</v>
      </c>
      <c r="K13" s="6">
        <v>1088</v>
      </c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</row>
    <row r="14" spans="1:28" ht="15" thickBot="1" x14ac:dyDescent="0.35">
      <c r="A14" s="5" t="s">
        <v>13</v>
      </c>
      <c r="B14" s="13" t="s">
        <v>78</v>
      </c>
      <c r="C14" s="6">
        <v>96</v>
      </c>
      <c r="D14" s="6">
        <v>9</v>
      </c>
      <c r="E14" s="6">
        <v>28</v>
      </c>
      <c r="F14" s="6">
        <v>179</v>
      </c>
      <c r="G14" s="6">
        <f t="shared" si="0"/>
        <v>792</v>
      </c>
      <c r="H14" s="6">
        <v>366</v>
      </c>
      <c r="I14" s="6">
        <v>426</v>
      </c>
      <c r="J14" s="6">
        <v>0</v>
      </c>
      <c r="K14" s="6">
        <v>1104</v>
      </c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</row>
    <row r="15" spans="1:28" ht="15" thickBot="1" x14ac:dyDescent="0.35">
      <c r="A15" s="5" t="s">
        <v>13</v>
      </c>
      <c r="B15" s="13" t="s">
        <v>79</v>
      </c>
      <c r="C15" s="6">
        <v>85</v>
      </c>
      <c r="D15" s="6">
        <v>5</v>
      </c>
      <c r="E15" s="6">
        <v>17</v>
      </c>
      <c r="F15" s="6">
        <v>215</v>
      </c>
      <c r="G15" s="6">
        <f t="shared" si="0"/>
        <v>891</v>
      </c>
      <c r="H15" s="6">
        <v>371</v>
      </c>
      <c r="I15" s="6">
        <v>520</v>
      </c>
      <c r="J15" s="6">
        <v>0</v>
      </c>
      <c r="K15" s="6">
        <v>1213</v>
      </c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</row>
    <row r="16" spans="1:28" ht="15" thickBot="1" x14ac:dyDescent="0.35">
      <c r="A16" s="5" t="s">
        <v>13</v>
      </c>
      <c r="B16" s="13" t="s">
        <v>80</v>
      </c>
      <c r="C16" s="6">
        <v>64</v>
      </c>
      <c r="D16" s="6">
        <v>8</v>
      </c>
      <c r="E16" s="6">
        <v>23</v>
      </c>
      <c r="F16" s="6">
        <v>206</v>
      </c>
      <c r="G16" s="6">
        <f t="shared" si="0"/>
        <v>741</v>
      </c>
      <c r="H16" s="6">
        <v>349</v>
      </c>
      <c r="I16" s="6">
        <v>392</v>
      </c>
      <c r="J16" s="6">
        <v>0</v>
      </c>
      <c r="K16" s="6">
        <v>1042</v>
      </c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</row>
    <row r="17" spans="1:28" ht="15" thickBot="1" x14ac:dyDescent="0.35">
      <c r="A17" s="5" t="s">
        <v>13</v>
      </c>
      <c r="B17" s="13" t="s">
        <v>81</v>
      </c>
      <c r="C17" s="6">
        <v>124</v>
      </c>
      <c r="D17" s="6">
        <v>11</v>
      </c>
      <c r="E17" s="6">
        <v>19</v>
      </c>
      <c r="F17" s="6">
        <v>201</v>
      </c>
      <c r="G17" s="6">
        <f t="shared" si="0"/>
        <v>564</v>
      </c>
      <c r="H17" s="6">
        <v>267</v>
      </c>
      <c r="I17" s="6">
        <v>297</v>
      </c>
      <c r="J17" s="6">
        <v>0</v>
      </c>
      <c r="K17" s="6">
        <v>919</v>
      </c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</row>
    <row r="18" spans="1:28" ht="15" thickBot="1" x14ac:dyDescent="0.35">
      <c r="A18" s="5" t="s">
        <v>13</v>
      </c>
      <c r="B18" s="13" t="s">
        <v>82</v>
      </c>
      <c r="C18" s="6">
        <v>143</v>
      </c>
      <c r="D18" s="6">
        <v>14</v>
      </c>
      <c r="E18" s="6">
        <v>26</v>
      </c>
      <c r="F18" s="6">
        <v>197</v>
      </c>
      <c r="G18" s="6">
        <f t="shared" si="0"/>
        <v>688</v>
      </c>
      <c r="H18" s="6">
        <v>320</v>
      </c>
      <c r="I18" s="6">
        <v>368</v>
      </c>
      <c r="J18" s="6">
        <v>0</v>
      </c>
      <c r="K18" s="6">
        <v>1068</v>
      </c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</row>
    <row r="19" spans="1:28" ht="15" thickBot="1" x14ac:dyDescent="0.35">
      <c r="A19" s="5" t="s">
        <v>13</v>
      </c>
      <c r="B19" s="13" t="s">
        <v>83</v>
      </c>
      <c r="C19" s="6">
        <v>160</v>
      </c>
      <c r="D19" s="6">
        <v>17</v>
      </c>
      <c r="E19" s="6">
        <v>24</v>
      </c>
      <c r="F19" s="6">
        <v>209</v>
      </c>
      <c r="G19" s="6">
        <f t="shared" si="0"/>
        <v>721</v>
      </c>
      <c r="H19" s="6">
        <v>345</v>
      </c>
      <c r="I19" s="6">
        <v>376</v>
      </c>
      <c r="J19" s="6">
        <v>0</v>
      </c>
      <c r="K19" s="6">
        <v>1131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</row>
    <row r="20" spans="1:28" ht="15" thickBot="1" x14ac:dyDescent="0.35">
      <c r="A20" s="5" t="s">
        <v>13</v>
      </c>
      <c r="B20" s="13" t="s">
        <v>84</v>
      </c>
      <c r="C20" s="6">
        <v>125</v>
      </c>
      <c r="D20" s="6">
        <v>18</v>
      </c>
      <c r="E20" s="6">
        <v>33</v>
      </c>
      <c r="F20" s="6">
        <v>244</v>
      </c>
      <c r="G20" s="6">
        <f t="shared" si="0"/>
        <v>782</v>
      </c>
      <c r="H20" s="6">
        <v>389</v>
      </c>
      <c r="I20" s="6">
        <v>393</v>
      </c>
      <c r="J20" s="6">
        <v>0</v>
      </c>
      <c r="K20" s="6">
        <v>1202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</row>
    <row r="21" spans="1:28" ht="15" thickBot="1" x14ac:dyDescent="0.35">
      <c r="A21" s="5" t="s">
        <v>13</v>
      </c>
      <c r="B21" s="13" t="s">
        <v>85</v>
      </c>
      <c r="C21" s="6">
        <v>132</v>
      </c>
      <c r="D21" s="6">
        <v>18</v>
      </c>
      <c r="E21" s="6">
        <v>30</v>
      </c>
      <c r="F21" s="6">
        <v>292</v>
      </c>
      <c r="G21" s="6">
        <f t="shared" si="0"/>
        <v>840</v>
      </c>
      <c r="H21" s="6">
        <v>421</v>
      </c>
      <c r="I21" s="6">
        <v>419</v>
      </c>
      <c r="J21" s="6">
        <v>0</v>
      </c>
      <c r="K21" s="6">
        <v>1312</v>
      </c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</row>
    <row r="22" spans="1:28" ht="15" thickBot="1" x14ac:dyDescent="0.35">
      <c r="A22" s="5" t="s">
        <v>13</v>
      </c>
      <c r="B22" s="13" t="s">
        <v>86</v>
      </c>
      <c r="C22" s="6">
        <v>123</v>
      </c>
      <c r="D22" s="6">
        <v>19</v>
      </c>
      <c r="E22" s="6">
        <v>38</v>
      </c>
      <c r="F22" s="6">
        <v>312</v>
      </c>
      <c r="G22" s="6">
        <f t="shared" si="0"/>
        <v>963</v>
      </c>
      <c r="H22" s="6">
        <v>472</v>
      </c>
      <c r="I22" s="6">
        <v>491</v>
      </c>
      <c r="J22" s="6">
        <v>0</v>
      </c>
      <c r="K22" s="6">
        <v>1455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</row>
    <row r="23" spans="1:28" ht="15" thickBot="1" x14ac:dyDescent="0.35">
      <c r="A23" s="5" t="s">
        <v>13</v>
      </c>
      <c r="B23" s="13" t="s">
        <v>87</v>
      </c>
      <c r="C23" s="6">
        <v>140</v>
      </c>
      <c r="D23" s="6">
        <v>23</v>
      </c>
      <c r="E23" s="6">
        <v>33</v>
      </c>
      <c r="F23" s="6">
        <v>266</v>
      </c>
      <c r="G23" s="6">
        <f t="shared" si="0"/>
        <v>941</v>
      </c>
      <c r="H23" s="6">
        <v>434</v>
      </c>
      <c r="I23" s="6">
        <v>507</v>
      </c>
      <c r="J23" s="6">
        <v>0</v>
      </c>
      <c r="K23" s="6">
        <v>1403</v>
      </c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</row>
    <row r="24" spans="1:28" ht="15" thickBot="1" x14ac:dyDescent="0.35">
      <c r="A24" s="5" t="s">
        <v>13</v>
      </c>
      <c r="B24" s="13" t="s">
        <v>88</v>
      </c>
      <c r="C24" s="6">
        <v>113</v>
      </c>
      <c r="D24" s="6">
        <v>11</v>
      </c>
      <c r="E24" s="6">
        <v>40</v>
      </c>
      <c r="F24" s="6">
        <v>287</v>
      </c>
      <c r="G24" s="6">
        <f t="shared" si="0"/>
        <v>937</v>
      </c>
      <c r="H24" s="6">
        <v>464</v>
      </c>
      <c r="I24" s="6">
        <v>473</v>
      </c>
      <c r="J24" s="6">
        <v>0</v>
      </c>
      <c r="K24" s="6">
        <v>1388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</row>
    <row r="25" spans="1:28" ht="15" thickBot="1" x14ac:dyDescent="0.35">
      <c r="A25" s="5" t="s">
        <v>13</v>
      </c>
      <c r="B25" s="13" t="s">
        <v>89</v>
      </c>
      <c r="C25" s="6">
        <v>99</v>
      </c>
      <c r="D25" s="6">
        <v>10</v>
      </c>
      <c r="E25" s="6">
        <v>20</v>
      </c>
      <c r="F25" s="6">
        <v>265</v>
      </c>
      <c r="G25" s="6">
        <f t="shared" si="0"/>
        <v>781</v>
      </c>
      <c r="H25" s="6">
        <v>357</v>
      </c>
      <c r="I25" s="6">
        <v>424</v>
      </c>
      <c r="J25" s="6">
        <v>0</v>
      </c>
      <c r="K25" s="6">
        <v>1175</v>
      </c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</row>
    <row r="26" spans="1:28" ht="15" thickBot="1" x14ac:dyDescent="0.35">
      <c r="A26" s="5" t="s">
        <v>13</v>
      </c>
      <c r="B26" s="13" t="s">
        <v>90</v>
      </c>
      <c r="C26" s="6">
        <v>73</v>
      </c>
      <c r="D26" s="6">
        <v>18</v>
      </c>
      <c r="E26" s="6">
        <v>18</v>
      </c>
      <c r="F26" s="6">
        <v>230</v>
      </c>
      <c r="G26" s="6">
        <f t="shared" si="0"/>
        <v>757</v>
      </c>
      <c r="H26" s="6">
        <v>378</v>
      </c>
      <c r="I26" s="6">
        <v>379</v>
      </c>
      <c r="J26" s="6">
        <v>0</v>
      </c>
      <c r="K26" s="6">
        <v>1096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</row>
    <row r="27" spans="1:28" ht="15" thickBot="1" x14ac:dyDescent="0.35">
      <c r="A27" s="5" t="s">
        <v>13</v>
      </c>
      <c r="B27" s="13" t="s">
        <v>91</v>
      </c>
      <c r="C27" s="6">
        <v>66</v>
      </c>
      <c r="D27" s="6">
        <v>8</v>
      </c>
      <c r="E27" s="6">
        <v>29</v>
      </c>
      <c r="F27" s="6">
        <v>235</v>
      </c>
      <c r="G27" s="6">
        <f t="shared" si="0"/>
        <v>772</v>
      </c>
      <c r="H27" s="6">
        <v>344</v>
      </c>
      <c r="I27" s="6">
        <v>428</v>
      </c>
      <c r="J27" s="6">
        <v>0</v>
      </c>
      <c r="K27" s="6">
        <v>1110</v>
      </c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</row>
    <row r="28" spans="1:28" ht="15" thickBot="1" x14ac:dyDescent="0.35">
      <c r="A28" s="5" t="s">
        <v>13</v>
      </c>
      <c r="B28" s="13" t="s">
        <v>92</v>
      </c>
      <c r="C28" s="6">
        <v>55</v>
      </c>
      <c r="D28" s="6">
        <v>11</v>
      </c>
      <c r="E28" s="6">
        <v>15</v>
      </c>
      <c r="F28" s="6">
        <v>181</v>
      </c>
      <c r="G28" s="6">
        <f t="shared" si="0"/>
        <v>629</v>
      </c>
      <c r="H28" s="6">
        <v>316</v>
      </c>
      <c r="I28" s="6">
        <v>313</v>
      </c>
      <c r="J28" s="6">
        <v>0</v>
      </c>
      <c r="K28" s="6">
        <v>891</v>
      </c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</row>
    <row r="29" spans="1:28" ht="15" thickBot="1" x14ac:dyDescent="0.35">
      <c r="A29" s="5" t="s">
        <v>13</v>
      </c>
      <c r="B29" s="13" t="s">
        <v>93</v>
      </c>
      <c r="C29" s="6">
        <v>47</v>
      </c>
      <c r="D29" s="6">
        <v>13</v>
      </c>
      <c r="E29" s="6">
        <v>20</v>
      </c>
      <c r="F29" s="6">
        <v>166</v>
      </c>
      <c r="G29" s="6">
        <f t="shared" si="0"/>
        <v>624</v>
      </c>
      <c r="H29" s="6">
        <v>282</v>
      </c>
      <c r="I29" s="6">
        <v>342</v>
      </c>
      <c r="J29" s="6">
        <v>0</v>
      </c>
      <c r="K29" s="6">
        <v>870</v>
      </c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</row>
    <row r="30" spans="1:28" ht="15" thickBot="1" x14ac:dyDescent="0.35">
      <c r="A30" s="5" t="s">
        <v>13</v>
      </c>
      <c r="B30" s="13" t="s">
        <v>94</v>
      </c>
      <c r="C30" s="6">
        <v>37</v>
      </c>
      <c r="D30" s="6">
        <v>5</v>
      </c>
      <c r="E30" s="6">
        <v>15</v>
      </c>
      <c r="F30" s="6">
        <v>120</v>
      </c>
      <c r="G30" s="6">
        <f t="shared" si="0"/>
        <v>607</v>
      </c>
      <c r="H30" s="6">
        <v>286</v>
      </c>
      <c r="I30" s="6">
        <v>321</v>
      </c>
      <c r="J30" s="6">
        <v>0</v>
      </c>
      <c r="K30" s="6">
        <v>784</v>
      </c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</row>
    <row r="31" spans="1:28" ht="15" thickBot="1" x14ac:dyDescent="0.35">
      <c r="A31" s="5" t="s">
        <v>13</v>
      </c>
      <c r="B31" s="13" t="s">
        <v>95</v>
      </c>
      <c r="C31" s="6">
        <v>31</v>
      </c>
      <c r="D31" s="6">
        <v>4</v>
      </c>
      <c r="E31" s="6">
        <v>9</v>
      </c>
      <c r="F31" s="6">
        <v>109</v>
      </c>
      <c r="G31" s="6">
        <f t="shared" si="0"/>
        <v>550</v>
      </c>
      <c r="H31" s="6">
        <v>250</v>
      </c>
      <c r="I31" s="6">
        <v>300</v>
      </c>
      <c r="J31" s="6">
        <v>0</v>
      </c>
      <c r="K31" s="6">
        <v>703</v>
      </c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</row>
    <row r="32" spans="1:28" ht="15" thickBot="1" x14ac:dyDescent="0.35">
      <c r="A32" s="5" t="s">
        <v>13</v>
      </c>
      <c r="B32" s="13" t="s">
        <v>96</v>
      </c>
      <c r="C32" s="6">
        <v>25</v>
      </c>
      <c r="D32" s="6">
        <v>5</v>
      </c>
      <c r="E32" s="6">
        <v>12</v>
      </c>
      <c r="F32" s="6">
        <v>103</v>
      </c>
      <c r="G32" s="6">
        <f t="shared" si="0"/>
        <v>561</v>
      </c>
      <c r="H32" s="6">
        <v>255</v>
      </c>
      <c r="I32" s="6">
        <v>306</v>
      </c>
      <c r="J32" s="6">
        <v>0</v>
      </c>
      <c r="K32" s="6">
        <v>706</v>
      </c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</row>
    <row r="33" spans="1:28" ht="15" thickBot="1" x14ac:dyDescent="0.35">
      <c r="A33" s="5" t="s">
        <v>13</v>
      </c>
      <c r="B33" s="13" t="s">
        <v>97</v>
      </c>
      <c r="C33" s="6">
        <v>44</v>
      </c>
      <c r="D33" s="6">
        <v>5</v>
      </c>
      <c r="E33" s="6">
        <v>12</v>
      </c>
      <c r="F33" s="6">
        <v>129</v>
      </c>
      <c r="G33" s="6">
        <f t="shared" si="0"/>
        <v>496</v>
      </c>
      <c r="H33" s="6">
        <v>216</v>
      </c>
      <c r="I33" s="6">
        <v>280</v>
      </c>
      <c r="J33" s="6">
        <v>0</v>
      </c>
      <c r="K33" s="6">
        <v>686</v>
      </c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</row>
    <row r="34" spans="1:28" ht="15" thickBot="1" x14ac:dyDescent="0.35">
      <c r="A34" s="5" t="s">
        <v>13</v>
      </c>
      <c r="B34" s="13" t="s">
        <v>98</v>
      </c>
      <c r="C34" s="6">
        <v>32</v>
      </c>
      <c r="D34" s="6">
        <v>4</v>
      </c>
      <c r="E34" s="6">
        <v>8</v>
      </c>
      <c r="F34" s="6">
        <v>121</v>
      </c>
      <c r="G34" s="6">
        <f t="shared" si="0"/>
        <v>468</v>
      </c>
      <c r="H34" s="6">
        <v>226</v>
      </c>
      <c r="I34" s="6">
        <v>242</v>
      </c>
      <c r="J34" s="6">
        <v>0</v>
      </c>
      <c r="K34" s="6">
        <v>633</v>
      </c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</row>
    <row r="35" spans="1:28" ht="15" thickBot="1" x14ac:dyDescent="0.35">
      <c r="A35" s="5" t="s">
        <v>13</v>
      </c>
      <c r="B35" s="13" t="s">
        <v>99</v>
      </c>
      <c r="C35" s="6">
        <v>31</v>
      </c>
      <c r="D35" s="6">
        <v>3</v>
      </c>
      <c r="E35" s="6">
        <v>11</v>
      </c>
      <c r="F35" s="6">
        <v>118</v>
      </c>
      <c r="G35" s="6">
        <f t="shared" si="0"/>
        <v>506</v>
      </c>
      <c r="H35" s="6">
        <v>223</v>
      </c>
      <c r="I35" s="6">
        <v>283</v>
      </c>
      <c r="J35" s="6">
        <v>0</v>
      </c>
      <c r="K35" s="6">
        <v>669</v>
      </c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</row>
    <row r="36" spans="1:28" ht="15" thickBot="1" x14ac:dyDescent="0.35">
      <c r="A36" s="5" t="s">
        <v>13</v>
      </c>
      <c r="B36" s="13" t="s">
        <v>100</v>
      </c>
      <c r="C36" s="6">
        <v>29</v>
      </c>
      <c r="D36" s="6">
        <v>3</v>
      </c>
      <c r="E36" s="6">
        <v>7</v>
      </c>
      <c r="F36" s="6">
        <v>95</v>
      </c>
      <c r="G36" s="6">
        <f t="shared" si="0"/>
        <v>518</v>
      </c>
      <c r="H36" s="6">
        <v>257</v>
      </c>
      <c r="I36" s="6">
        <v>261</v>
      </c>
      <c r="J36" s="6">
        <v>0</v>
      </c>
      <c r="K36" s="6">
        <v>652</v>
      </c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</row>
    <row r="37" spans="1:28" ht="15" thickBot="1" x14ac:dyDescent="0.35">
      <c r="A37" s="5" t="s">
        <v>13</v>
      </c>
      <c r="B37" s="13" t="s">
        <v>101</v>
      </c>
      <c r="C37" s="6">
        <v>24</v>
      </c>
      <c r="D37" s="6">
        <v>5</v>
      </c>
      <c r="E37" s="6">
        <v>7</v>
      </c>
      <c r="F37" s="6">
        <v>119</v>
      </c>
      <c r="G37" s="6">
        <f t="shared" si="0"/>
        <v>510</v>
      </c>
      <c r="H37" s="6">
        <v>224</v>
      </c>
      <c r="I37" s="6">
        <v>286</v>
      </c>
      <c r="J37" s="6">
        <v>0</v>
      </c>
      <c r="K37" s="6">
        <v>665</v>
      </c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</row>
    <row r="38" spans="1:28" ht="15" thickBot="1" x14ac:dyDescent="0.35">
      <c r="A38" s="5" t="s">
        <v>13</v>
      </c>
      <c r="B38" s="13" t="s">
        <v>102</v>
      </c>
      <c r="C38" s="6">
        <v>25</v>
      </c>
      <c r="D38" s="6">
        <v>4</v>
      </c>
      <c r="E38" s="6">
        <v>6</v>
      </c>
      <c r="F38" s="6">
        <v>114</v>
      </c>
      <c r="G38" s="6">
        <f t="shared" si="0"/>
        <v>515</v>
      </c>
      <c r="H38" s="6">
        <v>245</v>
      </c>
      <c r="I38" s="6">
        <v>270</v>
      </c>
      <c r="J38" s="6">
        <v>0</v>
      </c>
      <c r="K38" s="6">
        <v>664</v>
      </c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</row>
    <row r="39" spans="1:28" ht="15" thickBot="1" x14ac:dyDescent="0.35">
      <c r="A39" s="5" t="s">
        <v>13</v>
      </c>
      <c r="B39" s="13" t="s">
        <v>103</v>
      </c>
      <c r="C39" s="6">
        <v>43</v>
      </c>
      <c r="D39" s="6">
        <v>3</v>
      </c>
      <c r="E39" s="6">
        <v>6</v>
      </c>
      <c r="F39" s="6">
        <v>98</v>
      </c>
      <c r="G39" s="6">
        <f t="shared" si="0"/>
        <v>430</v>
      </c>
      <c r="H39" s="6">
        <v>204</v>
      </c>
      <c r="I39" s="6">
        <v>226</v>
      </c>
      <c r="J39" s="6">
        <v>0</v>
      </c>
      <c r="K39" s="6">
        <v>580</v>
      </c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</row>
    <row r="40" spans="1:28" ht="15" thickBot="1" x14ac:dyDescent="0.35">
      <c r="A40" s="5" t="s">
        <v>13</v>
      </c>
      <c r="B40" s="13" t="s">
        <v>104</v>
      </c>
      <c r="C40" s="6">
        <v>24</v>
      </c>
      <c r="D40" s="6">
        <v>5</v>
      </c>
      <c r="E40" s="6">
        <v>9</v>
      </c>
      <c r="F40" s="6">
        <v>99</v>
      </c>
      <c r="G40" s="6">
        <f t="shared" si="0"/>
        <v>461</v>
      </c>
      <c r="H40" s="6">
        <v>219</v>
      </c>
      <c r="I40" s="6">
        <v>242</v>
      </c>
      <c r="J40" s="6">
        <v>0</v>
      </c>
      <c r="K40" s="6">
        <v>598</v>
      </c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</row>
    <row r="41" spans="1:28" ht="15" thickBot="1" x14ac:dyDescent="0.35">
      <c r="A41" s="5" t="s">
        <v>13</v>
      </c>
      <c r="B41" s="13" t="s">
        <v>105</v>
      </c>
      <c r="C41" s="6">
        <v>20</v>
      </c>
      <c r="D41" s="6">
        <v>1</v>
      </c>
      <c r="E41" s="6">
        <v>11</v>
      </c>
      <c r="F41" s="6">
        <v>93</v>
      </c>
      <c r="G41" s="6">
        <f t="shared" si="0"/>
        <v>441</v>
      </c>
      <c r="H41" s="6">
        <v>196</v>
      </c>
      <c r="I41" s="6">
        <v>245</v>
      </c>
      <c r="J41" s="6">
        <v>0</v>
      </c>
      <c r="K41" s="6">
        <v>566</v>
      </c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</row>
    <row r="42" spans="1:28" ht="15" thickBot="1" x14ac:dyDescent="0.35">
      <c r="A42" s="5" t="s">
        <v>13</v>
      </c>
      <c r="B42" s="13" t="s">
        <v>106</v>
      </c>
      <c r="C42" s="6">
        <v>15</v>
      </c>
      <c r="D42" s="6">
        <v>1</v>
      </c>
      <c r="E42" s="6">
        <v>4</v>
      </c>
      <c r="F42" s="6">
        <v>100</v>
      </c>
      <c r="G42" s="6">
        <f t="shared" si="0"/>
        <v>433</v>
      </c>
      <c r="H42" s="6">
        <v>197</v>
      </c>
      <c r="I42" s="6">
        <v>236</v>
      </c>
      <c r="J42" s="6">
        <v>0</v>
      </c>
      <c r="K42" s="6">
        <v>553</v>
      </c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</row>
    <row r="43" spans="1:28" ht="15" thickBot="1" x14ac:dyDescent="0.35">
      <c r="A43" s="5" t="s">
        <v>13</v>
      </c>
      <c r="B43" s="13" t="s">
        <v>107</v>
      </c>
      <c r="C43" s="6">
        <v>9</v>
      </c>
      <c r="D43" s="6">
        <v>5</v>
      </c>
      <c r="E43" s="6">
        <v>9</v>
      </c>
      <c r="F43" s="6">
        <v>95</v>
      </c>
      <c r="G43" s="6">
        <f t="shared" si="0"/>
        <v>459</v>
      </c>
      <c r="H43" s="6">
        <v>216</v>
      </c>
      <c r="I43" s="6">
        <v>243</v>
      </c>
      <c r="J43" s="6">
        <v>0</v>
      </c>
      <c r="K43" s="6">
        <v>577</v>
      </c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</row>
    <row r="44" spans="1:28" ht="15" thickBot="1" x14ac:dyDescent="0.35">
      <c r="A44" s="5" t="s">
        <v>13</v>
      </c>
      <c r="B44" s="13" t="s">
        <v>108</v>
      </c>
      <c r="C44" s="6">
        <v>14</v>
      </c>
      <c r="D44" s="6">
        <v>2</v>
      </c>
      <c r="E44" s="6">
        <v>9</v>
      </c>
      <c r="F44" s="6">
        <v>90</v>
      </c>
      <c r="G44" s="6">
        <f t="shared" si="0"/>
        <v>401</v>
      </c>
      <c r="H44" s="6">
        <v>173</v>
      </c>
      <c r="I44" s="6">
        <v>228</v>
      </c>
      <c r="J44" s="6">
        <v>0</v>
      </c>
      <c r="K44" s="6">
        <v>516</v>
      </c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</row>
    <row r="45" spans="1:28" ht="15" thickBot="1" x14ac:dyDescent="0.35">
      <c r="A45" s="5" t="s">
        <v>13</v>
      </c>
      <c r="B45" s="13" t="s">
        <v>109</v>
      </c>
      <c r="C45" s="6">
        <v>9</v>
      </c>
      <c r="D45" s="6">
        <v>2</v>
      </c>
      <c r="E45" s="6">
        <v>5</v>
      </c>
      <c r="F45" s="6">
        <v>77</v>
      </c>
      <c r="G45" s="6">
        <f t="shared" si="0"/>
        <v>404</v>
      </c>
      <c r="H45" s="6">
        <v>175</v>
      </c>
      <c r="I45" s="6">
        <v>229</v>
      </c>
      <c r="J45" s="6">
        <v>0</v>
      </c>
      <c r="K45" s="6">
        <v>497</v>
      </c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</row>
    <row r="46" spans="1:28" ht="15" thickBot="1" x14ac:dyDescent="0.35">
      <c r="A46" s="5" t="s">
        <v>13</v>
      </c>
      <c r="B46" s="13" t="s">
        <v>110</v>
      </c>
      <c r="C46" s="6">
        <v>23</v>
      </c>
      <c r="D46" s="6">
        <v>2</v>
      </c>
      <c r="E46" s="6">
        <v>7</v>
      </c>
      <c r="F46" s="6">
        <v>89</v>
      </c>
      <c r="G46" s="6">
        <f t="shared" si="0"/>
        <v>394</v>
      </c>
      <c r="H46" s="6">
        <v>193</v>
      </c>
      <c r="I46" s="6">
        <v>201</v>
      </c>
      <c r="J46" s="6">
        <v>0</v>
      </c>
      <c r="K46" s="6">
        <v>515</v>
      </c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</row>
    <row r="47" spans="1:28" ht="15" thickBot="1" x14ac:dyDescent="0.35">
      <c r="A47" s="5" t="s">
        <v>13</v>
      </c>
      <c r="B47" s="13" t="s">
        <v>111</v>
      </c>
      <c r="C47" s="6">
        <v>34</v>
      </c>
      <c r="D47" s="6">
        <v>1</v>
      </c>
      <c r="E47" s="6">
        <v>11</v>
      </c>
      <c r="F47" s="6">
        <v>105</v>
      </c>
      <c r="G47" s="6">
        <f t="shared" si="0"/>
        <v>433</v>
      </c>
      <c r="H47" s="6">
        <v>192</v>
      </c>
      <c r="I47" s="6">
        <v>241</v>
      </c>
      <c r="J47" s="6">
        <v>0</v>
      </c>
      <c r="K47" s="6">
        <v>584</v>
      </c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</row>
    <row r="48" spans="1:28" ht="15" thickBot="1" x14ac:dyDescent="0.35">
      <c r="A48" s="5" t="s">
        <v>13</v>
      </c>
      <c r="B48" s="13" t="s">
        <v>112</v>
      </c>
      <c r="C48" s="6">
        <v>25</v>
      </c>
      <c r="D48" s="6">
        <v>1</v>
      </c>
      <c r="E48" s="6">
        <v>7</v>
      </c>
      <c r="F48" s="6">
        <v>98</v>
      </c>
      <c r="G48" s="6">
        <f t="shared" si="0"/>
        <v>436</v>
      </c>
      <c r="H48" s="6">
        <v>216</v>
      </c>
      <c r="I48" s="6">
        <v>220</v>
      </c>
      <c r="J48" s="6">
        <v>0</v>
      </c>
      <c r="K48" s="6">
        <v>567</v>
      </c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</row>
    <row r="49" spans="1:28" ht="15" thickBot="1" x14ac:dyDescent="0.35">
      <c r="A49" s="5" t="s">
        <v>13</v>
      </c>
      <c r="B49" s="13" t="s">
        <v>113</v>
      </c>
      <c r="C49" s="6">
        <v>40</v>
      </c>
      <c r="D49" s="6">
        <v>8</v>
      </c>
      <c r="E49" s="6">
        <v>9</v>
      </c>
      <c r="F49" s="6">
        <v>114</v>
      </c>
      <c r="G49" s="6">
        <f t="shared" si="0"/>
        <v>481</v>
      </c>
      <c r="H49" s="6">
        <v>236</v>
      </c>
      <c r="I49" s="6">
        <v>245</v>
      </c>
      <c r="J49" s="6">
        <v>0</v>
      </c>
      <c r="K49" s="6">
        <v>652</v>
      </c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</row>
    <row r="50" spans="1:28" ht="15" thickBot="1" x14ac:dyDescent="0.35">
      <c r="A50" s="5" t="s">
        <v>13</v>
      </c>
      <c r="B50" s="13" t="s">
        <v>114</v>
      </c>
      <c r="C50" s="6">
        <v>30</v>
      </c>
      <c r="D50" s="6">
        <v>8</v>
      </c>
      <c r="E50" s="6">
        <v>10</v>
      </c>
      <c r="F50" s="6">
        <v>103</v>
      </c>
      <c r="G50" s="6">
        <f t="shared" si="0"/>
        <v>469</v>
      </c>
      <c r="H50" s="6">
        <v>215</v>
      </c>
      <c r="I50" s="6">
        <v>254</v>
      </c>
      <c r="J50" s="6">
        <v>0</v>
      </c>
      <c r="K50" s="6">
        <v>620</v>
      </c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  <c r="AB50" s="8"/>
    </row>
    <row r="51" spans="1:28" ht="15" thickBot="1" x14ac:dyDescent="0.35">
      <c r="A51" s="5" t="s">
        <v>13</v>
      </c>
      <c r="B51" s="13" t="s">
        <v>115</v>
      </c>
      <c r="C51" s="6">
        <v>31</v>
      </c>
      <c r="D51" s="6">
        <v>3</v>
      </c>
      <c r="E51" s="6">
        <v>8</v>
      </c>
      <c r="F51" s="6">
        <v>117</v>
      </c>
      <c r="G51" s="6">
        <f t="shared" si="0"/>
        <v>458</v>
      </c>
      <c r="H51" s="6">
        <v>229</v>
      </c>
      <c r="I51" s="6">
        <v>229</v>
      </c>
      <c r="J51" s="6">
        <v>0</v>
      </c>
      <c r="K51" s="6">
        <v>617</v>
      </c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</row>
    <row r="52" spans="1:28" ht="15" thickBot="1" x14ac:dyDescent="0.35">
      <c r="A52" s="5" t="s">
        <v>13</v>
      </c>
      <c r="B52" s="13" t="s">
        <v>116</v>
      </c>
      <c r="C52" s="6">
        <v>27</v>
      </c>
      <c r="D52" s="6">
        <v>3</v>
      </c>
      <c r="E52" s="6">
        <v>6</v>
      </c>
      <c r="F52" s="6">
        <v>98</v>
      </c>
      <c r="G52" s="6">
        <f t="shared" si="0"/>
        <v>489</v>
      </c>
      <c r="H52" s="6">
        <v>217</v>
      </c>
      <c r="I52" s="6">
        <v>272</v>
      </c>
      <c r="J52" s="6">
        <v>0</v>
      </c>
      <c r="K52" s="6">
        <v>623</v>
      </c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</row>
    <row r="53" spans="1:28" ht="15" thickBot="1" x14ac:dyDescent="0.35">
      <c r="A53" s="5" t="s">
        <v>13</v>
      </c>
      <c r="B53" s="13" t="s">
        <v>117</v>
      </c>
      <c r="C53" s="6">
        <v>30</v>
      </c>
      <c r="D53" s="6">
        <v>4</v>
      </c>
      <c r="E53" s="6">
        <v>9</v>
      </c>
      <c r="F53" s="6">
        <v>120</v>
      </c>
      <c r="G53" s="6">
        <f t="shared" si="0"/>
        <v>455</v>
      </c>
      <c r="H53" s="6">
        <v>204</v>
      </c>
      <c r="I53" s="6">
        <v>251</v>
      </c>
      <c r="J53" s="6">
        <v>0</v>
      </c>
      <c r="K53" s="6">
        <v>618</v>
      </c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</row>
    <row r="54" spans="1:28" ht="15" thickBot="1" x14ac:dyDescent="0.35">
      <c r="A54" s="5" t="s">
        <v>13</v>
      </c>
      <c r="B54" s="13" t="s">
        <v>118</v>
      </c>
      <c r="C54" s="6">
        <v>24</v>
      </c>
      <c r="D54" s="6">
        <v>4</v>
      </c>
      <c r="E54" s="6">
        <v>13</v>
      </c>
      <c r="F54" s="6">
        <v>107</v>
      </c>
      <c r="G54" s="6">
        <f t="shared" si="0"/>
        <v>480</v>
      </c>
      <c r="H54" s="6">
        <v>228</v>
      </c>
      <c r="I54" s="6">
        <v>252</v>
      </c>
      <c r="J54" s="6">
        <v>0</v>
      </c>
      <c r="K54" s="6">
        <v>628</v>
      </c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</row>
    <row r="55" spans="1:28" ht="15" thickBot="1" x14ac:dyDescent="0.35">
      <c r="A55" s="5" t="s">
        <v>13</v>
      </c>
      <c r="B55" s="13" t="s">
        <v>119</v>
      </c>
      <c r="C55" s="6">
        <v>27</v>
      </c>
      <c r="D55" s="6">
        <v>3</v>
      </c>
      <c r="E55" s="6">
        <v>15</v>
      </c>
      <c r="F55" s="6">
        <v>114</v>
      </c>
      <c r="G55" s="6">
        <f t="shared" si="0"/>
        <v>491</v>
      </c>
      <c r="H55" s="6">
        <v>220</v>
      </c>
      <c r="I55" s="6">
        <v>271</v>
      </c>
      <c r="J55" s="6">
        <v>0</v>
      </c>
      <c r="K55" s="6">
        <v>650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</row>
    <row r="56" spans="1:28" ht="15" thickBot="1" x14ac:dyDescent="0.35">
      <c r="A56" s="5" t="s">
        <v>13</v>
      </c>
      <c r="B56" s="13" t="s">
        <v>120</v>
      </c>
      <c r="C56" s="6">
        <v>22</v>
      </c>
      <c r="D56" s="6">
        <v>7</v>
      </c>
      <c r="E56" s="6">
        <v>7</v>
      </c>
      <c r="F56" s="6">
        <v>106</v>
      </c>
      <c r="G56" s="6">
        <f t="shared" si="0"/>
        <v>510</v>
      </c>
      <c r="H56" s="6">
        <v>223</v>
      </c>
      <c r="I56" s="6">
        <v>287</v>
      </c>
      <c r="J56" s="6">
        <v>0</v>
      </c>
      <c r="K56" s="6">
        <v>652</v>
      </c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</row>
    <row r="57" spans="1:28" ht="15" thickBot="1" x14ac:dyDescent="0.35">
      <c r="A57" s="5" t="s">
        <v>13</v>
      </c>
      <c r="B57" s="13" t="s">
        <v>121</v>
      </c>
      <c r="C57" s="6">
        <v>28</v>
      </c>
      <c r="D57" s="6">
        <v>7</v>
      </c>
      <c r="E57" s="6">
        <v>6</v>
      </c>
      <c r="F57" s="6">
        <v>114</v>
      </c>
      <c r="G57" s="6">
        <f t="shared" si="0"/>
        <v>502</v>
      </c>
      <c r="H57" s="6">
        <v>241</v>
      </c>
      <c r="I57" s="6">
        <v>261</v>
      </c>
      <c r="J57" s="6">
        <v>0</v>
      </c>
      <c r="K57" s="6">
        <v>657</v>
      </c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</row>
    <row r="58" spans="1:28" ht="15" thickBot="1" x14ac:dyDescent="0.35">
      <c r="A58" s="5" t="s">
        <v>13</v>
      </c>
      <c r="B58" s="13" t="s">
        <v>122</v>
      </c>
      <c r="C58" s="6">
        <v>37</v>
      </c>
      <c r="D58" s="6">
        <v>4</v>
      </c>
      <c r="E58" s="6">
        <v>8</v>
      </c>
      <c r="F58" s="6">
        <v>119</v>
      </c>
      <c r="G58" s="6">
        <f t="shared" si="0"/>
        <v>476</v>
      </c>
      <c r="H58" s="6">
        <v>192</v>
      </c>
      <c r="I58" s="6">
        <v>284</v>
      </c>
      <c r="J58" s="6">
        <v>0</v>
      </c>
      <c r="K58" s="6">
        <v>644</v>
      </c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</row>
    <row r="59" spans="1:28" ht="15" thickBot="1" x14ac:dyDescent="0.35">
      <c r="A59" s="5" t="s">
        <v>13</v>
      </c>
      <c r="B59" s="13" t="s">
        <v>123</v>
      </c>
      <c r="C59" s="6">
        <v>30</v>
      </c>
      <c r="D59" s="6">
        <v>5</v>
      </c>
      <c r="E59" s="6">
        <v>13</v>
      </c>
      <c r="F59" s="6">
        <v>121</v>
      </c>
      <c r="G59" s="6">
        <f t="shared" si="0"/>
        <v>477</v>
      </c>
      <c r="H59" s="6">
        <v>196</v>
      </c>
      <c r="I59" s="6">
        <v>281</v>
      </c>
      <c r="J59" s="6">
        <v>0</v>
      </c>
      <c r="K59" s="6">
        <v>646</v>
      </c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</row>
    <row r="60" spans="1:28" ht="15" thickBot="1" x14ac:dyDescent="0.35">
      <c r="A60" s="5" t="s">
        <v>13</v>
      </c>
      <c r="B60" s="13" t="s">
        <v>124</v>
      </c>
      <c r="C60" s="6">
        <v>41</v>
      </c>
      <c r="D60" s="6">
        <v>7</v>
      </c>
      <c r="E60" s="6">
        <v>9</v>
      </c>
      <c r="F60" s="6">
        <v>108</v>
      </c>
      <c r="G60" s="6">
        <f t="shared" si="0"/>
        <v>478</v>
      </c>
      <c r="H60" s="6">
        <v>208</v>
      </c>
      <c r="I60" s="6">
        <v>270</v>
      </c>
      <c r="J60" s="6">
        <v>0</v>
      </c>
      <c r="K60" s="6">
        <v>643</v>
      </c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</row>
    <row r="61" spans="1:28" ht="15" thickBot="1" x14ac:dyDescent="0.35">
      <c r="A61" s="5" t="s">
        <v>13</v>
      </c>
      <c r="B61" s="13" t="s">
        <v>125</v>
      </c>
      <c r="C61" s="6">
        <v>28</v>
      </c>
      <c r="D61" s="6">
        <v>7</v>
      </c>
      <c r="E61" s="6">
        <v>13</v>
      </c>
      <c r="F61" s="6">
        <v>100</v>
      </c>
      <c r="G61" s="6">
        <f t="shared" si="0"/>
        <v>489</v>
      </c>
      <c r="H61" s="6">
        <v>234</v>
      </c>
      <c r="I61" s="6">
        <v>255</v>
      </c>
      <c r="J61" s="6">
        <v>0</v>
      </c>
      <c r="K61" s="6">
        <v>637</v>
      </c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</row>
    <row r="62" spans="1:28" ht="15" thickBot="1" x14ac:dyDescent="0.35">
      <c r="A62" s="5" t="s">
        <v>13</v>
      </c>
      <c r="B62" s="13" t="s">
        <v>126</v>
      </c>
      <c r="C62" s="6">
        <v>36</v>
      </c>
      <c r="D62" s="6">
        <v>11</v>
      </c>
      <c r="E62" s="6">
        <v>11</v>
      </c>
      <c r="F62" s="6">
        <v>134</v>
      </c>
      <c r="G62" s="6">
        <f t="shared" si="0"/>
        <v>558</v>
      </c>
      <c r="H62" s="6">
        <v>230</v>
      </c>
      <c r="I62" s="6">
        <v>328</v>
      </c>
      <c r="J62" s="6">
        <v>0</v>
      </c>
      <c r="K62" s="6">
        <v>750</v>
      </c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</row>
    <row r="63" spans="1:28" ht="15" thickBot="1" x14ac:dyDescent="0.35">
      <c r="A63" s="5" t="s">
        <v>13</v>
      </c>
      <c r="B63" s="13" t="s">
        <v>127</v>
      </c>
      <c r="C63" s="6">
        <v>42</v>
      </c>
      <c r="D63" s="6">
        <v>15</v>
      </c>
      <c r="E63" s="6">
        <v>10</v>
      </c>
      <c r="F63" s="6">
        <v>133</v>
      </c>
      <c r="G63" s="6">
        <f t="shared" si="0"/>
        <v>580</v>
      </c>
      <c r="H63" s="6">
        <v>268</v>
      </c>
      <c r="I63" s="6">
        <v>312</v>
      </c>
      <c r="J63" s="6">
        <v>0</v>
      </c>
      <c r="K63" s="6">
        <v>780</v>
      </c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</row>
    <row r="64" spans="1:28" ht="15" thickBot="1" x14ac:dyDescent="0.35">
      <c r="A64" s="5" t="s">
        <v>13</v>
      </c>
      <c r="B64" s="13" t="s">
        <v>128</v>
      </c>
      <c r="C64" s="6">
        <v>59</v>
      </c>
      <c r="D64" s="6">
        <v>10</v>
      </c>
      <c r="E64" s="6">
        <v>20</v>
      </c>
      <c r="F64" s="6">
        <v>129</v>
      </c>
      <c r="G64" s="6">
        <f t="shared" si="0"/>
        <v>665</v>
      </c>
      <c r="H64" s="6">
        <v>305</v>
      </c>
      <c r="I64" s="6">
        <v>360</v>
      </c>
      <c r="J64" s="6">
        <v>0</v>
      </c>
      <c r="K64" s="6">
        <v>883</v>
      </c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</row>
    <row r="65" spans="1:28" ht="15" thickBot="1" x14ac:dyDescent="0.35">
      <c r="A65" s="5" t="s">
        <v>13</v>
      </c>
      <c r="B65" s="13" t="s">
        <v>129</v>
      </c>
      <c r="C65" s="6">
        <v>65</v>
      </c>
      <c r="D65" s="6">
        <v>4</v>
      </c>
      <c r="E65" s="6">
        <v>16</v>
      </c>
      <c r="F65" s="6">
        <v>147</v>
      </c>
      <c r="G65" s="6">
        <f t="shared" si="0"/>
        <v>666</v>
      </c>
      <c r="H65" s="6">
        <v>313</v>
      </c>
      <c r="I65" s="6">
        <v>353</v>
      </c>
      <c r="J65" s="6">
        <v>0</v>
      </c>
      <c r="K65" s="6">
        <v>898</v>
      </c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</row>
    <row r="66" spans="1:28" ht="15" thickBot="1" x14ac:dyDescent="0.35">
      <c r="A66" s="5" t="s">
        <v>13</v>
      </c>
      <c r="B66" s="13" t="s">
        <v>130</v>
      </c>
      <c r="C66" s="6">
        <v>54</v>
      </c>
      <c r="D66" s="6">
        <v>7</v>
      </c>
      <c r="E66" s="6">
        <v>17</v>
      </c>
      <c r="F66" s="6">
        <v>134</v>
      </c>
      <c r="G66" s="6">
        <f t="shared" si="0"/>
        <v>652</v>
      </c>
      <c r="H66" s="6">
        <v>284</v>
      </c>
      <c r="I66" s="6">
        <v>368</v>
      </c>
      <c r="J66" s="6">
        <v>0</v>
      </c>
      <c r="K66" s="6">
        <v>864</v>
      </c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</row>
    <row r="67" spans="1:28" ht="15" thickBot="1" x14ac:dyDescent="0.3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</row>
    <row r="68" spans="1:28" ht="15" thickBot="1" x14ac:dyDescent="0.3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</row>
    <row r="69" spans="1:28" ht="15" thickBot="1" x14ac:dyDescent="0.3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</row>
    <row r="70" spans="1:28" ht="15" thickBot="1" x14ac:dyDescent="0.3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</row>
    <row r="71" spans="1:28" ht="15" thickBot="1" x14ac:dyDescent="0.3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</row>
    <row r="72" spans="1:28" ht="15" thickBot="1" x14ac:dyDescent="0.3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</row>
    <row r="73" spans="1:28" ht="15" thickBot="1" x14ac:dyDescent="0.3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</row>
    <row r="74" spans="1:28" ht="15" thickBot="1" x14ac:dyDescent="0.3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</row>
    <row r="75" spans="1:28" ht="15" thickBot="1" x14ac:dyDescent="0.3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</row>
    <row r="76" spans="1:28" ht="15" thickBot="1" x14ac:dyDescent="0.3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</row>
    <row r="77" spans="1:28" ht="15" thickBot="1" x14ac:dyDescent="0.3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</row>
    <row r="78" spans="1:28" ht="15" thickBot="1" x14ac:dyDescent="0.3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</row>
    <row r="79" spans="1:28" ht="15" thickBot="1" x14ac:dyDescent="0.3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</row>
    <row r="80" spans="1:28" ht="15" thickBot="1" x14ac:dyDescent="0.3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</row>
    <row r="81" spans="1:28" ht="15" thickBot="1" x14ac:dyDescent="0.3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</row>
    <row r="82" spans="1:28" ht="15" thickBot="1" x14ac:dyDescent="0.3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</row>
    <row r="83" spans="1:28" ht="15" thickBot="1" x14ac:dyDescent="0.3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</row>
    <row r="84" spans="1:28" ht="15" thickBot="1" x14ac:dyDescent="0.3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</row>
    <row r="85" spans="1:28" ht="15" thickBot="1" x14ac:dyDescent="0.3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</row>
    <row r="86" spans="1:28" ht="15" thickBot="1" x14ac:dyDescent="0.3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</row>
    <row r="87" spans="1:28" ht="15" thickBot="1" x14ac:dyDescent="0.3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</row>
    <row r="88" spans="1:28" ht="15" thickBot="1" x14ac:dyDescent="0.3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</row>
    <row r="89" spans="1:28" ht="15" thickBot="1" x14ac:dyDescent="0.3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</row>
    <row r="90" spans="1:28" ht="15" thickBot="1" x14ac:dyDescent="0.3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</row>
    <row r="91" spans="1:28" ht="15" thickBot="1" x14ac:dyDescent="0.3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</row>
    <row r="92" spans="1:28" ht="15" thickBot="1" x14ac:dyDescent="0.3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</row>
    <row r="93" spans="1:28" ht="15" thickBot="1" x14ac:dyDescent="0.3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</row>
    <row r="94" spans="1:28" ht="15" thickBot="1" x14ac:dyDescent="0.3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</row>
    <row r="95" spans="1:28" ht="15" thickBot="1" x14ac:dyDescent="0.3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</row>
    <row r="96" spans="1:28" ht="15" thickBot="1" x14ac:dyDescent="0.3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</row>
    <row r="97" spans="1:28" ht="15" thickBot="1" x14ac:dyDescent="0.3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</row>
    <row r="98" spans="1:28" ht="15" thickBot="1" x14ac:dyDescent="0.3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</row>
    <row r="99" spans="1:28" ht="15" thickBot="1" x14ac:dyDescent="0.3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</row>
    <row r="100" spans="1:28" ht="15" thickBot="1" x14ac:dyDescent="0.3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</row>
    <row r="101" spans="1:28" ht="15" thickBot="1" x14ac:dyDescent="0.3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</row>
    <row r="102" spans="1:28" ht="15" thickBot="1" x14ac:dyDescent="0.3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</row>
    <row r="103" spans="1:28" ht="15" thickBot="1" x14ac:dyDescent="0.3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</row>
    <row r="104" spans="1:28" ht="15" thickBot="1" x14ac:dyDescent="0.3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</row>
    <row r="105" spans="1:28" ht="15" thickBot="1" x14ac:dyDescent="0.3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</row>
    <row r="106" spans="1:28" ht="15" thickBot="1" x14ac:dyDescent="0.3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</row>
    <row r="107" spans="1:28" ht="15" thickBot="1" x14ac:dyDescent="0.3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</row>
    <row r="108" spans="1:28" ht="15" thickBot="1" x14ac:dyDescent="0.3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</row>
    <row r="109" spans="1:28" ht="15" thickBot="1" x14ac:dyDescent="0.3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</row>
    <row r="110" spans="1:28" ht="15" thickBot="1" x14ac:dyDescent="0.3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</row>
    <row r="111" spans="1:28" ht="15" thickBot="1" x14ac:dyDescent="0.3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</row>
    <row r="112" spans="1:28" ht="15" thickBot="1" x14ac:dyDescent="0.3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</row>
    <row r="113" spans="1:28" ht="15" thickBot="1" x14ac:dyDescent="0.3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</row>
    <row r="114" spans="1:28" ht="15" thickBot="1" x14ac:dyDescent="0.3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</row>
    <row r="115" spans="1:28" ht="15" thickBot="1" x14ac:dyDescent="0.3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</row>
    <row r="116" spans="1:28" ht="15" thickBot="1" x14ac:dyDescent="0.3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</row>
    <row r="117" spans="1:28" ht="15" thickBot="1" x14ac:dyDescent="0.3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</row>
    <row r="118" spans="1:28" ht="15" thickBot="1" x14ac:dyDescent="0.3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</row>
    <row r="119" spans="1:28" ht="15" thickBot="1" x14ac:dyDescent="0.3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</row>
    <row r="120" spans="1:28" ht="15" thickBot="1" x14ac:dyDescent="0.3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</row>
    <row r="121" spans="1:28" ht="15" thickBot="1" x14ac:dyDescent="0.3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</row>
    <row r="122" spans="1:28" ht="15" thickBot="1" x14ac:dyDescent="0.3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</row>
    <row r="123" spans="1:28" ht="15" thickBot="1" x14ac:dyDescent="0.3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</row>
    <row r="124" spans="1:28" ht="15" thickBot="1" x14ac:dyDescent="0.3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</row>
    <row r="125" spans="1:28" ht="15" thickBot="1" x14ac:dyDescent="0.3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</row>
    <row r="126" spans="1:28" ht="15" thickBot="1" x14ac:dyDescent="0.3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</row>
    <row r="127" spans="1:28" ht="15" thickBot="1" x14ac:dyDescent="0.3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</row>
    <row r="128" spans="1:28" ht="15" thickBot="1" x14ac:dyDescent="0.3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</row>
    <row r="129" spans="1:28" ht="15" thickBot="1" x14ac:dyDescent="0.3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</row>
    <row r="130" spans="1:28" ht="15" thickBot="1" x14ac:dyDescent="0.3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</row>
    <row r="131" spans="1:28" ht="15" thickBot="1" x14ac:dyDescent="0.3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</row>
    <row r="132" spans="1:28" ht="15" thickBot="1" x14ac:dyDescent="0.3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</row>
    <row r="133" spans="1:28" ht="15" thickBot="1" x14ac:dyDescent="0.3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</row>
    <row r="134" spans="1:28" ht="15" thickBot="1" x14ac:dyDescent="0.3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</row>
    <row r="135" spans="1:28" ht="15" thickBot="1" x14ac:dyDescent="0.3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</row>
    <row r="136" spans="1:28" ht="15" thickBot="1" x14ac:dyDescent="0.3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</row>
    <row r="137" spans="1:28" ht="15" thickBot="1" x14ac:dyDescent="0.3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</row>
    <row r="138" spans="1:28" ht="15" thickBot="1" x14ac:dyDescent="0.3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</row>
    <row r="139" spans="1:28" ht="15" thickBot="1" x14ac:dyDescent="0.3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</row>
    <row r="140" spans="1:28" ht="15" thickBot="1" x14ac:dyDescent="0.3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</row>
    <row r="141" spans="1:28" ht="15" thickBot="1" x14ac:dyDescent="0.3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</row>
    <row r="142" spans="1:28" ht="15" thickBot="1" x14ac:dyDescent="0.3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</row>
    <row r="143" spans="1:28" ht="15" thickBot="1" x14ac:dyDescent="0.3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</row>
    <row r="144" spans="1:28" ht="15" thickBot="1" x14ac:dyDescent="0.3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</row>
    <row r="145" spans="1:28" ht="15" thickBot="1" x14ac:dyDescent="0.3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</row>
    <row r="146" spans="1:28" ht="15" thickBot="1" x14ac:dyDescent="0.3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</row>
    <row r="147" spans="1:28" ht="15" thickBot="1" x14ac:dyDescent="0.3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</row>
    <row r="148" spans="1:28" ht="15" thickBot="1" x14ac:dyDescent="0.3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</row>
    <row r="149" spans="1:28" ht="15" thickBot="1" x14ac:dyDescent="0.3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</row>
    <row r="150" spans="1:28" ht="15" thickBot="1" x14ac:dyDescent="0.3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</row>
    <row r="151" spans="1:28" ht="15" thickBot="1" x14ac:dyDescent="0.3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</row>
    <row r="152" spans="1:28" ht="15" thickBot="1" x14ac:dyDescent="0.3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</row>
    <row r="153" spans="1:28" ht="15" thickBot="1" x14ac:dyDescent="0.3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</row>
    <row r="154" spans="1:28" ht="15" thickBot="1" x14ac:dyDescent="0.3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</row>
    <row r="155" spans="1:28" ht="15" thickBot="1" x14ac:dyDescent="0.3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</row>
    <row r="156" spans="1:28" ht="15" thickBot="1" x14ac:dyDescent="0.3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</row>
    <row r="157" spans="1:28" ht="15" thickBot="1" x14ac:dyDescent="0.3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</row>
    <row r="158" spans="1:28" ht="15" thickBot="1" x14ac:dyDescent="0.3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</row>
    <row r="159" spans="1:28" ht="15" thickBot="1" x14ac:dyDescent="0.3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</row>
    <row r="160" spans="1:28" ht="15" thickBot="1" x14ac:dyDescent="0.3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</row>
    <row r="161" spans="1:28" ht="15" thickBot="1" x14ac:dyDescent="0.3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</row>
    <row r="162" spans="1:28" ht="15" thickBot="1" x14ac:dyDescent="0.3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</row>
    <row r="163" spans="1:28" ht="15" thickBot="1" x14ac:dyDescent="0.3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</row>
    <row r="164" spans="1:28" ht="15" thickBot="1" x14ac:dyDescent="0.3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</row>
    <row r="165" spans="1:28" ht="15" thickBot="1" x14ac:dyDescent="0.3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</row>
    <row r="166" spans="1:28" ht="15" thickBot="1" x14ac:dyDescent="0.3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</row>
    <row r="167" spans="1:28" ht="15" thickBot="1" x14ac:dyDescent="0.3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</row>
    <row r="168" spans="1:28" ht="15" thickBot="1" x14ac:dyDescent="0.3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</row>
    <row r="169" spans="1:28" ht="15" thickBot="1" x14ac:dyDescent="0.3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</row>
    <row r="170" spans="1:28" ht="15" thickBot="1" x14ac:dyDescent="0.3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</row>
    <row r="171" spans="1:28" ht="15" thickBot="1" x14ac:dyDescent="0.3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</row>
    <row r="172" spans="1:28" ht="15" thickBot="1" x14ac:dyDescent="0.3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</row>
    <row r="173" spans="1:28" ht="15" thickBot="1" x14ac:dyDescent="0.3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</row>
    <row r="174" spans="1:28" ht="15" thickBot="1" x14ac:dyDescent="0.3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</row>
    <row r="175" spans="1:28" ht="15" thickBot="1" x14ac:dyDescent="0.3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</row>
    <row r="176" spans="1:28" ht="15" thickBot="1" x14ac:dyDescent="0.3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</row>
    <row r="177" spans="1:28" ht="15" thickBot="1" x14ac:dyDescent="0.3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</row>
    <row r="178" spans="1:28" ht="15" thickBot="1" x14ac:dyDescent="0.3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</row>
    <row r="179" spans="1:28" ht="15" thickBot="1" x14ac:dyDescent="0.3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</row>
    <row r="180" spans="1:28" ht="15" thickBot="1" x14ac:dyDescent="0.3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</row>
    <row r="181" spans="1:28" ht="15" thickBot="1" x14ac:dyDescent="0.3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</row>
    <row r="182" spans="1:28" ht="15" thickBot="1" x14ac:dyDescent="0.3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</row>
    <row r="183" spans="1:28" ht="15" thickBot="1" x14ac:dyDescent="0.3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</row>
    <row r="184" spans="1:28" ht="15" thickBot="1" x14ac:dyDescent="0.3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</row>
    <row r="185" spans="1:28" ht="15" thickBot="1" x14ac:dyDescent="0.3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</row>
    <row r="186" spans="1:28" ht="15" thickBot="1" x14ac:dyDescent="0.3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</row>
    <row r="187" spans="1:28" ht="15" thickBot="1" x14ac:dyDescent="0.3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</row>
    <row r="188" spans="1:28" ht="15" thickBot="1" x14ac:dyDescent="0.3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</row>
    <row r="189" spans="1:28" ht="15" thickBot="1" x14ac:dyDescent="0.3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</row>
    <row r="190" spans="1:28" ht="15" thickBot="1" x14ac:dyDescent="0.3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</row>
    <row r="191" spans="1:28" ht="15" thickBot="1" x14ac:dyDescent="0.3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</row>
    <row r="192" spans="1:28" ht="15" thickBot="1" x14ac:dyDescent="0.3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</row>
    <row r="193" spans="1:28" ht="15" thickBot="1" x14ac:dyDescent="0.3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</row>
    <row r="194" spans="1:28" ht="15" thickBot="1" x14ac:dyDescent="0.3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</row>
    <row r="195" spans="1:28" ht="15" thickBot="1" x14ac:dyDescent="0.3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</row>
    <row r="196" spans="1:28" ht="15" thickBot="1" x14ac:dyDescent="0.3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</row>
    <row r="197" spans="1:28" ht="15" thickBot="1" x14ac:dyDescent="0.3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</row>
    <row r="198" spans="1:28" ht="15" thickBot="1" x14ac:dyDescent="0.3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</row>
    <row r="199" spans="1:28" ht="15" thickBot="1" x14ac:dyDescent="0.3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</row>
    <row r="200" spans="1:28" ht="15" thickBot="1" x14ac:dyDescent="0.3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</row>
    <row r="201" spans="1:28" ht="15" thickBot="1" x14ac:dyDescent="0.3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</row>
    <row r="202" spans="1:28" ht="15" thickBot="1" x14ac:dyDescent="0.3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</row>
    <row r="203" spans="1:28" ht="15" thickBot="1" x14ac:dyDescent="0.3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</row>
    <row r="204" spans="1:28" ht="15" thickBot="1" x14ac:dyDescent="0.3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</row>
    <row r="205" spans="1:28" ht="15" thickBot="1" x14ac:dyDescent="0.3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</row>
    <row r="206" spans="1:28" ht="15" thickBot="1" x14ac:dyDescent="0.3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</row>
    <row r="207" spans="1:28" ht="15" thickBot="1" x14ac:dyDescent="0.3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</row>
    <row r="208" spans="1:28" ht="15" thickBot="1" x14ac:dyDescent="0.3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</row>
    <row r="209" spans="1:28" ht="15" thickBot="1" x14ac:dyDescent="0.3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</row>
    <row r="210" spans="1:28" ht="15" thickBot="1" x14ac:dyDescent="0.3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</row>
    <row r="211" spans="1:28" ht="15" thickBot="1" x14ac:dyDescent="0.3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</row>
    <row r="212" spans="1:28" ht="15" thickBot="1" x14ac:dyDescent="0.3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</row>
    <row r="213" spans="1:28" ht="15" thickBot="1" x14ac:dyDescent="0.3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</row>
    <row r="214" spans="1:28" ht="15" thickBot="1" x14ac:dyDescent="0.3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</row>
    <row r="215" spans="1:28" ht="15" thickBot="1" x14ac:dyDescent="0.3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</row>
    <row r="216" spans="1:28" ht="15" thickBot="1" x14ac:dyDescent="0.3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</row>
    <row r="217" spans="1:28" ht="15" thickBot="1" x14ac:dyDescent="0.3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</row>
    <row r="218" spans="1:28" ht="15" thickBot="1" x14ac:dyDescent="0.3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</row>
    <row r="219" spans="1:28" ht="15" thickBot="1" x14ac:dyDescent="0.3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</row>
    <row r="220" spans="1:28" ht="15" thickBot="1" x14ac:dyDescent="0.3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</row>
    <row r="221" spans="1:28" ht="15" thickBot="1" x14ac:dyDescent="0.3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</row>
    <row r="222" spans="1:28" ht="15" thickBot="1" x14ac:dyDescent="0.3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</row>
    <row r="223" spans="1:28" ht="15" thickBot="1" x14ac:dyDescent="0.3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</row>
    <row r="224" spans="1:28" ht="15" thickBot="1" x14ac:dyDescent="0.3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</row>
    <row r="225" spans="1:28" ht="15" thickBot="1" x14ac:dyDescent="0.3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</row>
    <row r="226" spans="1:28" ht="15" thickBot="1" x14ac:dyDescent="0.3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</row>
    <row r="227" spans="1:28" ht="15" thickBot="1" x14ac:dyDescent="0.3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</row>
    <row r="228" spans="1:28" ht="15" thickBot="1" x14ac:dyDescent="0.3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</row>
    <row r="229" spans="1:28" ht="15" thickBot="1" x14ac:dyDescent="0.3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</row>
    <row r="230" spans="1:28" ht="15" thickBot="1" x14ac:dyDescent="0.3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</row>
    <row r="231" spans="1:28" ht="15" thickBot="1" x14ac:dyDescent="0.3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</row>
    <row r="232" spans="1:28" ht="15" thickBot="1" x14ac:dyDescent="0.3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</row>
    <row r="233" spans="1:28" ht="15" thickBot="1" x14ac:dyDescent="0.3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</row>
    <row r="234" spans="1:28" ht="15" thickBot="1" x14ac:dyDescent="0.3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</row>
    <row r="235" spans="1:28" ht="15" thickBot="1" x14ac:dyDescent="0.3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</row>
    <row r="236" spans="1:28" ht="15" thickBot="1" x14ac:dyDescent="0.3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</row>
    <row r="237" spans="1:28" ht="15" thickBot="1" x14ac:dyDescent="0.3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</row>
    <row r="238" spans="1:28" ht="15" thickBot="1" x14ac:dyDescent="0.3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</row>
    <row r="239" spans="1:28" ht="15" thickBot="1" x14ac:dyDescent="0.3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</row>
    <row r="240" spans="1:28" ht="15" thickBot="1" x14ac:dyDescent="0.3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</row>
    <row r="241" spans="1:28" ht="15" thickBot="1" x14ac:dyDescent="0.3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</row>
    <row r="242" spans="1:28" ht="15" thickBot="1" x14ac:dyDescent="0.3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</row>
    <row r="243" spans="1:28" ht="15" thickBot="1" x14ac:dyDescent="0.3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</row>
    <row r="244" spans="1:28" ht="15" thickBot="1" x14ac:dyDescent="0.3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</row>
    <row r="245" spans="1:28" ht="15" thickBot="1" x14ac:dyDescent="0.3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</row>
    <row r="246" spans="1:28" ht="15" thickBot="1" x14ac:dyDescent="0.3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</row>
    <row r="247" spans="1:28" ht="15" thickBot="1" x14ac:dyDescent="0.3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</row>
    <row r="248" spans="1:28" ht="15" thickBot="1" x14ac:dyDescent="0.3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</row>
    <row r="249" spans="1:28" ht="15" thickBot="1" x14ac:dyDescent="0.3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</row>
    <row r="250" spans="1:28" ht="15" thickBot="1" x14ac:dyDescent="0.3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</row>
    <row r="251" spans="1:28" ht="15" thickBot="1" x14ac:dyDescent="0.3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</row>
    <row r="252" spans="1:28" ht="15" thickBot="1" x14ac:dyDescent="0.3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</row>
    <row r="253" spans="1:28" ht="15" thickBot="1" x14ac:dyDescent="0.3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</row>
    <row r="254" spans="1:28" ht="15" thickBot="1" x14ac:dyDescent="0.3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</row>
    <row r="255" spans="1:28" ht="15" thickBot="1" x14ac:dyDescent="0.3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</row>
    <row r="256" spans="1:28" ht="15" thickBot="1" x14ac:dyDescent="0.3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</row>
    <row r="257" spans="1:28" ht="15" thickBot="1" x14ac:dyDescent="0.3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</row>
    <row r="258" spans="1:28" ht="15" thickBot="1" x14ac:dyDescent="0.3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</row>
    <row r="259" spans="1:28" ht="15" thickBot="1" x14ac:dyDescent="0.3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</row>
    <row r="260" spans="1:28" ht="15" thickBot="1" x14ac:dyDescent="0.3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</row>
    <row r="261" spans="1:28" ht="15" thickBot="1" x14ac:dyDescent="0.3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</row>
    <row r="262" spans="1:28" ht="15" thickBot="1" x14ac:dyDescent="0.3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</row>
    <row r="263" spans="1:28" ht="15" thickBot="1" x14ac:dyDescent="0.3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</row>
    <row r="264" spans="1:28" ht="15" thickBot="1" x14ac:dyDescent="0.3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</row>
    <row r="265" spans="1:28" ht="15" thickBot="1" x14ac:dyDescent="0.3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</row>
    <row r="266" spans="1:28" ht="15" thickBot="1" x14ac:dyDescent="0.3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</row>
    <row r="267" spans="1:28" ht="15" thickBot="1" x14ac:dyDescent="0.3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</row>
    <row r="268" spans="1:28" ht="15" thickBot="1" x14ac:dyDescent="0.3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</row>
    <row r="269" spans="1:28" ht="15" thickBot="1" x14ac:dyDescent="0.3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</row>
    <row r="270" spans="1:28" ht="15" thickBot="1" x14ac:dyDescent="0.3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</row>
    <row r="271" spans="1:28" ht="15" thickBot="1" x14ac:dyDescent="0.3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</row>
    <row r="272" spans="1:28" ht="15" thickBot="1" x14ac:dyDescent="0.3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</row>
    <row r="273" spans="1:28" ht="15" thickBot="1" x14ac:dyDescent="0.3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</row>
    <row r="274" spans="1:28" ht="15" thickBot="1" x14ac:dyDescent="0.3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</row>
    <row r="275" spans="1:28" ht="15" thickBot="1" x14ac:dyDescent="0.3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</row>
    <row r="276" spans="1:28" ht="15" thickBot="1" x14ac:dyDescent="0.3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</row>
    <row r="277" spans="1:28" ht="15" thickBot="1" x14ac:dyDescent="0.3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</row>
    <row r="278" spans="1:28" ht="15" thickBot="1" x14ac:dyDescent="0.3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</row>
    <row r="279" spans="1:28" ht="15" thickBot="1" x14ac:dyDescent="0.3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</row>
    <row r="280" spans="1:28" ht="15" thickBot="1" x14ac:dyDescent="0.3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</row>
    <row r="281" spans="1:28" ht="15" thickBot="1" x14ac:dyDescent="0.3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</row>
    <row r="282" spans="1:28" ht="15" thickBot="1" x14ac:dyDescent="0.3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</row>
    <row r="283" spans="1:28" ht="15" thickBot="1" x14ac:dyDescent="0.3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</row>
    <row r="284" spans="1:28" ht="15" thickBot="1" x14ac:dyDescent="0.3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</row>
    <row r="285" spans="1:28" ht="15" thickBot="1" x14ac:dyDescent="0.3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</row>
    <row r="286" spans="1:28" ht="15" thickBot="1" x14ac:dyDescent="0.3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</row>
    <row r="287" spans="1:28" ht="15" thickBot="1" x14ac:dyDescent="0.3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</row>
    <row r="288" spans="1:28" ht="15" thickBot="1" x14ac:dyDescent="0.3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</row>
    <row r="289" spans="1:28" ht="15" thickBot="1" x14ac:dyDescent="0.3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</row>
    <row r="290" spans="1:28" ht="15" thickBot="1" x14ac:dyDescent="0.3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</row>
    <row r="291" spans="1:28" ht="15" thickBot="1" x14ac:dyDescent="0.3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</row>
    <row r="292" spans="1:28" ht="15" thickBot="1" x14ac:dyDescent="0.3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</row>
    <row r="293" spans="1:28" ht="15" thickBot="1" x14ac:dyDescent="0.3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</row>
    <row r="294" spans="1:28" ht="15" thickBot="1" x14ac:dyDescent="0.3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</row>
    <row r="295" spans="1:28" ht="15" thickBot="1" x14ac:dyDescent="0.3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</row>
    <row r="296" spans="1:28" ht="15" thickBot="1" x14ac:dyDescent="0.3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</row>
    <row r="297" spans="1:28" ht="15" thickBot="1" x14ac:dyDescent="0.3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</row>
    <row r="298" spans="1:28" ht="15" thickBot="1" x14ac:dyDescent="0.3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</row>
    <row r="299" spans="1:28" ht="15" thickBot="1" x14ac:dyDescent="0.3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</row>
    <row r="300" spans="1:28" ht="15" thickBot="1" x14ac:dyDescent="0.3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</row>
    <row r="301" spans="1:28" ht="15" thickBot="1" x14ac:dyDescent="0.3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</row>
    <row r="302" spans="1:28" ht="15" thickBot="1" x14ac:dyDescent="0.3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</row>
    <row r="303" spans="1:28" ht="15" thickBot="1" x14ac:dyDescent="0.3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</row>
    <row r="304" spans="1:28" ht="15" thickBot="1" x14ac:dyDescent="0.3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</row>
    <row r="305" spans="1:28" ht="15" thickBot="1" x14ac:dyDescent="0.3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</row>
    <row r="306" spans="1:28" ht="15" thickBot="1" x14ac:dyDescent="0.3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</row>
    <row r="307" spans="1:28" ht="15" thickBot="1" x14ac:dyDescent="0.3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</row>
    <row r="308" spans="1:28" ht="15" thickBot="1" x14ac:dyDescent="0.3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</row>
    <row r="309" spans="1:28" ht="15" thickBot="1" x14ac:dyDescent="0.3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</row>
    <row r="310" spans="1:28" ht="15" thickBot="1" x14ac:dyDescent="0.3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</row>
    <row r="311" spans="1:28" ht="15" thickBot="1" x14ac:dyDescent="0.3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</row>
    <row r="312" spans="1:28" ht="15" thickBot="1" x14ac:dyDescent="0.3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</row>
    <row r="313" spans="1:28" ht="15" thickBot="1" x14ac:dyDescent="0.3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</row>
    <row r="314" spans="1:28" ht="15" thickBot="1" x14ac:dyDescent="0.3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</row>
    <row r="315" spans="1:28" ht="15" thickBot="1" x14ac:dyDescent="0.3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</row>
    <row r="316" spans="1:28" ht="15" thickBot="1" x14ac:dyDescent="0.3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</row>
    <row r="317" spans="1:28" ht="15" thickBot="1" x14ac:dyDescent="0.3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</row>
    <row r="318" spans="1:28" ht="15" thickBot="1" x14ac:dyDescent="0.3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</row>
    <row r="319" spans="1:28" ht="15" thickBot="1" x14ac:dyDescent="0.3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</row>
    <row r="320" spans="1:28" ht="15" thickBot="1" x14ac:dyDescent="0.3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</row>
    <row r="321" spans="1:28" ht="15" thickBot="1" x14ac:dyDescent="0.3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</row>
    <row r="322" spans="1:28" ht="15" thickBot="1" x14ac:dyDescent="0.3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</row>
    <row r="323" spans="1:28" ht="15" thickBot="1" x14ac:dyDescent="0.3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</row>
    <row r="324" spans="1:28" ht="15" thickBot="1" x14ac:dyDescent="0.3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</row>
    <row r="325" spans="1:28" ht="15" thickBot="1" x14ac:dyDescent="0.3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</row>
    <row r="326" spans="1:28" ht="15" thickBot="1" x14ac:dyDescent="0.3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</row>
    <row r="327" spans="1:28" ht="15" thickBot="1" x14ac:dyDescent="0.3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</row>
    <row r="328" spans="1:28" ht="15" thickBot="1" x14ac:dyDescent="0.3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</row>
    <row r="329" spans="1:28" ht="15" thickBot="1" x14ac:dyDescent="0.3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</row>
    <row r="330" spans="1:28" ht="15" thickBot="1" x14ac:dyDescent="0.3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</row>
    <row r="331" spans="1:28" ht="15" thickBot="1" x14ac:dyDescent="0.3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</row>
    <row r="332" spans="1:28" ht="15" thickBot="1" x14ac:dyDescent="0.3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</row>
    <row r="333" spans="1:28" ht="15" thickBot="1" x14ac:dyDescent="0.3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</row>
    <row r="334" spans="1:28" ht="15" thickBot="1" x14ac:dyDescent="0.3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</row>
    <row r="335" spans="1:28" ht="15" thickBot="1" x14ac:dyDescent="0.3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</row>
    <row r="336" spans="1:28" ht="15" thickBot="1" x14ac:dyDescent="0.3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</row>
    <row r="337" spans="1:28" ht="15" thickBot="1" x14ac:dyDescent="0.3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</row>
    <row r="338" spans="1:28" ht="15" thickBot="1" x14ac:dyDescent="0.3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</row>
    <row r="339" spans="1:28" ht="15" thickBot="1" x14ac:dyDescent="0.3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</row>
    <row r="340" spans="1:28" ht="15" thickBot="1" x14ac:dyDescent="0.3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</row>
    <row r="341" spans="1:28" ht="15" thickBot="1" x14ac:dyDescent="0.3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</row>
    <row r="342" spans="1:28" ht="15" thickBot="1" x14ac:dyDescent="0.3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</row>
    <row r="343" spans="1:28" ht="15" thickBot="1" x14ac:dyDescent="0.3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</row>
    <row r="344" spans="1:28" ht="15" thickBot="1" x14ac:dyDescent="0.3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</row>
    <row r="345" spans="1:28" ht="15" thickBot="1" x14ac:dyDescent="0.3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</row>
    <row r="346" spans="1:28" ht="15" thickBot="1" x14ac:dyDescent="0.3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</row>
    <row r="347" spans="1:28" ht="15" thickBot="1" x14ac:dyDescent="0.3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</row>
    <row r="348" spans="1:28" ht="15" thickBot="1" x14ac:dyDescent="0.3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</row>
    <row r="349" spans="1:28" ht="15" thickBot="1" x14ac:dyDescent="0.3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</row>
    <row r="350" spans="1:28" ht="15" thickBot="1" x14ac:dyDescent="0.3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</row>
    <row r="351" spans="1:28" ht="15" thickBot="1" x14ac:dyDescent="0.3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</row>
    <row r="352" spans="1:28" ht="15" thickBot="1" x14ac:dyDescent="0.3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</row>
    <row r="353" spans="1:28" ht="15" thickBot="1" x14ac:dyDescent="0.3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</row>
    <row r="354" spans="1:28" ht="15" thickBot="1" x14ac:dyDescent="0.3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</row>
    <row r="355" spans="1:28" ht="15" thickBot="1" x14ac:dyDescent="0.3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</row>
    <row r="356" spans="1:28" ht="15" thickBot="1" x14ac:dyDescent="0.3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</row>
    <row r="357" spans="1:28" ht="15" thickBot="1" x14ac:dyDescent="0.3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</row>
    <row r="358" spans="1:28" ht="15" thickBot="1" x14ac:dyDescent="0.3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</row>
    <row r="359" spans="1:28" ht="15" thickBot="1" x14ac:dyDescent="0.3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</row>
    <row r="360" spans="1:28" ht="15" thickBot="1" x14ac:dyDescent="0.3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</row>
    <row r="361" spans="1:28" ht="15" thickBot="1" x14ac:dyDescent="0.3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</row>
    <row r="362" spans="1:28" ht="15" thickBot="1" x14ac:dyDescent="0.3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</row>
    <row r="363" spans="1:28" ht="15" thickBot="1" x14ac:dyDescent="0.3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</row>
    <row r="364" spans="1:28" ht="15" thickBot="1" x14ac:dyDescent="0.3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</row>
    <row r="365" spans="1:28" ht="15" thickBot="1" x14ac:dyDescent="0.3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</row>
    <row r="366" spans="1:28" ht="15" thickBot="1" x14ac:dyDescent="0.3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</row>
    <row r="367" spans="1:28" ht="15" thickBot="1" x14ac:dyDescent="0.3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</row>
    <row r="368" spans="1:28" ht="15" thickBot="1" x14ac:dyDescent="0.3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</row>
    <row r="369" spans="1:28" ht="15" thickBot="1" x14ac:dyDescent="0.3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</row>
    <row r="370" spans="1:28" ht="15" thickBot="1" x14ac:dyDescent="0.3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</row>
    <row r="371" spans="1:28" ht="15" thickBot="1" x14ac:dyDescent="0.3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</row>
    <row r="372" spans="1:28" ht="15" thickBot="1" x14ac:dyDescent="0.3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</row>
    <row r="373" spans="1:28" ht="15" thickBot="1" x14ac:dyDescent="0.3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</row>
    <row r="374" spans="1:28" ht="15" thickBot="1" x14ac:dyDescent="0.3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</row>
    <row r="375" spans="1:28" ht="15" thickBot="1" x14ac:dyDescent="0.3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</row>
    <row r="376" spans="1:28" ht="15" thickBot="1" x14ac:dyDescent="0.3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</row>
    <row r="377" spans="1:28" ht="15" thickBot="1" x14ac:dyDescent="0.3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</row>
    <row r="378" spans="1:28" ht="15" thickBot="1" x14ac:dyDescent="0.3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</row>
    <row r="379" spans="1:28" ht="15" thickBot="1" x14ac:dyDescent="0.3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</row>
    <row r="380" spans="1:28" ht="15" thickBot="1" x14ac:dyDescent="0.3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</row>
    <row r="381" spans="1:28" ht="15" thickBot="1" x14ac:dyDescent="0.3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</row>
    <row r="382" spans="1:28" ht="15" thickBot="1" x14ac:dyDescent="0.3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</row>
    <row r="383" spans="1:28" ht="15" thickBot="1" x14ac:dyDescent="0.3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</row>
    <row r="384" spans="1:28" ht="15" thickBot="1" x14ac:dyDescent="0.3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</row>
    <row r="385" spans="1:28" ht="15" thickBot="1" x14ac:dyDescent="0.3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</row>
    <row r="386" spans="1:28" ht="15" thickBot="1" x14ac:dyDescent="0.3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</row>
    <row r="387" spans="1:28" ht="15" thickBot="1" x14ac:dyDescent="0.3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</row>
    <row r="388" spans="1:28" ht="15" thickBot="1" x14ac:dyDescent="0.3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</row>
    <row r="389" spans="1:28" ht="15" thickBot="1" x14ac:dyDescent="0.3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</row>
    <row r="390" spans="1:28" ht="15" thickBot="1" x14ac:dyDescent="0.3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</row>
    <row r="391" spans="1:28" ht="15" thickBot="1" x14ac:dyDescent="0.3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</row>
    <row r="392" spans="1:28" ht="15" thickBot="1" x14ac:dyDescent="0.3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</row>
    <row r="393" spans="1:28" ht="15" thickBot="1" x14ac:dyDescent="0.3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</row>
    <row r="394" spans="1:28" ht="15" thickBot="1" x14ac:dyDescent="0.3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</row>
    <row r="395" spans="1:28" ht="15" thickBot="1" x14ac:dyDescent="0.3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</row>
    <row r="396" spans="1:28" ht="15" thickBot="1" x14ac:dyDescent="0.3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</row>
    <row r="397" spans="1:28" ht="15" thickBot="1" x14ac:dyDescent="0.3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</row>
    <row r="398" spans="1:28" ht="15" thickBot="1" x14ac:dyDescent="0.3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</row>
    <row r="399" spans="1:28" ht="15" thickBot="1" x14ac:dyDescent="0.3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</row>
    <row r="400" spans="1:28" ht="15" thickBot="1" x14ac:dyDescent="0.3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</row>
    <row r="401" spans="1:28" ht="15" thickBot="1" x14ac:dyDescent="0.3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</row>
    <row r="402" spans="1:28" ht="15" thickBot="1" x14ac:dyDescent="0.3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</row>
    <row r="403" spans="1:28" ht="15" thickBot="1" x14ac:dyDescent="0.3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</row>
    <row r="404" spans="1:28" ht="15" thickBot="1" x14ac:dyDescent="0.3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</row>
    <row r="405" spans="1:28" ht="15" thickBot="1" x14ac:dyDescent="0.3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</row>
    <row r="406" spans="1:28" ht="15" thickBot="1" x14ac:dyDescent="0.3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</row>
    <row r="407" spans="1:28" ht="15" thickBot="1" x14ac:dyDescent="0.3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</row>
    <row r="408" spans="1:28" ht="15" thickBot="1" x14ac:dyDescent="0.3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</row>
    <row r="409" spans="1:28" ht="15" thickBot="1" x14ac:dyDescent="0.3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</row>
    <row r="410" spans="1:28" ht="15" thickBot="1" x14ac:dyDescent="0.3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</row>
    <row r="411" spans="1:28" ht="15" thickBot="1" x14ac:dyDescent="0.3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</row>
    <row r="412" spans="1:28" ht="15" thickBot="1" x14ac:dyDescent="0.3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</row>
    <row r="413" spans="1:28" ht="15" thickBot="1" x14ac:dyDescent="0.3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</row>
    <row r="414" spans="1:28" ht="15" thickBot="1" x14ac:dyDescent="0.3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</row>
    <row r="415" spans="1:28" ht="15" thickBot="1" x14ac:dyDescent="0.3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</row>
    <row r="416" spans="1:28" ht="15" thickBot="1" x14ac:dyDescent="0.3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</row>
    <row r="417" spans="1:28" ht="15" thickBot="1" x14ac:dyDescent="0.3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</row>
    <row r="418" spans="1:28" ht="15" thickBot="1" x14ac:dyDescent="0.3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</row>
    <row r="419" spans="1:28" ht="15" thickBot="1" x14ac:dyDescent="0.3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</row>
    <row r="420" spans="1:28" ht="15" thickBot="1" x14ac:dyDescent="0.3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</row>
    <row r="421" spans="1:28" ht="15" thickBot="1" x14ac:dyDescent="0.3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</row>
    <row r="422" spans="1:28" ht="15" thickBot="1" x14ac:dyDescent="0.3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</row>
    <row r="423" spans="1:28" ht="15" thickBot="1" x14ac:dyDescent="0.3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</row>
    <row r="424" spans="1:28" ht="15" thickBot="1" x14ac:dyDescent="0.3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</row>
    <row r="425" spans="1:28" ht="15" thickBot="1" x14ac:dyDescent="0.3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</row>
    <row r="426" spans="1:28" ht="15" thickBot="1" x14ac:dyDescent="0.3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</row>
    <row r="427" spans="1:28" ht="15" thickBot="1" x14ac:dyDescent="0.3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</row>
    <row r="428" spans="1:28" ht="15" thickBot="1" x14ac:dyDescent="0.3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</row>
    <row r="429" spans="1:28" ht="15" thickBot="1" x14ac:dyDescent="0.3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</row>
    <row r="430" spans="1:28" ht="15" thickBot="1" x14ac:dyDescent="0.3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</row>
    <row r="431" spans="1:28" ht="15" thickBot="1" x14ac:dyDescent="0.3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</row>
    <row r="432" spans="1:28" ht="15" thickBot="1" x14ac:dyDescent="0.3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</row>
    <row r="433" spans="1:28" ht="15" thickBot="1" x14ac:dyDescent="0.3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</row>
    <row r="434" spans="1:28" ht="15" thickBot="1" x14ac:dyDescent="0.3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</row>
    <row r="435" spans="1:28" ht="15" thickBot="1" x14ac:dyDescent="0.3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</row>
    <row r="436" spans="1:28" ht="15" thickBot="1" x14ac:dyDescent="0.3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</row>
    <row r="437" spans="1:28" ht="15" thickBot="1" x14ac:dyDescent="0.3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</row>
    <row r="438" spans="1:28" ht="15" thickBot="1" x14ac:dyDescent="0.3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</row>
    <row r="439" spans="1:28" ht="15" thickBot="1" x14ac:dyDescent="0.3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</row>
    <row r="440" spans="1:28" ht="15" thickBot="1" x14ac:dyDescent="0.3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</row>
    <row r="441" spans="1:28" ht="15" thickBot="1" x14ac:dyDescent="0.3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</row>
    <row r="442" spans="1:28" ht="15" thickBot="1" x14ac:dyDescent="0.3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</row>
    <row r="443" spans="1:28" ht="15" thickBot="1" x14ac:dyDescent="0.3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</row>
    <row r="444" spans="1:28" ht="15" thickBot="1" x14ac:dyDescent="0.3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</row>
    <row r="445" spans="1:28" ht="15" thickBot="1" x14ac:dyDescent="0.3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</row>
    <row r="446" spans="1:28" ht="15" thickBot="1" x14ac:dyDescent="0.3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</row>
    <row r="447" spans="1:28" ht="15" thickBot="1" x14ac:dyDescent="0.3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</row>
    <row r="448" spans="1:28" ht="15" thickBot="1" x14ac:dyDescent="0.3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</row>
    <row r="449" spans="1:28" ht="15" thickBot="1" x14ac:dyDescent="0.3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</row>
    <row r="450" spans="1:28" ht="15" thickBot="1" x14ac:dyDescent="0.3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</row>
    <row r="451" spans="1:28" ht="15" thickBot="1" x14ac:dyDescent="0.3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</row>
    <row r="452" spans="1:28" ht="15" thickBot="1" x14ac:dyDescent="0.3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</row>
    <row r="453" spans="1:28" ht="15" thickBot="1" x14ac:dyDescent="0.3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</row>
    <row r="454" spans="1:28" ht="15" thickBot="1" x14ac:dyDescent="0.3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</row>
    <row r="455" spans="1:28" ht="15" thickBot="1" x14ac:dyDescent="0.3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</row>
    <row r="456" spans="1:28" ht="15" thickBot="1" x14ac:dyDescent="0.3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</row>
    <row r="457" spans="1:28" ht="15" thickBot="1" x14ac:dyDescent="0.3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</row>
    <row r="458" spans="1:28" ht="15" thickBot="1" x14ac:dyDescent="0.3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</row>
    <row r="459" spans="1:28" ht="15" thickBot="1" x14ac:dyDescent="0.3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</row>
    <row r="460" spans="1:28" ht="15" thickBot="1" x14ac:dyDescent="0.3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</row>
    <row r="461" spans="1:28" ht="15" thickBot="1" x14ac:dyDescent="0.3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</row>
    <row r="462" spans="1:28" ht="15" thickBot="1" x14ac:dyDescent="0.3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</row>
    <row r="463" spans="1:28" ht="15" thickBot="1" x14ac:dyDescent="0.3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</row>
    <row r="464" spans="1:28" ht="15" thickBot="1" x14ac:dyDescent="0.3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</row>
    <row r="465" spans="1:28" ht="15" thickBot="1" x14ac:dyDescent="0.3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</row>
    <row r="466" spans="1:28" ht="15" thickBot="1" x14ac:dyDescent="0.3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</row>
    <row r="467" spans="1:28" ht="15" thickBot="1" x14ac:dyDescent="0.3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</row>
    <row r="468" spans="1:28" ht="15" thickBot="1" x14ac:dyDescent="0.3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</row>
    <row r="469" spans="1:28" ht="15" thickBot="1" x14ac:dyDescent="0.3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</row>
    <row r="470" spans="1:28" ht="15" thickBot="1" x14ac:dyDescent="0.3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</row>
    <row r="471" spans="1:28" ht="15" thickBot="1" x14ac:dyDescent="0.3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</row>
    <row r="472" spans="1:28" ht="15" thickBot="1" x14ac:dyDescent="0.3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</row>
    <row r="473" spans="1:28" ht="15" thickBot="1" x14ac:dyDescent="0.3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</row>
    <row r="474" spans="1:28" ht="15" thickBot="1" x14ac:dyDescent="0.3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</row>
    <row r="475" spans="1:28" ht="15" thickBot="1" x14ac:dyDescent="0.3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</row>
    <row r="476" spans="1:28" ht="15" thickBot="1" x14ac:dyDescent="0.3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</row>
    <row r="477" spans="1:28" ht="15" thickBot="1" x14ac:dyDescent="0.3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</row>
    <row r="478" spans="1:28" ht="15" thickBot="1" x14ac:dyDescent="0.3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</row>
    <row r="479" spans="1:28" ht="15" thickBot="1" x14ac:dyDescent="0.3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</row>
    <row r="480" spans="1:28" ht="15" thickBot="1" x14ac:dyDescent="0.3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</row>
    <row r="481" spans="1:28" ht="15" thickBot="1" x14ac:dyDescent="0.3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</row>
    <row r="482" spans="1:28" ht="15" thickBot="1" x14ac:dyDescent="0.3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</row>
    <row r="483" spans="1:28" ht="15" thickBot="1" x14ac:dyDescent="0.3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</row>
    <row r="484" spans="1:28" ht="15" thickBot="1" x14ac:dyDescent="0.3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</row>
    <row r="485" spans="1:28" ht="15" thickBot="1" x14ac:dyDescent="0.3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</row>
    <row r="486" spans="1:28" ht="15" thickBot="1" x14ac:dyDescent="0.3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</row>
    <row r="487" spans="1:28" ht="15" thickBot="1" x14ac:dyDescent="0.3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</row>
    <row r="488" spans="1:28" ht="15" thickBot="1" x14ac:dyDescent="0.3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</row>
    <row r="489" spans="1:28" ht="15" thickBot="1" x14ac:dyDescent="0.3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</row>
    <row r="490" spans="1:28" ht="15" thickBot="1" x14ac:dyDescent="0.3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</row>
    <row r="491" spans="1:28" ht="15" thickBot="1" x14ac:dyDescent="0.3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</row>
    <row r="492" spans="1:28" ht="15" thickBot="1" x14ac:dyDescent="0.3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</row>
    <row r="493" spans="1:28" ht="15" thickBot="1" x14ac:dyDescent="0.3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</row>
    <row r="494" spans="1:28" ht="15" thickBot="1" x14ac:dyDescent="0.3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</row>
    <row r="495" spans="1:28" ht="15" thickBot="1" x14ac:dyDescent="0.3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</row>
    <row r="496" spans="1:28" ht="15" thickBot="1" x14ac:dyDescent="0.3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</row>
    <row r="497" spans="1:28" ht="15" thickBot="1" x14ac:dyDescent="0.3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</row>
    <row r="498" spans="1:28" ht="15" thickBot="1" x14ac:dyDescent="0.3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</row>
    <row r="499" spans="1:28" ht="15" thickBot="1" x14ac:dyDescent="0.3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</row>
    <row r="500" spans="1:28" ht="15" thickBot="1" x14ac:dyDescent="0.35">
      <c r="A500" s="8"/>
      <c r="B500" s="8"/>
      <c r="C500" s="8"/>
      <c r="D500" s="8"/>
      <c r="E500" s="8"/>
      <c r="F500" s="8"/>
      <c r="G500" s="6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</row>
    <row r="501" spans="1:28" ht="15" thickBot="1" x14ac:dyDescent="0.35">
      <c r="A501" s="8"/>
      <c r="B501" s="8"/>
      <c r="C501" s="8"/>
      <c r="D501" s="8"/>
      <c r="E501" s="8"/>
      <c r="F501" s="8"/>
      <c r="G501" s="6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</row>
    <row r="502" spans="1:28" ht="15" thickBot="1" x14ac:dyDescent="0.35">
      <c r="A502" s="8"/>
      <c r="B502" s="8"/>
      <c r="C502" s="8"/>
      <c r="D502" s="8"/>
      <c r="E502" s="8"/>
      <c r="F502" s="8"/>
      <c r="G502" s="6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</row>
    <row r="503" spans="1:28" ht="15" thickBot="1" x14ac:dyDescent="0.35">
      <c r="A503" s="8"/>
      <c r="B503" s="8"/>
      <c r="C503" s="8"/>
      <c r="D503" s="8"/>
      <c r="E503" s="8"/>
      <c r="F503" s="8"/>
      <c r="G503" s="6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</row>
    <row r="504" spans="1:28" ht="15" thickBot="1" x14ac:dyDescent="0.35">
      <c r="A504" s="8"/>
      <c r="B504" s="8"/>
      <c r="C504" s="8"/>
      <c r="D504" s="8"/>
      <c r="E504" s="8"/>
      <c r="F504" s="8"/>
      <c r="G504" s="6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</row>
    <row r="505" spans="1:28" ht="15" thickBot="1" x14ac:dyDescent="0.35">
      <c r="A505" s="8"/>
      <c r="B505" s="8"/>
      <c r="C505" s="8"/>
      <c r="D505" s="8"/>
      <c r="E505" s="8"/>
      <c r="F505" s="8"/>
      <c r="G505" s="6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</row>
    <row r="506" spans="1:28" ht="15" thickBot="1" x14ac:dyDescent="0.35">
      <c r="A506" s="8"/>
      <c r="B506" s="8"/>
      <c r="C506" s="8"/>
      <c r="D506" s="8"/>
      <c r="E506" s="8"/>
      <c r="F506" s="8"/>
      <c r="G506" s="6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</row>
    <row r="507" spans="1:28" ht="15" thickBot="1" x14ac:dyDescent="0.35">
      <c r="A507" s="8"/>
      <c r="B507" s="8"/>
      <c r="C507" s="8"/>
      <c r="D507" s="8"/>
      <c r="E507" s="8"/>
      <c r="F507" s="8"/>
      <c r="G507" s="6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</row>
    <row r="508" spans="1:28" ht="15" thickBot="1" x14ac:dyDescent="0.35">
      <c r="A508" s="8"/>
      <c r="B508" s="8"/>
      <c r="C508" s="8"/>
      <c r="D508" s="8"/>
      <c r="E508" s="8"/>
      <c r="F508" s="8"/>
      <c r="G508" s="6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</row>
    <row r="509" spans="1:28" ht="15" thickBot="1" x14ac:dyDescent="0.35">
      <c r="A509" s="8"/>
      <c r="B509" s="8"/>
      <c r="C509" s="8"/>
      <c r="D509" s="8"/>
      <c r="E509" s="8"/>
      <c r="F509" s="8"/>
      <c r="G509" s="6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</row>
    <row r="510" spans="1:28" ht="15" thickBot="1" x14ac:dyDescent="0.35">
      <c r="A510" s="8"/>
      <c r="B510" s="8"/>
      <c r="C510" s="8"/>
      <c r="D510" s="8"/>
      <c r="E510" s="8"/>
      <c r="F510" s="8"/>
      <c r="G510" s="6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</row>
    <row r="511" spans="1:28" ht="15" thickBot="1" x14ac:dyDescent="0.35">
      <c r="A511" s="8"/>
      <c r="B511" s="8"/>
      <c r="C511" s="8"/>
      <c r="D511" s="8"/>
      <c r="E511" s="8"/>
      <c r="F511" s="8"/>
      <c r="G511" s="6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</row>
    <row r="512" spans="1:28" ht="15" thickBot="1" x14ac:dyDescent="0.35">
      <c r="A512" s="8"/>
      <c r="B512" s="8"/>
      <c r="C512" s="8"/>
      <c r="D512" s="8"/>
      <c r="E512" s="8"/>
      <c r="F512" s="8"/>
      <c r="G512" s="6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</row>
    <row r="513" spans="1:28" ht="15" thickBot="1" x14ac:dyDescent="0.35">
      <c r="A513" s="8"/>
      <c r="B513" s="8"/>
      <c r="C513" s="8"/>
      <c r="D513" s="8"/>
      <c r="E513" s="8"/>
      <c r="F513" s="8"/>
      <c r="G513" s="6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</row>
    <row r="514" spans="1:28" ht="15" thickBot="1" x14ac:dyDescent="0.35">
      <c r="A514" s="8"/>
      <c r="B514" s="8"/>
      <c r="C514" s="8"/>
      <c r="D514" s="8"/>
      <c r="E514" s="8"/>
      <c r="F514" s="8"/>
      <c r="G514" s="6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</row>
    <row r="515" spans="1:28" ht="15" thickBot="1" x14ac:dyDescent="0.35">
      <c r="A515" s="8"/>
      <c r="B515" s="8"/>
      <c r="C515" s="8"/>
      <c r="D515" s="8"/>
      <c r="E515" s="8"/>
      <c r="F515" s="8"/>
      <c r="G515" s="6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</row>
    <row r="516" spans="1:28" ht="15" thickBot="1" x14ac:dyDescent="0.35">
      <c r="A516" s="8"/>
      <c r="B516" s="8"/>
      <c r="C516" s="8"/>
      <c r="D516" s="8"/>
      <c r="E516" s="8"/>
      <c r="F516" s="8"/>
      <c r="G516" s="6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</row>
    <row r="517" spans="1:28" ht="15" thickBot="1" x14ac:dyDescent="0.35">
      <c r="A517" s="8"/>
      <c r="B517" s="8"/>
      <c r="C517" s="8"/>
      <c r="D517" s="8"/>
      <c r="E517" s="8"/>
      <c r="F517" s="8"/>
      <c r="G517" s="6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</row>
    <row r="518" spans="1:28" ht="15" thickBot="1" x14ac:dyDescent="0.35">
      <c r="A518" s="8"/>
      <c r="B518" s="8"/>
      <c r="C518" s="8"/>
      <c r="D518" s="8"/>
      <c r="E518" s="8"/>
      <c r="F518" s="8"/>
      <c r="G518" s="6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</row>
    <row r="519" spans="1:28" ht="15" thickBot="1" x14ac:dyDescent="0.35">
      <c r="A519" s="8"/>
      <c r="B519" s="8"/>
      <c r="C519" s="8"/>
      <c r="D519" s="8"/>
      <c r="E519" s="8"/>
      <c r="F519" s="8"/>
      <c r="G519" s="6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</row>
    <row r="520" spans="1:28" ht="15" thickBot="1" x14ac:dyDescent="0.35">
      <c r="A520" s="8"/>
      <c r="B520" s="8"/>
      <c r="C520" s="8"/>
      <c r="D520" s="8"/>
      <c r="E520" s="8"/>
      <c r="F520" s="8"/>
      <c r="G520" s="6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</row>
    <row r="521" spans="1:28" ht="15" thickBot="1" x14ac:dyDescent="0.35">
      <c r="A521" s="8"/>
      <c r="B521" s="8"/>
      <c r="C521" s="8"/>
      <c r="D521" s="8"/>
      <c r="E521" s="8"/>
      <c r="F521" s="8"/>
      <c r="G521" s="6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</row>
    <row r="522" spans="1:28" ht="15" thickBot="1" x14ac:dyDescent="0.35">
      <c r="A522" s="8"/>
      <c r="B522" s="8"/>
      <c r="C522" s="8"/>
      <c r="D522" s="8"/>
      <c r="E522" s="8"/>
      <c r="F522" s="8"/>
      <c r="G522" s="6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</row>
    <row r="523" spans="1:28" ht="15" thickBot="1" x14ac:dyDescent="0.35">
      <c r="A523" s="8"/>
      <c r="B523" s="8"/>
      <c r="C523" s="8"/>
      <c r="D523" s="8"/>
      <c r="E523" s="8"/>
      <c r="F523" s="8"/>
      <c r="G523" s="6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</row>
    <row r="524" spans="1:28" ht="15" thickBot="1" x14ac:dyDescent="0.35">
      <c r="A524" s="8"/>
      <c r="B524" s="8"/>
      <c r="C524" s="8"/>
      <c r="D524" s="8"/>
      <c r="E524" s="8"/>
      <c r="F524" s="8"/>
      <c r="G524" s="6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</row>
    <row r="525" spans="1:28" ht="15" thickBot="1" x14ac:dyDescent="0.35">
      <c r="A525" s="8"/>
      <c r="B525" s="8"/>
      <c r="C525" s="8"/>
      <c r="D525" s="8"/>
      <c r="E525" s="8"/>
      <c r="F525" s="8"/>
      <c r="G525" s="6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</row>
    <row r="526" spans="1:28" ht="15" thickBot="1" x14ac:dyDescent="0.35">
      <c r="A526" s="8"/>
      <c r="B526" s="8"/>
      <c r="C526" s="8"/>
      <c r="D526" s="8"/>
      <c r="E526" s="8"/>
      <c r="F526" s="8"/>
      <c r="G526" s="6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</row>
    <row r="527" spans="1:28" ht="15" thickBot="1" x14ac:dyDescent="0.35">
      <c r="A527" s="8"/>
      <c r="B527" s="8"/>
      <c r="C527" s="8"/>
      <c r="D527" s="8"/>
      <c r="E527" s="8"/>
      <c r="F527" s="8"/>
      <c r="G527" s="6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</row>
    <row r="528" spans="1:28" ht="15" thickBot="1" x14ac:dyDescent="0.35">
      <c r="A528" s="8"/>
      <c r="B528" s="8"/>
      <c r="C528" s="8"/>
      <c r="D528" s="8"/>
      <c r="E528" s="8"/>
      <c r="F528" s="8"/>
      <c r="G528" s="6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</row>
    <row r="529" spans="1:28" ht="15" thickBot="1" x14ac:dyDescent="0.35">
      <c r="A529" s="8"/>
      <c r="B529" s="8"/>
      <c r="C529" s="8"/>
      <c r="D529" s="8"/>
      <c r="E529" s="8"/>
      <c r="F529" s="8"/>
      <c r="G529" s="6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</row>
    <row r="530" spans="1:28" ht="15" thickBot="1" x14ac:dyDescent="0.35">
      <c r="A530" s="8"/>
      <c r="B530" s="8"/>
      <c r="C530" s="8"/>
      <c r="D530" s="8"/>
      <c r="E530" s="8"/>
      <c r="F530" s="8"/>
      <c r="G530" s="6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</row>
    <row r="531" spans="1:28" ht="15" thickBot="1" x14ac:dyDescent="0.35">
      <c r="A531" s="8"/>
      <c r="B531" s="8"/>
      <c r="C531" s="8"/>
      <c r="D531" s="8"/>
      <c r="E531" s="8"/>
      <c r="F531" s="8"/>
      <c r="G531" s="6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</row>
    <row r="532" spans="1:28" ht="15" thickBot="1" x14ac:dyDescent="0.35">
      <c r="A532" s="8"/>
      <c r="B532" s="8"/>
      <c r="C532" s="8"/>
      <c r="D532" s="8"/>
      <c r="E532" s="8"/>
      <c r="F532" s="8"/>
      <c r="G532" s="6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</row>
    <row r="533" spans="1:28" ht="15" thickBot="1" x14ac:dyDescent="0.35">
      <c r="A533" s="8"/>
      <c r="B533" s="8"/>
      <c r="C533" s="8"/>
      <c r="D533" s="8"/>
      <c r="E533" s="8"/>
      <c r="F533" s="8"/>
      <c r="G533" s="6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</row>
    <row r="534" spans="1:28" ht="15" thickBot="1" x14ac:dyDescent="0.35">
      <c r="A534" s="8"/>
      <c r="B534" s="8"/>
      <c r="C534" s="8"/>
      <c r="D534" s="8"/>
      <c r="E534" s="8"/>
      <c r="F534" s="8"/>
      <c r="G534" s="6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</row>
    <row r="535" spans="1:28" ht="15" thickBot="1" x14ac:dyDescent="0.35">
      <c r="A535" s="8"/>
      <c r="B535" s="8"/>
      <c r="C535" s="8"/>
      <c r="D535" s="8"/>
      <c r="E535" s="8"/>
      <c r="F535" s="8"/>
      <c r="G535" s="6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</row>
    <row r="536" spans="1:28" ht="15" thickBot="1" x14ac:dyDescent="0.35">
      <c r="A536" s="8"/>
      <c r="B536" s="8"/>
      <c r="C536" s="8"/>
      <c r="D536" s="8"/>
      <c r="E536" s="8"/>
      <c r="F536" s="8"/>
      <c r="G536" s="6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</row>
    <row r="537" spans="1:28" ht="15" thickBot="1" x14ac:dyDescent="0.35">
      <c r="A537" s="8"/>
      <c r="B537" s="8"/>
      <c r="C537" s="8"/>
      <c r="D537" s="8"/>
      <c r="E537" s="8"/>
      <c r="F537" s="8"/>
      <c r="G537" s="6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</row>
    <row r="538" spans="1:28" ht="15" thickBot="1" x14ac:dyDescent="0.35">
      <c r="A538" s="8"/>
      <c r="B538" s="8"/>
      <c r="C538" s="8"/>
      <c r="D538" s="8"/>
      <c r="E538" s="8"/>
      <c r="F538" s="8"/>
      <c r="G538" s="6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</row>
    <row r="539" spans="1:28" ht="15" thickBot="1" x14ac:dyDescent="0.35">
      <c r="A539" s="8"/>
      <c r="B539" s="8"/>
      <c r="C539" s="8"/>
      <c r="D539" s="8"/>
      <c r="E539" s="8"/>
      <c r="F539" s="8"/>
      <c r="G539" s="6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</row>
    <row r="540" spans="1:28" ht="15" thickBot="1" x14ac:dyDescent="0.35">
      <c r="A540" s="8"/>
      <c r="B540" s="8"/>
      <c r="C540" s="8"/>
      <c r="D540" s="8"/>
      <c r="E540" s="8"/>
      <c r="F540" s="8"/>
      <c r="G540" s="6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</row>
    <row r="541" spans="1:28" ht="15" thickBot="1" x14ac:dyDescent="0.35">
      <c r="A541" s="8"/>
      <c r="B541" s="8"/>
      <c r="C541" s="8"/>
      <c r="D541" s="8"/>
      <c r="E541" s="8"/>
      <c r="F541" s="8"/>
      <c r="G541" s="6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</row>
    <row r="542" spans="1:28" ht="15" thickBot="1" x14ac:dyDescent="0.35">
      <c r="A542" s="8"/>
      <c r="B542" s="8"/>
      <c r="C542" s="8"/>
      <c r="D542" s="8"/>
      <c r="E542" s="8"/>
      <c r="F542" s="8"/>
      <c r="G542" s="6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</row>
    <row r="543" spans="1:28" ht="15" thickBot="1" x14ac:dyDescent="0.35">
      <c r="A543" s="8"/>
      <c r="B543" s="8"/>
      <c r="C543" s="8"/>
      <c r="D543" s="8"/>
      <c r="E543" s="8"/>
      <c r="F543" s="8"/>
      <c r="G543" s="6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</row>
    <row r="544" spans="1:28" ht="15" thickBot="1" x14ac:dyDescent="0.35">
      <c r="A544" s="8"/>
      <c r="B544" s="8"/>
      <c r="C544" s="8"/>
      <c r="D544" s="8"/>
      <c r="E544" s="8"/>
      <c r="F544" s="8"/>
      <c r="G544" s="6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</row>
    <row r="545" spans="1:28" ht="15" thickBot="1" x14ac:dyDescent="0.35">
      <c r="A545" s="8"/>
      <c r="B545" s="8"/>
      <c r="C545" s="8"/>
      <c r="D545" s="8"/>
      <c r="E545" s="8"/>
      <c r="F545" s="8"/>
      <c r="G545" s="6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</row>
    <row r="546" spans="1:28" ht="15" thickBot="1" x14ac:dyDescent="0.35">
      <c r="A546" s="8"/>
      <c r="B546" s="8"/>
      <c r="C546" s="8"/>
      <c r="D546" s="8"/>
      <c r="E546" s="8"/>
      <c r="F546" s="8"/>
      <c r="G546" s="6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</row>
    <row r="547" spans="1:28" ht="15" thickBot="1" x14ac:dyDescent="0.35">
      <c r="A547" s="8"/>
      <c r="B547" s="8"/>
      <c r="C547" s="8"/>
      <c r="D547" s="8"/>
      <c r="E547" s="8"/>
      <c r="F547" s="8"/>
      <c r="G547" s="6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</row>
    <row r="548" spans="1:28" ht="15" thickBot="1" x14ac:dyDescent="0.35">
      <c r="A548" s="8"/>
      <c r="B548" s="8"/>
      <c r="C548" s="8"/>
      <c r="D548" s="8"/>
      <c r="E548" s="8"/>
      <c r="F548" s="8"/>
      <c r="G548" s="6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</row>
    <row r="549" spans="1:28" ht="15" thickBot="1" x14ac:dyDescent="0.35">
      <c r="A549" s="8"/>
      <c r="B549" s="8"/>
      <c r="C549" s="8"/>
      <c r="D549" s="8"/>
      <c r="E549" s="8"/>
      <c r="F549" s="8"/>
      <c r="G549" s="6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</row>
    <row r="550" spans="1:28" ht="15" thickBot="1" x14ac:dyDescent="0.35">
      <c r="A550" s="8"/>
      <c r="B550" s="8"/>
      <c r="C550" s="8"/>
      <c r="D550" s="8"/>
      <c r="E550" s="8"/>
      <c r="F550" s="8"/>
      <c r="G550" s="6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</row>
    <row r="551" spans="1:28" ht="15" thickBot="1" x14ac:dyDescent="0.35">
      <c r="A551" s="8"/>
      <c r="B551" s="8"/>
      <c r="C551" s="8"/>
      <c r="D551" s="8"/>
      <c r="E551" s="8"/>
      <c r="F551" s="8"/>
      <c r="G551" s="6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</row>
    <row r="552" spans="1:28" ht="15" thickBot="1" x14ac:dyDescent="0.35">
      <c r="A552" s="8"/>
      <c r="B552" s="8"/>
      <c r="C552" s="8"/>
      <c r="D552" s="8"/>
      <c r="E552" s="8"/>
      <c r="F552" s="8"/>
      <c r="G552" s="6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</row>
    <row r="553" spans="1:28" ht="15" thickBot="1" x14ac:dyDescent="0.35">
      <c r="A553" s="8"/>
      <c r="B553" s="8"/>
      <c r="C553" s="8"/>
      <c r="D553" s="8"/>
      <c r="E553" s="8"/>
      <c r="F553" s="8"/>
      <c r="G553" s="6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</row>
    <row r="554" spans="1:28" ht="15" thickBot="1" x14ac:dyDescent="0.35">
      <c r="A554" s="8"/>
      <c r="B554" s="8"/>
      <c r="C554" s="8"/>
      <c r="D554" s="8"/>
      <c r="E554" s="8"/>
      <c r="F554" s="8"/>
      <c r="G554" s="6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</row>
    <row r="555" spans="1:28" ht="15" thickBot="1" x14ac:dyDescent="0.35">
      <c r="A555" s="8"/>
      <c r="B555" s="8"/>
      <c r="C555" s="8"/>
      <c r="D555" s="8"/>
      <c r="E555" s="8"/>
      <c r="F555" s="8"/>
      <c r="G555" s="6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</row>
    <row r="556" spans="1:28" ht="15" thickBot="1" x14ac:dyDescent="0.35">
      <c r="A556" s="8"/>
      <c r="B556" s="8"/>
      <c r="C556" s="8"/>
      <c r="D556" s="8"/>
      <c r="E556" s="8"/>
      <c r="F556" s="8"/>
      <c r="G556" s="6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</row>
    <row r="557" spans="1:28" ht="15" thickBot="1" x14ac:dyDescent="0.35">
      <c r="A557" s="8"/>
      <c r="B557" s="8"/>
      <c r="C557" s="8"/>
      <c r="D557" s="8"/>
      <c r="E557" s="8"/>
      <c r="F557" s="8"/>
      <c r="G557" s="6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</row>
    <row r="558" spans="1:28" ht="15" thickBot="1" x14ac:dyDescent="0.35">
      <c r="A558" s="8"/>
      <c r="B558" s="8"/>
      <c r="C558" s="8"/>
      <c r="D558" s="8"/>
      <c r="E558" s="8"/>
      <c r="F558" s="8"/>
      <c r="G558" s="6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</row>
    <row r="559" spans="1:28" ht="15" thickBot="1" x14ac:dyDescent="0.35">
      <c r="A559" s="8"/>
      <c r="B559" s="8"/>
      <c r="C559" s="8"/>
      <c r="D559" s="8"/>
      <c r="E559" s="8"/>
      <c r="F559" s="8"/>
      <c r="G559" s="6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</row>
    <row r="560" spans="1:28" ht="15" thickBot="1" x14ac:dyDescent="0.35">
      <c r="A560" s="8"/>
      <c r="B560" s="8"/>
      <c r="C560" s="8"/>
      <c r="D560" s="8"/>
      <c r="E560" s="8"/>
      <c r="F560" s="8"/>
      <c r="G560" s="6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</row>
    <row r="561" spans="1:28" ht="15" thickBot="1" x14ac:dyDescent="0.35">
      <c r="A561" s="8"/>
      <c r="B561" s="8"/>
      <c r="C561" s="8"/>
      <c r="D561" s="8"/>
      <c r="E561" s="8"/>
      <c r="F561" s="8"/>
      <c r="G561" s="6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</row>
    <row r="562" spans="1:28" ht="15" thickBot="1" x14ac:dyDescent="0.35">
      <c r="A562" s="8"/>
      <c r="B562" s="8"/>
      <c r="C562" s="8"/>
      <c r="D562" s="8"/>
      <c r="E562" s="8"/>
      <c r="F562" s="8"/>
      <c r="G562" s="6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</row>
    <row r="563" spans="1:28" ht="15" thickBot="1" x14ac:dyDescent="0.35">
      <c r="A563" s="8"/>
      <c r="B563" s="8"/>
      <c r="C563" s="8"/>
      <c r="D563" s="8"/>
      <c r="E563" s="8"/>
      <c r="F563" s="8"/>
      <c r="G563" s="6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</row>
    <row r="564" spans="1:28" ht="15" thickBot="1" x14ac:dyDescent="0.35">
      <c r="A564" s="8"/>
      <c r="B564" s="8"/>
      <c r="C564" s="8"/>
      <c r="D564" s="8"/>
      <c r="E564" s="8"/>
      <c r="F564" s="8"/>
      <c r="G564" s="6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</row>
    <row r="565" spans="1:28" ht="15" thickBot="1" x14ac:dyDescent="0.35">
      <c r="A565" s="8"/>
      <c r="B565" s="8"/>
      <c r="C565" s="8"/>
      <c r="D565" s="8"/>
      <c r="E565" s="8"/>
      <c r="F565" s="8"/>
      <c r="G565" s="6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</row>
    <row r="566" spans="1:28" ht="15" thickBot="1" x14ac:dyDescent="0.35">
      <c r="A566" s="8"/>
      <c r="B566" s="8"/>
      <c r="C566" s="8"/>
      <c r="D566" s="8"/>
      <c r="E566" s="8"/>
      <c r="F566" s="8"/>
      <c r="G566" s="6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</row>
    <row r="567" spans="1:28" ht="15" thickBot="1" x14ac:dyDescent="0.35">
      <c r="A567" s="8"/>
      <c r="B567" s="8"/>
      <c r="C567" s="8"/>
      <c r="D567" s="8"/>
      <c r="E567" s="8"/>
      <c r="F567" s="8"/>
      <c r="G567" s="6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</row>
    <row r="568" spans="1:28" ht="15" thickBot="1" x14ac:dyDescent="0.35">
      <c r="A568" s="8"/>
      <c r="B568" s="8"/>
      <c r="C568" s="8"/>
      <c r="D568" s="8"/>
      <c r="E568" s="8"/>
      <c r="F568" s="8"/>
      <c r="G568" s="6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</row>
    <row r="569" spans="1:28" ht="15" thickBot="1" x14ac:dyDescent="0.35">
      <c r="A569" s="8"/>
      <c r="B569" s="8"/>
      <c r="C569" s="8"/>
      <c r="D569" s="8"/>
      <c r="E569" s="8"/>
      <c r="F569" s="8"/>
      <c r="G569" s="6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</row>
    <row r="570" spans="1:28" ht="15" thickBot="1" x14ac:dyDescent="0.35">
      <c r="A570" s="8"/>
      <c r="B570" s="8"/>
      <c r="C570" s="8"/>
      <c r="D570" s="8"/>
      <c r="E570" s="8"/>
      <c r="F570" s="8"/>
      <c r="G570" s="6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</row>
    <row r="571" spans="1:28" ht="15" thickBot="1" x14ac:dyDescent="0.35">
      <c r="A571" s="8"/>
      <c r="B571" s="8"/>
      <c r="C571" s="8"/>
      <c r="D571" s="8"/>
      <c r="E571" s="8"/>
      <c r="F571" s="8"/>
      <c r="G571" s="6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</row>
    <row r="572" spans="1:28" ht="15" thickBot="1" x14ac:dyDescent="0.35">
      <c r="A572" s="8"/>
      <c r="B572" s="8"/>
      <c r="C572" s="8"/>
      <c r="D572" s="8"/>
      <c r="E572" s="8"/>
      <c r="F572" s="8"/>
      <c r="G572" s="6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</row>
    <row r="573" spans="1:28" ht="15" thickBot="1" x14ac:dyDescent="0.35">
      <c r="A573" s="8"/>
      <c r="B573" s="8"/>
      <c r="C573" s="8"/>
      <c r="D573" s="8"/>
      <c r="E573" s="8"/>
      <c r="F573" s="8"/>
      <c r="G573" s="6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</row>
    <row r="574" spans="1:28" ht="15" thickBot="1" x14ac:dyDescent="0.35">
      <c r="A574" s="8"/>
      <c r="B574" s="8"/>
      <c r="C574" s="8"/>
      <c r="D574" s="8"/>
      <c r="E574" s="8"/>
      <c r="F574" s="8"/>
      <c r="G574" s="6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</row>
    <row r="575" spans="1:28" ht="15" thickBot="1" x14ac:dyDescent="0.35">
      <c r="A575" s="8"/>
      <c r="B575" s="8"/>
      <c r="C575" s="8"/>
      <c r="D575" s="8"/>
      <c r="E575" s="8"/>
      <c r="F575" s="8"/>
      <c r="G575" s="6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</row>
    <row r="576" spans="1:28" ht="15" thickBot="1" x14ac:dyDescent="0.35">
      <c r="A576" s="8"/>
      <c r="B576" s="8"/>
      <c r="C576" s="8"/>
      <c r="D576" s="8"/>
      <c r="E576" s="8"/>
      <c r="F576" s="8"/>
      <c r="G576" s="6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</row>
    <row r="577" spans="1:28" ht="15" thickBot="1" x14ac:dyDescent="0.35">
      <c r="A577" s="8"/>
      <c r="B577" s="8"/>
      <c r="C577" s="8"/>
      <c r="D577" s="8"/>
      <c r="E577" s="8"/>
      <c r="F577" s="8"/>
      <c r="G577" s="6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</row>
    <row r="578" spans="1:28" ht="15" thickBot="1" x14ac:dyDescent="0.35">
      <c r="A578" s="8"/>
      <c r="B578" s="8"/>
      <c r="C578" s="8"/>
      <c r="D578" s="8"/>
      <c r="E578" s="8"/>
      <c r="F578" s="8"/>
      <c r="G578" s="6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</row>
    <row r="579" spans="1:28" ht="15" thickBot="1" x14ac:dyDescent="0.35">
      <c r="A579" s="8"/>
      <c r="B579" s="8"/>
      <c r="C579" s="8"/>
      <c r="D579" s="8"/>
      <c r="E579" s="8"/>
      <c r="F579" s="8"/>
      <c r="G579" s="6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</row>
    <row r="580" spans="1:28" ht="15" thickBot="1" x14ac:dyDescent="0.35">
      <c r="A580" s="8"/>
      <c r="B580" s="8"/>
      <c r="C580" s="8"/>
      <c r="D580" s="8"/>
      <c r="E580" s="8"/>
      <c r="F580" s="8"/>
      <c r="G580" s="6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</row>
    <row r="581" spans="1:28" ht="15" thickBot="1" x14ac:dyDescent="0.35">
      <c r="A581" s="8"/>
      <c r="B581" s="8"/>
      <c r="C581" s="8"/>
      <c r="D581" s="8"/>
      <c r="E581" s="8"/>
      <c r="F581" s="8"/>
      <c r="G581" s="6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</row>
    <row r="582" spans="1:28" ht="15" thickBot="1" x14ac:dyDescent="0.35">
      <c r="A582" s="8"/>
      <c r="B582" s="8"/>
      <c r="C582" s="8"/>
      <c r="D582" s="8"/>
      <c r="E582" s="8"/>
      <c r="F582" s="8"/>
      <c r="G582" s="6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</row>
    <row r="583" spans="1:28" ht="15" thickBot="1" x14ac:dyDescent="0.35">
      <c r="A583" s="8"/>
      <c r="B583" s="8"/>
      <c r="C583" s="8"/>
      <c r="D583" s="8"/>
      <c r="E583" s="8"/>
      <c r="F583" s="8"/>
      <c r="G583" s="6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</row>
    <row r="584" spans="1:28" ht="15" thickBot="1" x14ac:dyDescent="0.35">
      <c r="A584" s="8"/>
      <c r="B584" s="8"/>
      <c r="C584" s="8"/>
      <c r="D584" s="8"/>
      <c r="E584" s="8"/>
      <c r="F584" s="8"/>
      <c r="G584" s="6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</row>
    <row r="585" spans="1:28" ht="15" thickBot="1" x14ac:dyDescent="0.35">
      <c r="A585" s="8"/>
      <c r="B585" s="8"/>
      <c r="C585" s="8"/>
      <c r="D585" s="8"/>
      <c r="E585" s="8"/>
      <c r="F585" s="8"/>
      <c r="G585" s="6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</row>
    <row r="586" spans="1:28" ht="15" thickBot="1" x14ac:dyDescent="0.35">
      <c r="A586" s="8"/>
      <c r="B586" s="8"/>
      <c r="C586" s="8"/>
      <c r="D586" s="8"/>
      <c r="E586" s="8"/>
      <c r="F586" s="8"/>
      <c r="G586" s="6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</row>
    <row r="587" spans="1:28" ht="15" thickBot="1" x14ac:dyDescent="0.35">
      <c r="A587" s="8"/>
      <c r="B587" s="8"/>
      <c r="C587" s="8"/>
      <c r="D587" s="8"/>
      <c r="E587" s="8"/>
      <c r="F587" s="8"/>
      <c r="G587" s="6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</row>
    <row r="588" spans="1:28" ht="15" thickBot="1" x14ac:dyDescent="0.35">
      <c r="A588" s="8"/>
      <c r="B588" s="8"/>
      <c r="C588" s="8"/>
      <c r="D588" s="8"/>
      <c r="E588" s="8"/>
      <c r="F588" s="8"/>
      <c r="G588" s="6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</row>
    <row r="589" spans="1:28" ht="15" thickBot="1" x14ac:dyDescent="0.35">
      <c r="A589" s="8"/>
      <c r="B589" s="8"/>
      <c r="C589" s="8"/>
      <c r="D589" s="8"/>
      <c r="E589" s="8"/>
      <c r="F589" s="8"/>
      <c r="G589" s="6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</row>
    <row r="590" spans="1:28" ht="15" thickBot="1" x14ac:dyDescent="0.35">
      <c r="A590" s="8"/>
      <c r="B590" s="8"/>
      <c r="C590" s="8"/>
      <c r="D590" s="8"/>
      <c r="E590" s="8"/>
      <c r="F590" s="8"/>
      <c r="G590" s="6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</row>
    <row r="591" spans="1:28" ht="15" thickBot="1" x14ac:dyDescent="0.35">
      <c r="A591" s="8"/>
      <c r="B591" s="8"/>
      <c r="C591" s="8"/>
      <c r="D591" s="8"/>
      <c r="E591" s="8"/>
      <c r="F591" s="8"/>
      <c r="G591" s="6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</row>
    <row r="592" spans="1:28" ht="15" thickBot="1" x14ac:dyDescent="0.35">
      <c r="A592" s="8"/>
      <c r="B592" s="8"/>
      <c r="C592" s="8"/>
      <c r="D592" s="8"/>
      <c r="E592" s="8"/>
      <c r="F592" s="8"/>
      <c r="G592" s="6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</row>
    <row r="593" spans="1:28" ht="15" thickBot="1" x14ac:dyDescent="0.35">
      <c r="A593" s="8"/>
      <c r="B593" s="8"/>
      <c r="C593" s="8"/>
      <c r="D593" s="8"/>
      <c r="E593" s="8"/>
      <c r="F593" s="8"/>
      <c r="G593" s="6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</row>
    <row r="594" spans="1:28" ht="15" thickBot="1" x14ac:dyDescent="0.35">
      <c r="A594" s="8"/>
      <c r="B594" s="8"/>
      <c r="C594" s="8"/>
      <c r="D594" s="8"/>
      <c r="E594" s="8"/>
      <c r="F594" s="8"/>
      <c r="G594" s="6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</row>
    <row r="595" spans="1:28" ht="15" thickBot="1" x14ac:dyDescent="0.35">
      <c r="A595" s="8"/>
      <c r="B595" s="8"/>
      <c r="C595" s="8"/>
      <c r="D595" s="8"/>
      <c r="E595" s="8"/>
      <c r="F595" s="8"/>
      <c r="G595" s="6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</row>
    <row r="596" spans="1:28" ht="15" thickBot="1" x14ac:dyDescent="0.35">
      <c r="A596" s="8"/>
      <c r="B596" s="8"/>
      <c r="C596" s="8"/>
      <c r="D596" s="8"/>
      <c r="E596" s="8"/>
      <c r="F596" s="8"/>
      <c r="G596" s="6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</row>
    <row r="597" spans="1:28" ht="15" thickBot="1" x14ac:dyDescent="0.35">
      <c r="A597" s="8"/>
      <c r="B597" s="8"/>
      <c r="C597" s="8"/>
      <c r="D597" s="8"/>
      <c r="E597" s="8"/>
      <c r="F597" s="8"/>
      <c r="G597" s="6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</row>
    <row r="598" spans="1:28" ht="15" thickBot="1" x14ac:dyDescent="0.35">
      <c r="A598" s="8"/>
      <c r="B598" s="8"/>
      <c r="C598" s="8"/>
      <c r="D598" s="8"/>
      <c r="E598" s="8"/>
      <c r="F598" s="8"/>
      <c r="G598" s="6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</row>
    <row r="599" spans="1:28" ht="15" thickBot="1" x14ac:dyDescent="0.35">
      <c r="A599" s="8"/>
      <c r="B599" s="8"/>
      <c r="C599" s="8"/>
      <c r="D599" s="8"/>
      <c r="E599" s="8"/>
      <c r="F599" s="8"/>
      <c r="G599" s="6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</row>
    <row r="600" spans="1:28" ht="15" thickBot="1" x14ac:dyDescent="0.35">
      <c r="A600" s="8"/>
      <c r="B600" s="8"/>
      <c r="C600" s="8"/>
      <c r="D600" s="8"/>
      <c r="E600" s="8"/>
      <c r="F600" s="8"/>
      <c r="G600" s="6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</row>
    <row r="601" spans="1:28" ht="15" thickBot="1" x14ac:dyDescent="0.35">
      <c r="A601" s="8"/>
      <c r="B601" s="8"/>
      <c r="C601" s="8"/>
      <c r="D601" s="8"/>
      <c r="E601" s="8"/>
      <c r="F601" s="8"/>
      <c r="G601" s="6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</row>
    <row r="602" spans="1:28" ht="15" thickBot="1" x14ac:dyDescent="0.35">
      <c r="A602" s="8"/>
      <c r="B602" s="8"/>
      <c r="C602" s="8"/>
      <c r="D602" s="8"/>
      <c r="E602" s="8"/>
      <c r="F602" s="8"/>
      <c r="G602" s="6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</row>
    <row r="603" spans="1:28" ht="15" thickBot="1" x14ac:dyDescent="0.35">
      <c r="A603" s="8"/>
      <c r="B603" s="8"/>
      <c r="C603" s="8"/>
      <c r="D603" s="8"/>
      <c r="E603" s="8"/>
      <c r="F603" s="8"/>
      <c r="G603" s="6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</row>
    <row r="604" spans="1:28" ht="15" thickBot="1" x14ac:dyDescent="0.35">
      <c r="A604" s="8"/>
      <c r="B604" s="8"/>
      <c r="C604" s="8"/>
      <c r="D604" s="8"/>
      <c r="E604" s="8"/>
      <c r="F604" s="8"/>
      <c r="G604" s="6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</row>
    <row r="605" spans="1:28" ht="15" thickBot="1" x14ac:dyDescent="0.35">
      <c r="A605" s="8"/>
      <c r="B605" s="8"/>
      <c r="C605" s="8"/>
      <c r="D605" s="8"/>
      <c r="E605" s="8"/>
      <c r="F605" s="8"/>
      <c r="G605" s="6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</row>
    <row r="606" spans="1:28" ht="15" thickBot="1" x14ac:dyDescent="0.35">
      <c r="A606" s="8"/>
      <c r="B606" s="8"/>
      <c r="C606" s="8"/>
      <c r="D606" s="8"/>
      <c r="E606" s="8"/>
      <c r="F606" s="8"/>
      <c r="G606" s="6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</row>
    <row r="607" spans="1:28" ht="15" thickBot="1" x14ac:dyDescent="0.35">
      <c r="A607" s="8"/>
      <c r="B607" s="8"/>
      <c r="C607" s="8"/>
      <c r="D607" s="8"/>
      <c r="E607" s="8"/>
      <c r="F607" s="8"/>
      <c r="G607" s="6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</row>
    <row r="608" spans="1:28" ht="15" thickBot="1" x14ac:dyDescent="0.35">
      <c r="A608" s="8"/>
      <c r="B608" s="8"/>
      <c r="C608" s="8"/>
      <c r="D608" s="8"/>
      <c r="E608" s="8"/>
      <c r="F608" s="8"/>
      <c r="G608" s="6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</row>
    <row r="609" spans="1:28" ht="15" thickBot="1" x14ac:dyDescent="0.35">
      <c r="A609" s="8"/>
      <c r="B609" s="8"/>
      <c r="C609" s="8"/>
      <c r="D609" s="8"/>
      <c r="E609" s="8"/>
      <c r="F609" s="8"/>
      <c r="G609" s="6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</row>
    <row r="610" spans="1:28" ht="15" thickBot="1" x14ac:dyDescent="0.35">
      <c r="A610" s="8"/>
      <c r="B610" s="8"/>
      <c r="C610" s="8"/>
      <c r="D610" s="8"/>
      <c r="E610" s="8"/>
      <c r="F610" s="8"/>
      <c r="G610" s="6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</row>
    <row r="611" spans="1:28" ht="15" thickBot="1" x14ac:dyDescent="0.35">
      <c r="A611" s="8"/>
      <c r="B611" s="8"/>
      <c r="C611" s="8"/>
      <c r="D611" s="8"/>
      <c r="E611" s="8"/>
      <c r="F611" s="8"/>
      <c r="G611" s="6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</row>
    <row r="612" spans="1:28" ht="15" thickBot="1" x14ac:dyDescent="0.35">
      <c r="A612" s="8"/>
      <c r="B612" s="8"/>
      <c r="C612" s="8"/>
      <c r="D612" s="8"/>
      <c r="E612" s="8"/>
      <c r="F612" s="8"/>
      <c r="G612" s="6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</row>
    <row r="613" spans="1:28" ht="15" thickBot="1" x14ac:dyDescent="0.35">
      <c r="A613" s="8"/>
      <c r="B613" s="8"/>
      <c r="C613" s="8"/>
      <c r="D613" s="8"/>
      <c r="E613" s="8"/>
      <c r="F613" s="8"/>
      <c r="G613" s="6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</row>
    <row r="614" spans="1:28" ht="15" thickBot="1" x14ac:dyDescent="0.35">
      <c r="A614" s="8"/>
      <c r="B614" s="8"/>
      <c r="C614" s="8"/>
      <c r="D614" s="8"/>
      <c r="E614" s="8"/>
      <c r="F614" s="8"/>
      <c r="G614" s="6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</row>
    <row r="615" spans="1:28" ht="15" thickBot="1" x14ac:dyDescent="0.35">
      <c r="A615" s="8"/>
      <c r="B615" s="8"/>
      <c r="C615" s="8"/>
      <c r="D615" s="8"/>
      <c r="E615" s="8"/>
      <c r="F615" s="8"/>
      <c r="G615" s="6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</row>
    <row r="616" spans="1:28" ht="15" thickBot="1" x14ac:dyDescent="0.35">
      <c r="A616" s="8"/>
      <c r="B616" s="8"/>
      <c r="C616" s="8"/>
      <c r="D616" s="8"/>
      <c r="E616" s="8"/>
      <c r="F616" s="8"/>
      <c r="G616" s="6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</row>
    <row r="617" spans="1:28" ht="15" thickBot="1" x14ac:dyDescent="0.35">
      <c r="A617" s="8"/>
      <c r="B617" s="8"/>
      <c r="C617" s="8"/>
      <c r="D617" s="8"/>
      <c r="E617" s="8"/>
      <c r="F617" s="8"/>
      <c r="G617" s="6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</row>
    <row r="618" spans="1:28" ht="15" thickBot="1" x14ac:dyDescent="0.35">
      <c r="A618" s="8"/>
      <c r="B618" s="8"/>
      <c r="C618" s="8"/>
      <c r="D618" s="8"/>
      <c r="E618" s="8"/>
      <c r="F618" s="8"/>
      <c r="G618" s="6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</row>
    <row r="619" spans="1:28" ht="15" thickBot="1" x14ac:dyDescent="0.35">
      <c r="A619" s="8"/>
      <c r="B619" s="8"/>
      <c r="C619" s="8"/>
      <c r="D619" s="8"/>
      <c r="E619" s="8"/>
      <c r="F619" s="8"/>
      <c r="G619" s="6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</row>
    <row r="620" spans="1:28" ht="15" thickBot="1" x14ac:dyDescent="0.35">
      <c r="A620" s="8"/>
      <c r="B620" s="8"/>
      <c r="C620" s="8"/>
      <c r="D620" s="8"/>
      <c r="E620" s="8"/>
      <c r="F620" s="8"/>
      <c r="G620" s="6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</row>
    <row r="621" spans="1:28" ht="15" thickBot="1" x14ac:dyDescent="0.35">
      <c r="A621" s="8"/>
      <c r="B621" s="8"/>
      <c r="C621" s="8"/>
      <c r="D621" s="8"/>
      <c r="E621" s="8"/>
      <c r="F621" s="8"/>
      <c r="G621" s="6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</row>
    <row r="622" spans="1:28" ht="15" thickBot="1" x14ac:dyDescent="0.35">
      <c r="A622" s="8"/>
      <c r="B622" s="8"/>
      <c r="C622" s="8"/>
      <c r="D622" s="8"/>
      <c r="E622" s="8"/>
      <c r="F622" s="8"/>
      <c r="G622" s="6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</row>
    <row r="623" spans="1:28" ht="15" thickBot="1" x14ac:dyDescent="0.35">
      <c r="A623" s="8"/>
      <c r="B623" s="8"/>
      <c r="C623" s="8"/>
      <c r="D623" s="8"/>
      <c r="E623" s="8"/>
      <c r="F623" s="8"/>
      <c r="G623" s="6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</row>
    <row r="624" spans="1:28" ht="15" thickBot="1" x14ac:dyDescent="0.35">
      <c r="A624" s="8"/>
      <c r="B624" s="8"/>
      <c r="C624" s="8"/>
      <c r="D624" s="8"/>
      <c r="E624" s="8"/>
      <c r="F624" s="8"/>
      <c r="G624" s="6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</row>
    <row r="625" spans="1:28" ht="15" thickBot="1" x14ac:dyDescent="0.35">
      <c r="A625" s="8"/>
      <c r="B625" s="8"/>
      <c r="C625" s="8"/>
      <c r="D625" s="8"/>
      <c r="E625" s="8"/>
      <c r="F625" s="8"/>
      <c r="G625" s="6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</row>
    <row r="626" spans="1:28" ht="15" thickBot="1" x14ac:dyDescent="0.35">
      <c r="A626" s="8"/>
      <c r="B626" s="8"/>
      <c r="C626" s="8"/>
      <c r="D626" s="8"/>
      <c r="E626" s="8"/>
      <c r="F626" s="8"/>
      <c r="G626" s="6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</row>
    <row r="627" spans="1:28" ht="15" thickBot="1" x14ac:dyDescent="0.35">
      <c r="A627" s="8"/>
      <c r="B627" s="8"/>
      <c r="C627" s="8"/>
      <c r="D627" s="8"/>
      <c r="E627" s="8"/>
      <c r="F627" s="8"/>
      <c r="G627" s="6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</row>
    <row r="628" spans="1:28" ht="15" thickBot="1" x14ac:dyDescent="0.35">
      <c r="A628" s="8"/>
      <c r="B628" s="8"/>
      <c r="C628" s="8"/>
      <c r="D628" s="8"/>
      <c r="E628" s="8"/>
      <c r="F628" s="8"/>
      <c r="G628" s="6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</row>
    <row r="629" spans="1:28" ht="15" thickBot="1" x14ac:dyDescent="0.35">
      <c r="A629" s="8"/>
      <c r="B629" s="8"/>
      <c r="C629" s="8"/>
      <c r="D629" s="8"/>
      <c r="E629" s="8"/>
      <c r="F629" s="8"/>
      <c r="G629" s="6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</row>
    <row r="630" spans="1:28" ht="15" thickBot="1" x14ac:dyDescent="0.35">
      <c r="A630" s="8"/>
      <c r="B630" s="8"/>
      <c r="C630" s="8"/>
      <c r="D630" s="8"/>
      <c r="E630" s="8"/>
      <c r="F630" s="8"/>
      <c r="G630" s="6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</row>
    <row r="631" spans="1:28" ht="15" thickBot="1" x14ac:dyDescent="0.35">
      <c r="A631" s="8"/>
      <c r="B631" s="8"/>
      <c r="C631" s="8"/>
      <c r="D631" s="8"/>
      <c r="E631" s="8"/>
      <c r="F631" s="8"/>
      <c r="G631" s="6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</row>
    <row r="632" spans="1:28" ht="15" thickBot="1" x14ac:dyDescent="0.35">
      <c r="A632" s="8"/>
      <c r="B632" s="8"/>
      <c r="C632" s="8"/>
      <c r="D632" s="8"/>
      <c r="E632" s="8"/>
      <c r="F632" s="8"/>
      <c r="G632" s="6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</row>
    <row r="633" spans="1:28" ht="15" thickBot="1" x14ac:dyDescent="0.35">
      <c r="A633" s="8"/>
      <c r="B633" s="8"/>
      <c r="C633" s="8"/>
      <c r="D633" s="8"/>
      <c r="E633" s="8"/>
      <c r="F633" s="8"/>
      <c r="G633" s="6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</row>
    <row r="634" spans="1:28" ht="15" thickBot="1" x14ac:dyDescent="0.35">
      <c r="A634" s="8"/>
      <c r="B634" s="8"/>
      <c r="C634" s="8"/>
      <c r="D634" s="8"/>
      <c r="E634" s="8"/>
      <c r="F634" s="8"/>
      <c r="G634" s="6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</row>
    <row r="635" spans="1:28" ht="15" thickBot="1" x14ac:dyDescent="0.35">
      <c r="A635" s="8"/>
      <c r="B635" s="8"/>
      <c r="C635" s="8"/>
      <c r="D635" s="8"/>
      <c r="E635" s="8"/>
      <c r="F635" s="8"/>
      <c r="G635" s="6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</row>
    <row r="636" spans="1:28" ht="15" thickBot="1" x14ac:dyDescent="0.35">
      <c r="A636" s="8"/>
      <c r="B636" s="8"/>
      <c r="C636" s="8"/>
      <c r="D636" s="8"/>
      <c r="E636" s="8"/>
      <c r="F636" s="8"/>
      <c r="G636" s="6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</row>
    <row r="637" spans="1:28" ht="15" thickBot="1" x14ac:dyDescent="0.35">
      <c r="A637" s="8"/>
      <c r="B637" s="8"/>
      <c r="C637" s="8"/>
      <c r="D637" s="8"/>
      <c r="E637" s="8"/>
      <c r="F637" s="8"/>
      <c r="G637" s="6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</row>
    <row r="638" spans="1:28" ht="15" thickBot="1" x14ac:dyDescent="0.35">
      <c r="A638" s="8"/>
      <c r="B638" s="8"/>
      <c r="C638" s="8"/>
      <c r="D638" s="8"/>
      <c r="E638" s="8"/>
      <c r="F638" s="8"/>
      <c r="G638" s="6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</row>
    <row r="639" spans="1:28" ht="15" thickBot="1" x14ac:dyDescent="0.35">
      <c r="A639" s="8"/>
      <c r="B639" s="8"/>
      <c r="C639" s="8"/>
      <c r="D639" s="8"/>
      <c r="E639" s="8"/>
      <c r="F639" s="8"/>
      <c r="G639" s="6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</row>
    <row r="640" spans="1:28" ht="15" thickBot="1" x14ac:dyDescent="0.35">
      <c r="A640" s="8"/>
      <c r="B640" s="8"/>
      <c r="C640" s="8"/>
      <c r="D640" s="8"/>
      <c r="E640" s="8"/>
      <c r="F640" s="8"/>
      <c r="G640" s="6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</row>
    <row r="641" spans="1:28" ht="15" thickBot="1" x14ac:dyDescent="0.35">
      <c r="A641" s="8"/>
      <c r="B641" s="8"/>
      <c r="C641" s="8"/>
      <c r="D641" s="8"/>
      <c r="E641" s="8"/>
      <c r="F641" s="8"/>
      <c r="G641" s="6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</row>
    <row r="642" spans="1:28" ht="15" thickBot="1" x14ac:dyDescent="0.35">
      <c r="A642" s="8"/>
      <c r="B642" s="8"/>
      <c r="C642" s="8"/>
      <c r="D642" s="8"/>
      <c r="E642" s="8"/>
      <c r="F642" s="8"/>
      <c r="G642" s="6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</row>
    <row r="643" spans="1:28" ht="15" thickBot="1" x14ac:dyDescent="0.35">
      <c r="A643" s="8"/>
      <c r="B643" s="8"/>
      <c r="C643" s="8"/>
      <c r="D643" s="8"/>
      <c r="E643" s="8"/>
      <c r="F643" s="8"/>
      <c r="G643" s="6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</row>
    <row r="644" spans="1:28" ht="15" thickBot="1" x14ac:dyDescent="0.35">
      <c r="A644" s="8"/>
      <c r="B644" s="8"/>
      <c r="C644" s="8"/>
      <c r="D644" s="8"/>
      <c r="E644" s="8"/>
      <c r="F644" s="8"/>
      <c r="G644" s="6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</row>
    <row r="645" spans="1:28" ht="15" thickBot="1" x14ac:dyDescent="0.35">
      <c r="A645" s="8"/>
      <c r="B645" s="8"/>
      <c r="C645" s="8"/>
      <c r="D645" s="8"/>
      <c r="E645" s="8"/>
      <c r="F645" s="8"/>
      <c r="G645" s="6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</row>
    <row r="646" spans="1:28" ht="15" thickBot="1" x14ac:dyDescent="0.35">
      <c r="A646" s="8"/>
      <c r="B646" s="8"/>
      <c r="C646" s="8"/>
      <c r="D646" s="8"/>
      <c r="E646" s="8"/>
      <c r="F646" s="8"/>
      <c r="G646" s="6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</row>
    <row r="647" spans="1:28" ht="15" thickBot="1" x14ac:dyDescent="0.35">
      <c r="A647" s="8"/>
      <c r="B647" s="8"/>
      <c r="C647" s="8"/>
      <c r="D647" s="8"/>
      <c r="E647" s="8"/>
      <c r="F647" s="8"/>
      <c r="G647" s="6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</row>
    <row r="648" spans="1:28" ht="15" thickBot="1" x14ac:dyDescent="0.35">
      <c r="A648" s="8"/>
      <c r="B648" s="8"/>
      <c r="C648" s="8"/>
      <c r="D648" s="8"/>
      <c r="E648" s="8"/>
      <c r="F648" s="8"/>
      <c r="G648" s="6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</row>
    <row r="649" spans="1:28" ht="15" thickBot="1" x14ac:dyDescent="0.35">
      <c r="A649" s="8"/>
      <c r="B649" s="8"/>
      <c r="C649" s="8"/>
      <c r="D649" s="8"/>
      <c r="E649" s="8"/>
      <c r="F649" s="8"/>
      <c r="G649" s="6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</row>
    <row r="650" spans="1:28" ht="15" thickBot="1" x14ac:dyDescent="0.35">
      <c r="A650" s="8"/>
      <c r="B650" s="8"/>
      <c r="C650" s="8"/>
      <c r="D650" s="8"/>
      <c r="E650" s="8"/>
      <c r="F650" s="8"/>
      <c r="G650" s="6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</row>
    <row r="651" spans="1:28" ht="15" thickBot="1" x14ac:dyDescent="0.35">
      <c r="A651" s="8"/>
      <c r="B651" s="8"/>
      <c r="C651" s="8"/>
      <c r="D651" s="8"/>
      <c r="E651" s="8"/>
      <c r="F651" s="8"/>
      <c r="G651" s="6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</row>
    <row r="652" spans="1:28" ht="15" thickBot="1" x14ac:dyDescent="0.35">
      <c r="A652" s="8"/>
      <c r="B652" s="8"/>
      <c r="C652" s="8"/>
      <c r="D652" s="8"/>
      <c r="E652" s="8"/>
      <c r="F652" s="8"/>
      <c r="G652" s="6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</row>
    <row r="653" spans="1:28" ht="15" thickBot="1" x14ac:dyDescent="0.35">
      <c r="A653" s="8"/>
      <c r="B653" s="8"/>
      <c r="C653" s="8"/>
      <c r="D653" s="8"/>
      <c r="E653" s="8"/>
      <c r="F653" s="8"/>
      <c r="G653" s="6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</row>
    <row r="654" spans="1:28" ht="15" thickBot="1" x14ac:dyDescent="0.35">
      <c r="A654" s="8"/>
      <c r="B654" s="8"/>
      <c r="C654" s="8"/>
      <c r="D654" s="8"/>
      <c r="E654" s="8"/>
      <c r="F654" s="8"/>
      <c r="G654" s="6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</row>
    <row r="655" spans="1:28" ht="15" thickBot="1" x14ac:dyDescent="0.35">
      <c r="A655" s="8"/>
      <c r="B655" s="8"/>
      <c r="C655" s="8"/>
      <c r="D655" s="8"/>
      <c r="E655" s="8"/>
      <c r="F655" s="8"/>
      <c r="G655" s="6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</row>
    <row r="656" spans="1:28" ht="15" thickBot="1" x14ac:dyDescent="0.35">
      <c r="A656" s="8"/>
      <c r="B656" s="8"/>
      <c r="C656" s="8"/>
      <c r="D656" s="8"/>
      <c r="E656" s="8"/>
      <c r="F656" s="8"/>
      <c r="G656" s="6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</row>
    <row r="657" spans="1:28" ht="15" thickBot="1" x14ac:dyDescent="0.35">
      <c r="A657" s="8"/>
      <c r="B657" s="8"/>
      <c r="C657" s="8"/>
      <c r="D657" s="8"/>
      <c r="E657" s="8"/>
      <c r="F657" s="8"/>
      <c r="G657" s="6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</row>
    <row r="658" spans="1:28" ht="15" thickBot="1" x14ac:dyDescent="0.35">
      <c r="A658" s="8"/>
      <c r="B658" s="8"/>
      <c r="C658" s="8"/>
      <c r="D658" s="8"/>
      <c r="E658" s="8"/>
      <c r="F658" s="8"/>
      <c r="G658" s="6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</row>
    <row r="659" spans="1:28" ht="15" thickBot="1" x14ac:dyDescent="0.35">
      <c r="A659" s="8"/>
      <c r="B659" s="8"/>
      <c r="C659" s="8"/>
      <c r="D659" s="8"/>
      <c r="E659" s="8"/>
      <c r="F659" s="8"/>
      <c r="G659" s="6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</row>
    <row r="660" spans="1:28" ht="15" thickBot="1" x14ac:dyDescent="0.35">
      <c r="A660" s="8"/>
      <c r="B660" s="8"/>
      <c r="C660" s="8"/>
      <c r="D660" s="8"/>
      <c r="E660" s="8"/>
      <c r="F660" s="8"/>
      <c r="G660" s="6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</row>
    <row r="661" spans="1:28" ht="15" thickBot="1" x14ac:dyDescent="0.35">
      <c r="A661" s="8"/>
      <c r="B661" s="8"/>
      <c r="C661" s="8"/>
      <c r="D661" s="8"/>
      <c r="E661" s="8"/>
      <c r="F661" s="8"/>
      <c r="G661" s="6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</row>
    <row r="662" spans="1:28" ht="15" thickBot="1" x14ac:dyDescent="0.35">
      <c r="A662" s="8"/>
      <c r="B662" s="8"/>
      <c r="C662" s="8"/>
      <c r="D662" s="8"/>
      <c r="E662" s="8"/>
      <c r="F662" s="8"/>
      <c r="G662" s="6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</row>
    <row r="663" spans="1:28" ht="15" thickBot="1" x14ac:dyDescent="0.35">
      <c r="A663" s="8"/>
      <c r="B663" s="8"/>
      <c r="C663" s="8"/>
      <c r="D663" s="8"/>
      <c r="E663" s="8"/>
      <c r="F663" s="8"/>
      <c r="G663" s="6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</row>
    <row r="664" spans="1:28" ht="15" thickBot="1" x14ac:dyDescent="0.35">
      <c r="A664" s="8"/>
      <c r="B664" s="8"/>
      <c r="C664" s="8"/>
      <c r="D664" s="8"/>
      <c r="E664" s="8"/>
      <c r="F664" s="8"/>
      <c r="G664" s="6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</row>
    <row r="665" spans="1:28" ht="15" thickBot="1" x14ac:dyDescent="0.35">
      <c r="A665" s="8"/>
      <c r="B665" s="8"/>
      <c r="C665" s="8"/>
      <c r="D665" s="8"/>
      <c r="E665" s="8"/>
      <c r="F665" s="8"/>
      <c r="G665" s="6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</row>
    <row r="666" spans="1:28" ht="15" thickBot="1" x14ac:dyDescent="0.35">
      <c r="A666" s="8"/>
      <c r="B666" s="8"/>
      <c r="C666" s="8"/>
      <c r="D666" s="8"/>
      <c r="E666" s="8"/>
      <c r="F666" s="8"/>
      <c r="G666" s="6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</row>
    <row r="667" spans="1:28" ht="15" thickBot="1" x14ac:dyDescent="0.35">
      <c r="A667" s="8"/>
      <c r="B667" s="8"/>
      <c r="C667" s="8"/>
      <c r="D667" s="8"/>
      <c r="E667" s="8"/>
      <c r="F667" s="8"/>
      <c r="G667" s="6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</row>
    <row r="668" spans="1:28" ht="15" thickBot="1" x14ac:dyDescent="0.35">
      <c r="A668" s="8"/>
      <c r="B668" s="8"/>
      <c r="C668" s="8"/>
      <c r="D668" s="8"/>
      <c r="E668" s="8"/>
      <c r="F668" s="8"/>
      <c r="G668" s="6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</row>
    <row r="669" spans="1:28" ht="15" thickBot="1" x14ac:dyDescent="0.35">
      <c r="A669" s="8"/>
      <c r="B669" s="8"/>
      <c r="C669" s="8"/>
      <c r="D669" s="8"/>
      <c r="E669" s="8"/>
      <c r="F669" s="8"/>
      <c r="G669" s="6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</row>
    <row r="670" spans="1:28" ht="15" thickBot="1" x14ac:dyDescent="0.35">
      <c r="A670" s="8"/>
      <c r="B670" s="8"/>
      <c r="C670" s="8"/>
      <c r="D670" s="8"/>
      <c r="E670" s="8"/>
      <c r="F670" s="8"/>
      <c r="G670" s="6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</row>
    <row r="671" spans="1:28" ht="15" thickBot="1" x14ac:dyDescent="0.35">
      <c r="A671" s="8"/>
      <c r="B671" s="8"/>
      <c r="C671" s="8"/>
      <c r="D671" s="8"/>
      <c r="E671" s="8"/>
      <c r="F671" s="8"/>
      <c r="G671" s="6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</row>
    <row r="672" spans="1:28" ht="15" thickBot="1" x14ac:dyDescent="0.35">
      <c r="A672" s="8"/>
      <c r="B672" s="8"/>
      <c r="C672" s="8"/>
      <c r="D672" s="8"/>
      <c r="E672" s="8"/>
      <c r="F672" s="8"/>
      <c r="G672" s="6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</row>
    <row r="673" spans="1:28" ht="15" thickBot="1" x14ac:dyDescent="0.35">
      <c r="A673" s="8"/>
      <c r="B673" s="8"/>
      <c r="C673" s="8"/>
      <c r="D673" s="8"/>
      <c r="E673" s="8"/>
      <c r="F673" s="8"/>
      <c r="G673" s="6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</row>
    <row r="674" spans="1:28" ht="15" thickBot="1" x14ac:dyDescent="0.35">
      <c r="A674" s="8"/>
      <c r="B674" s="8"/>
      <c r="C674" s="8"/>
      <c r="D674" s="8"/>
      <c r="E674" s="8"/>
      <c r="F674" s="8"/>
      <c r="G674" s="6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</row>
    <row r="675" spans="1:28" ht="15" thickBot="1" x14ac:dyDescent="0.35">
      <c r="A675" s="8"/>
      <c r="B675" s="8"/>
      <c r="C675" s="8"/>
      <c r="D675" s="8"/>
      <c r="E675" s="8"/>
      <c r="F675" s="8"/>
      <c r="G675" s="6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</row>
    <row r="676" spans="1:28" ht="15" thickBot="1" x14ac:dyDescent="0.35">
      <c r="A676" s="8"/>
      <c r="B676" s="8"/>
      <c r="C676" s="8"/>
      <c r="D676" s="8"/>
      <c r="E676" s="8"/>
      <c r="F676" s="8"/>
      <c r="G676" s="6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</row>
    <row r="677" spans="1:28" ht="15" thickBot="1" x14ac:dyDescent="0.35">
      <c r="A677" s="8"/>
      <c r="B677" s="8"/>
      <c r="C677" s="8"/>
      <c r="D677" s="8"/>
      <c r="E677" s="8"/>
      <c r="F677" s="8"/>
      <c r="G677" s="6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</row>
    <row r="678" spans="1:28" ht="15" thickBot="1" x14ac:dyDescent="0.35">
      <c r="A678" s="8"/>
      <c r="B678" s="8"/>
      <c r="C678" s="8"/>
      <c r="D678" s="8"/>
      <c r="E678" s="8"/>
      <c r="F678" s="8"/>
      <c r="G678" s="6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</row>
    <row r="679" spans="1:28" ht="15" thickBot="1" x14ac:dyDescent="0.35">
      <c r="A679" s="8"/>
      <c r="B679" s="8"/>
      <c r="C679" s="8"/>
      <c r="D679" s="8"/>
      <c r="E679" s="8"/>
      <c r="F679" s="8"/>
      <c r="G679" s="6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</row>
    <row r="680" spans="1:28" ht="15" thickBot="1" x14ac:dyDescent="0.35">
      <c r="A680" s="8"/>
      <c r="B680" s="8"/>
      <c r="C680" s="8"/>
      <c r="D680" s="8"/>
      <c r="E680" s="8"/>
      <c r="F680" s="8"/>
      <c r="G680" s="6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</row>
    <row r="681" spans="1:28" ht="15" thickBot="1" x14ac:dyDescent="0.35">
      <c r="A681" s="8"/>
      <c r="B681" s="8"/>
      <c r="C681" s="8"/>
      <c r="D681" s="8"/>
      <c r="E681" s="8"/>
      <c r="F681" s="8"/>
      <c r="G681" s="6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</row>
    <row r="682" spans="1:28" ht="15" thickBot="1" x14ac:dyDescent="0.35">
      <c r="A682" s="8"/>
      <c r="B682" s="8"/>
      <c r="C682" s="8"/>
      <c r="D682" s="8"/>
      <c r="E682" s="8"/>
      <c r="F682" s="8"/>
      <c r="G682" s="6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</row>
    <row r="683" spans="1:28" ht="15" thickBot="1" x14ac:dyDescent="0.35">
      <c r="A683" s="8"/>
      <c r="B683" s="8"/>
      <c r="C683" s="8"/>
      <c r="D683" s="8"/>
      <c r="E683" s="8"/>
      <c r="F683" s="8"/>
      <c r="G683" s="6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</row>
    <row r="684" spans="1:28" ht="15" thickBot="1" x14ac:dyDescent="0.35">
      <c r="A684" s="8"/>
      <c r="B684" s="8"/>
      <c r="C684" s="8"/>
      <c r="D684" s="8"/>
      <c r="E684" s="8"/>
      <c r="F684" s="8"/>
      <c r="G684" s="6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</row>
    <row r="685" spans="1:28" ht="15" thickBot="1" x14ac:dyDescent="0.35">
      <c r="A685" s="8"/>
      <c r="B685" s="8"/>
      <c r="C685" s="8"/>
      <c r="D685" s="8"/>
      <c r="E685" s="8"/>
      <c r="F685" s="8"/>
      <c r="G685" s="6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</row>
    <row r="686" spans="1:28" ht="15" thickBot="1" x14ac:dyDescent="0.35">
      <c r="A686" s="8"/>
      <c r="B686" s="8"/>
      <c r="C686" s="8"/>
      <c r="D686" s="8"/>
      <c r="E686" s="8"/>
      <c r="F686" s="8"/>
      <c r="G686" s="6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</row>
    <row r="687" spans="1:28" ht="15" thickBot="1" x14ac:dyDescent="0.35">
      <c r="A687" s="8"/>
      <c r="B687" s="8"/>
      <c r="C687" s="8"/>
      <c r="D687" s="8"/>
      <c r="E687" s="8"/>
      <c r="F687" s="8"/>
      <c r="G687" s="6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</row>
    <row r="688" spans="1:28" ht="15" thickBot="1" x14ac:dyDescent="0.35">
      <c r="A688" s="8"/>
      <c r="B688" s="8"/>
      <c r="C688" s="8"/>
      <c r="D688" s="8"/>
      <c r="E688" s="8"/>
      <c r="F688" s="8"/>
      <c r="G688" s="6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</row>
    <row r="689" spans="1:28" ht="15" thickBot="1" x14ac:dyDescent="0.35">
      <c r="A689" s="8"/>
      <c r="B689" s="8"/>
      <c r="C689" s="8"/>
      <c r="D689" s="8"/>
      <c r="E689" s="8"/>
      <c r="F689" s="8"/>
      <c r="G689" s="6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</row>
    <row r="690" spans="1:28" ht="15" thickBot="1" x14ac:dyDescent="0.35">
      <c r="A690" s="8"/>
      <c r="B690" s="8"/>
      <c r="C690" s="8"/>
      <c r="D690" s="8"/>
      <c r="E690" s="8"/>
      <c r="F690" s="8"/>
      <c r="G690" s="6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</row>
    <row r="691" spans="1:28" ht="15" thickBot="1" x14ac:dyDescent="0.35">
      <c r="A691" s="8"/>
      <c r="B691" s="8"/>
      <c r="C691" s="8"/>
      <c r="D691" s="8"/>
      <c r="E691" s="8"/>
      <c r="F691" s="8"/>
      <c r="G691" s="6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</row>
    <row r="692" spans="1:28" ht="15" thickBot="1" x14ac:dyDescent="0.35">
      <c r="A692" s="8"/>
      <c r="B692" s="8"/>
      <c r="C692" s="8"/>
      <c r="D692" s="8"/>
      <c r="E692" s="8"/>
      <c r="F692" s="8"/>
      <c r="G692" s="6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</row>
    <row r="693" spans="1:28" ht="15" thickBot="1" x14ac:dyDescent="0.35">
      <c r="A693" s="8"/>
      <c r="B693" s="8"/>
      <c r="C693" s="8"/>
      <c r="D693" s="8"/>
      <c r="E693" s="8"/>
      <c r="F693" s="8"/>
      <c r="G693" s="6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</row>
    <row r="694" spans="1:28" ht="15" thickBot="1" x14ac:dyDescent="0.35">
      <c r="A694" s="8"/>
      <c r="B694" s="8"/>
      <c r="C694" s="8"/>
      <c r="D694" s="8"/>
      <c r="E694" s="8"/>
      <c r="F694" s="8"/>
      <c r="G694" s="6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</row>
    <row r="695" spans="1:28" ht="15" thickBot="1" x14ac:dyDescent="0.35">
      <c r="A695" s="8"/>
      <c r="B695" s="8"/>
      <c r="C695" s="8"/>
      <c r="D695" s="8"/>
      <c r="E695" s="8"/>
      <c r="F695" s="8"/>
      <c r="G695" s="6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</row>
    <row r="696" spans="1:28" ht="15" thickBot="1" x14ac:dyDescent="0.35">
      <c r="A696" s="8"/>
      <c r="B696" s="8"/>
      <c r="C696" s="8"/>
      <c r="D696" s="8"/>
      <c r="E696" s="8"/>
      <c r="F696" s="8"/>
      <c r="G696" s="6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</row>
    <row r="697" spans="1:28" ht="15" thickBot="1" x14ac:dyDescent="0.35">
      <c r="A697" s="8"/>
      <c r="B697" s="8"/>
      <c r="C697" s="8"/>
      <c r="D697" s="8"/>
      <c r="E697" s="8"/>
      <c r="F697" s="8"/>
      <c r="G697" s="6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</row>
    <row r="698" spans="1:28" ht="15" thickBot="1" x14ac:dyDescent="0.35">
      <c r="A698" s="8"/>
      <c r="B698" s="8"/>
      <c r="C698" s="8"/>
      <c r="D698" s="8"/>
      <c r="E698" s="8"/>
      <c r="F698" s="8"/>
      <c r="G698" s="6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</row>
    <row r="699" spans="1:28" ht="15" thickBot="1" x14ac:dyDescent="0.35">
      <c r="A699" s="8"/>
      <c r="B699" s="8"/>
      <c r="C699" s="8"/>
      <c r="D699" s="8"/>
      <c r="E699" s="8"/>
      <c r="F699" s="8"/>
      <c r="G699" s="6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</row>
    <row r="700" spans="1:28" ht="15" thickBot="1" x14ac:dyDescent="0.35">
      <c r="A700" s="8"/>
      <c r="B700" s="8"/>
      <c r="C700" s="8"/>
      <c r="D700" s="8"/>
      <c r="E700" s="8"/>
      <c r="F700" s="8"/>
      <c r="G700" s="6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</row>
    <row r="701" spans="1:28" ht="15" thickBot="1" x14ac:dyDescent="0.35">
      <c r="A701" s="8"/>
      <c r="B701" s="8"/>
      <c r="C701" s="8"/>
      <c r="D701" s="8"/>
      <c r="E701" s="8"/>
      <c r="F701" s="8"/>
      <c r="G701" s="6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</row>
    <row r="702" spans="1:28" ht="15" thickBot="1" x14ac:dyDescent="0.35">
      <c r="A702" s="8"/>
      <c r="B702" s="8"/>
      <c r="C702" s="8"/>
      <c r="D702" s="8"/>
      <c r="E702" s="8"/>
      <c r="F702" s="8"/>
      <c r="G702" s="6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</row>
    <row r="703" spans="1:28" ht="15" thickBot="1" x14ac:dyDescent="0.35">
      <c r="A703" s="8"/>
      <c r="B703" s="8"/>
      <c r="C703" s="8"/>
      <c r="D703" s="8"/>
      <c r="E703" s="8"/>
      <c r="F703" s="8"/>
      <c r="G703" s="6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</row>
    <row r="704" spans="1:28" ht="15" thickBot="1" x14ac:dyDescent="0.35">
      <c r="A704" s="8"/>
      <c r="B704" s="8"/>
      <c r="C704" s="8"/>
      <c r="D704" s="8"/>
      <c r="E704" s="8"/>
      <c r="F704" s="8"/>
      <c r="G704" s="6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</row>
    <row r="705" spans="1:28" ht="15" thickBot="1" x14ac:dyDescent="0.35">
      <c r="A705" s="8"/>
      <c r="B705" s="8"/>
      <c r="C705" s="8"/>
      <c r="D705" s="8"/>
      <c r="E705" s="8"/>
      <c r="F705" s="8"/>
      <c r="G705" s="6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</row>
    <row r="706" spans="1:28" ht="15" thickBot="1" x14ac:dyDescent="0.35">
      <c r="A706" s="8"/>
      <c r="B706" s="8"/>
      <c r="C706" s="8"/>
      <c r="D706" s="8"/>
      <c r="E706" s="8"/>
      <c r="F706" s="8"/>
      <c r="G706" s="6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</row>
    <row r="707" spans="1:28" ht="15" thickBot="1" x14ac:dyDescent="0.35">
      <c r="A707" s="8"/>
      <c r="B707" s="8"/>
      <c r="C707" s="8"/>
      <c r="D707" s="8"/>
      <c r="E707" s="8"/>
      <c r="F707" s="8"/>
      <c r="G707" s="6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</row>
    <row r="708" spans="1:28" ht="15" thickBot="1" x14ac:dyDescent="0.35">
      <c r="A708" s="8"/>
      <c r="B708" s="8"/>
      <c r="C708" s="8"/>
      <c r="D708" s="8"/>
      <c r="E708" s="8"/>
      <c r="F708" s="8"/>
      <c r="G708" s="6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</row>
    <row r="709" spans="1:28" ht="15" thickBot="1" x14ac:dyDescent="0.35">
      <c r="A709" s="8"/>
      <c r="B709" s="8"/>
      <c r="C709" s="8"/>
      <c r="D709" s="8"/>
      <c r="E709" s="8"/>
      <c r="F709" s="8"/>
      <c r="G709" s="6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</row>
    <row r="710" spans="1:28" ht="15" thickBot="1" x14ac:dyDescent="0.35">
      <c r="A710" s="8"/>
      <c r="B710" s="8"/>
      <c r="C710" s="8"/>
      <c r="D710" s="8"/>
      <c r="E710" s="8"/>
      <c r="F710" s="8"/>
      <c r="G710" s="6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</row>
    <row r="711" spans="1:28" ht="15" thickBot="1" x14ac:dyDescent="0.35">
      <c r="A711" s="8"/>
      <c r="B711" s="8"/>
      <c r="C711" s="8"/>
      <c r="D711" s="8"/>
      <c r="E711" s="8"/>
      <c r="F711" s="8"/>
      <c r="G711" s="6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</row>
    <row r="712" spans="1:28" ht="15" thickBot="1" x14ac:dyDescent="0.35">
      <c r="A712" s="8"/>
      <c r="B712" s="8"/>
      <c r="C712" s="8"/>
      <c r="D712" s="8"/>
      <c r="E712" s="8"/>
      <c r="F712" s="8"/>
      <c r="G712" s="6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</row>
    <row r="713" spans="1:28" ht="15" thickBot="1" x14ac:dyDescent="0.35">
      <c r="A713" s="8"/>
      <c r="B713" s="8"/>
      <c r="C713" s="8"/>
      <c r="D713" s="8"/>
      <c r="E713" s="8"/>
      <c r="F713" s="8"/>
      <c r="G713" s="6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</row>
    <row r="714" spans="1:28" ht="15" thickBot="1" x14ac:dyDescent="0.35">
      <c r="A714" s="8"/>
      <c r="B714" s="8"/>
      <c r="C714" s="8"/>
      <c r="D714" s="8"/>
      <c r="E714" s="8"/>
      <c r="F714" s="8"/>
      <c r="G714" s="6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</row>
    <row r="715" spans="1:28" ht="15" thickBot="1" x14ac:dyDescent="0.35">
      <c r="A715" s="8"/>
      <c r="B715" s="8"/>
      <c r="C715" s="8"/>
      <c r="D715" s="8"/>
      <c r="E715" s="8"/>
      <c r="F715" s="8"/>
      <c r="G715" s="6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</row>
    <row r="716" spans="1:28" ht="15" thickBot="1" x14ac:dyDescent="0.35">
      <c r="A716" s="8"/>
      <c r="B716" s="8"/>
      <c r="C716" s="8"/>
      <c r="D716" s="8"/>
      <c r="E716" s="8"/>
      <c r="F716" s="8"/>
      <c r="G716" s="6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</row>
    <row r="717" spans="1:28" ht="15" thickBot="1" x14ac:dyDescent="0.35">
      <c r="A717" s="8"/>
      <c r="B717" s="8"/>
      <c r="C717" s="8"/>
      <c r="D717" s="8"/>
      <c r="E717" s="8"/>
      <c r="F717" s="8"/>
      <c r="G717" s="6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</row>
    <row r="718" spans="1:28" ht="15" thickBot="1" x14ac:dyDescent="0.35">
      <c r="A718" s="8"/>
      <c r="B718" s="8"/>
      <c r="C718" s="8"/>
      <c r="D718" s="8"/>
      <c r="E718" s="8"/>
      <c r="F718" s="8"/>
      <c r="G718" s="6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</row>
    <row r="719" spans="1:28" ht="15" thickBot="1" x14ac:dyDescent="0.35">
      <c r="A719" s="8"/>
      <c r="B719" s="8"/>
      <c r="C719" s="8"/>
      <c r="D719" s="8"/>
      <c r="E719" s="8"/>
      <c r="F719" s="8"/>
      <c r="G719" s="6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</row>
    <row r="720" spans="1:28" ht="15" thickBot="1" x14ac:dyDescent="0.35">
      <c r="A720" s="8"/>
      <c r="B720" s="8"/>
      <c r="C720" s="8"/>
      <c r="D720" s="8"/>
      <c r="E720" s="8"/>
      <c r="F720" s="8"/>
      <c r="G720" s="6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</row>
    <row r="721" spans="1:28" ht="15" thickBot="1" x14ac:dyDescent="0.35">
      <c r="A721" s="8"/>
      <c r="B721" s="8"/>
      <c r="C721" s="8"/>
      <c r="D721" s="8"/>
      <c r="E721" s="8"/>
      <c r="F721" s="8"/>
      <c r="G721" s="6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</row>
    <row r="722" spans="1:28" ht="15" thickBot="1" x14ac:dyDescent="0.35">
      <c r="A722" s="8"/>
      <c r="B722" s="8"/>
      <c r="C722" s="8"/>
      <c r="D722" s="8"/>
      <c r="E722" s="8"/>
      <c r="F722" s="8"/>
      <c r="G722" s="6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</row>
    <row r="723" spans="1:28" ht="15" thickBot="1" x14ac:dyDescent="0.35">
      <c r="A723" s="8"/>
      <c r="B723" s="8"/>
      <c r="C723" s="8"/>
      <c r="D723" s="8"/>
      <c r="E723" s="8"/>
      <c r="F723" s="8"/>
      <c r="G723" s="6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</row>
    <row r="724" spans="1:28" ht="15" thickBot="1" x14ac:dyDescent="0.35">
      <c r="A724" s="8"/>
      <c r="B724" s="8"/>
      <c r="C724" s="8"/>
      <c r="D724" s="8"/>
      <c r="E724" s="8"/>
      <c r="F724" s="8"/>
      <c r="G724" s="6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</row>
    <row r="725" spans="1:28" ht="15" thickBot="1" x14ac:dyDescent="0.35">
      <c r="A725" s="8"/>
      <c r="B725" s="8"/>
      <c r="C725" s="8"/>
      <c r="D725" s="8"/>
      <c r="E725" s="8"/>
      <c r="F725" s="8"/>
      <c r="G725" s="6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</row>
    <row r="726" spans="1:28" ht="15" thickBot="1" x14ac:dyDescent="0.35">
      <c r="A726" s="8"/>
      <c r="B726" s="8"/>
      <c r="C726" s="8"/>
      <c r="D726" s="8"/>
      <c r="E726" s="8"/>
      <c r="F726" s="8"/>
      <c r="G726" s="6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</row>
    <row r="727" spans="1:28" ht="15" thickBot="1" x14ac:dyDescent="0.35">
      <c r="A727" s="8"/>
      <c r="B727" s="8"/>
      <c r="C727" s="8"/>
      <c r="D727" s="8"/>
      <c r="E727" s="8"/>
      <c r="F727" s="8"/>
      <c r="G727" s="6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</row>
    <row r="728" spans="1:28" ht="15" thickBot="1" x14ac:dyDescent="0.35">
      <c r="A728" s="8"/>
      <c r="B728" s="8"/>
      <c r="C728" s="8"/>
      <c r="D728" s="8"/>
      <c r="E728" s="8"/>
      <c r="F728" s="8"/>
      <c r="G728" s="6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</row>
    <row r="729" spans="1:28" ht="15" thickBot="1" x14ac:dyDescent="0.35">
      <c r="A729" s="8"/>
      <c r="B729" s="8"/>
      <c r="C729" s="8"/>
      <c r="D729" s="8"/>
      <c r="E729" s="8"/>
      <c r="F729" s="8"/>
      <c r="G729" s="6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</row>
    <row r="730" spans="1:28" ht="15" thickBot="1" x14ac:dyDescent="0.35">
      <c r="A730" s="8"/>
      <c r="B730" s="8"/>
      <c r="C730" s="8"/>
      <c r="D730" s="8"/>
      <c r="E730" s="8"/>
      <c r="F730" s="8"/>
      <c r="G730" s="6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</row>
    <row r="731" spans="1:28" ht="15" thickBot="1" x14ac:dyDescent="0.35">
      <c r="A731" s="8"/>
      <c r="B731" s="8"/>
      <c r="C731" s="8"/>
      <c r="D731" s="8"/>
      <c r="E731" s="8"/>
      <c r="F731" s="8"/>
      <c r="G731" s="6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</row>
    <row r="732" spans="1:28" ht="15" thickBot="1" x14ac:dyDescent="0.35">
      <c r="A732" s="8"/>
      <c r="B732" s="8"/>
      <c r="C732" s="8"/>
      <c r="D732" s="8"/>
      <c r="E732" s="8"/>
      <c r="F732" s="8"/>
      <c r="G732" s="6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</row>
    <row r="733" spans="1:28" ht="15" thickBot="1" x14ac:dyDescent="0.35">
      <c r="A733" s="8"/>
      <c r="B733" s="8"/>
      <c r="C733" s="8"/>
      <c r="D733" s="8"/>
      <c r="E733" s="8"/>
      <c r="F733" s="8"/>
      <c r="G733" s="6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</row>
    <row r="734" spans="1:28" ht="15" thickBot="1" x14ac:dyDescent="0.35">
      <c r="A734" s="8"/>
      <c r="B734" s="8"/>
      <c r="C734" s="8"/>
      <c r="D734" s="8"/>
      <c r="E734" s="8"/>
      <c r="F734" s="8"/>
      <c r="G734" s="6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</row>
    <row r="735" spans="1:28" ht="15" thickBot="1" x14ac:dyDescent="0.35">
      <c r="A735" s="8"/>
      <c r="B735" s="8"/>
      <c r="C735" s="8"/>
      <c r="D735" s="8"/>
      <c r="E735" s="8"/>
      <c r="F735" s="8"/>
      <c r="G735" s="6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</row>
    <row r="736" spans="1:28" ht="15" thickBot="1" x14ac:dyDescent="0.35">
      <c r="A736" s="8"/>
      <c r="B736" s="8"/>
      <c r="C736" s="8"/>
      <c r="D736" s="8"/>
      <c r="E736" s="8"/>
      <c r="F736" s="8"/>
      <c r="G736" s="6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</row>
    <row r="737" spans="1:28" ht="15" thickBot="1" x14ac:dyDescent="0.35">
      <c r="A737" s="8"/>
      <c r="B737" s="8"/>
      <c r="C737" s="8"/>
      <c r="D737" s="8"/>
      <c r="E737" s="8"/>
      <c r="F737" s="8"/>
      <c r="G737" s="6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</row>
    <row r="738" spans="1:28" ht="15" thickBot="1" x14ac:dyDescent="0.35">
      <c r="A738" s="8"/>
      <c r="B738" s="8"/>
      <c r="C738" s="8"/>
      <c r="D738" s="8"/>
      <c r="E738" s="8"/>
      <c r="F738" s="8"/>
      <c r="G738" s="6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</row>
    <row r="739" spans="1:28" ht="15" thickBot="1" x14ac:dyDescent="0.35">
      <c r="A739" s="8"/>
      <c r="B739" s="8"/>
      <c r="C739" s="8"/>
      <c r="D739" s="8"/>
      <c r="E739" s="8"/>
      <c r="F739" s="8"/>
      <c r="G739" s="6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</row>
    <row r="740" spans="1:28" ht="15" thickBot="1" x14ac:dyDescent="0.35">
      <c r="A740" s="8"/>
      <c r="B740" s="8"/>
      <c r="C740" s="8"/>
      <c r="D740" s="8"/>
      <c r="E740" s="8"/>
      <c r="F740" s="8"/>
      <c r="G740" s="6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</row>
    <row r="741" spans="1:28" ht="15" thickBot="1" x14ac:dyDescent="0.35">
      <c r="A741" s="8"/>
      <c r="B741" s="8"/>
      <c r="C741" s="8"/>
      <c r="D741" s="8"/>
      <c r="E741" s="8"/>
      <c r="F741" s="8"/>
      <c r="G741" s="6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</row>
    <row r="742" spans="1:28" ht="15" thickBot="1" x14ac:dyDescent="0.35">
      <c r="A742" s="8"/>
      <c r="B742" s="8"/>
      <c r="C742" s="8"/>
      <c r="D742" s="8"/>
      <c r="E742" s="8"/>
      <c r="F742" s="8"/>
      <c r="G742" s="6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</row>
    <row r="743" spans="1:28" ht="15" thickBot="1" x14ac:dyDescent="0.35">
      <c r="A743" s="8"/>
      <c r="B743" s="8"/>
      <c r="C743" s="8"/>
      <c r="D743" s="8"/>
      <c r="E743" s="8"/>
      <c r="F743" s="8"/>
      <c r="G743" s="6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</row>
    <row r="744" spans="1:28" ht="15" thickBot="1" x14ac:dyDescent="0.35">
      <c r="A744" s="8"/>
      <c r="B744" s="8"/>
      <c r="C744" s="8"/>
      <c r="D744" s="8"/>
      <c r="E744" s="8"/>
      <c r="F744" s="8"/>
      <c r="G744" s="6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</row>
    <row r="745" spans="1:28" ht="15" thickBot="1" x14ac:dyDescent="0.35">
      <c r="A745" s="8"/>
      <c r="B745" s="8"/>
      <c r="C745" s="8"/>
      <c r="D745" s="8"/>
      <c r="E745" s="8"/>
      <c r="F745" s="8"/>
      <c r="G745" s="6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</row>
    <row r="746" spans="1:28" ht="15" thickBot="1" x14ac:dyDescent="0.35">
      <c r="A746" s="8"/>
      <c r="B746" s="8"/>
      <c r="C746" s="8"/>
      <c r="D746" s="8"/>
      <c r="E746" s="8"/>
      <c r="F746" s="8"/>
      <c r="G746" s="6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</row>
    <row r="747" spans="1:28" ht="15" thickBot="1" x14ac:dyDescent="0.35">
      <c r="A747" s="8"/>
      <c r="B747" s="8"/>
      <c r="C747" s="8"/>
      <c r="D747" s="8"/>
      <c r="E747" s="8"/>
      <c r="F747" s="8"/>
      <c r="G747" s="6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</row>
    <row r="748" spans="1:28" ht="15" thickBot="1" x14ac:dyDescent="0.35">
      <c r="A748" s="8"/>
      <c r="B748" s="8"/>
      <c r="C748" s="8"/>
      <c r="D748" s="8"/>
      <c r="E748" s="8"/>
      <c r="F748" s="8"/>
      <c r="G748" s="6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</row>
    <row r="749" spans="1:28" ht="15" thickBot="1" x14ac:dyDescent="0.35">
      <c r="A749" s="8"/>
      <c r="B749" s="8"/>
      <c r="C749" s="8"/>
      <c r="D749" s="8"/>
      <c r="E749" s="8"/>
      <c r="F749" s="8"/>
      <c r="G749" s="6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</row>
    <row r="750" spans="1:28" ht="15" thickBot="1" x14ac:dyDescent="0.35">
      <c r="A750" s="8"/>
      <c r="B750" s="8"/>
      <c r="C750" s="8"/>
      <c r="D750" s="8"/>
      <c r="E750" s="8"/>
      <c r="F750" s="8"/>
      <c r="G750" s="6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</row>
    <row r="751" spans="1:28" ht="15" thickBot="1" x14ac:dyDescent="0.35">
      <c r="A751" s="8"/>
      <c r="B751" s="8"/>
      <c r="C751" s="8"/>
      <c r="D751" s="8"/>
      <c r="E751" s="8"/>
      <c r="F751" s="8"/>
      <c r="G751" s="6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</row>
    <row r="752" spans="1:28" ht="15" thickBot="1" x14ac:dyDescent="0.35">
      <c r="A752" s="8"/>
      <c r="B752" s="8"/>
      <c r="C752" s="8"/>
      <c r="D752" s="8"/>
      <c r="E752" s="8"/>
      <c r="F752" s="8"/>
      <c r="G752" s="6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</row>
    <row r="753" spans="1:28" ht="15" thickBot="1" x14ac:dyDescent="0.35">
      <c r="A753" s="8"/>
      <c r="B753" s="8"/>
      <c r="C753" s="8"/>
      <c r="D753" s="8"/>
      <c r="E753" s="8"/>
      <c r="F753" s="8"/>
      <c r="G753" s="6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</row>
    <row r="754" spans="1:28" ht="15" thickBot="1" x14ac:dyDescent="0.35">
      <c r="A754" s="8"/>
      <c r="B754" s="8"/>
      <c r="C754" s="8"/>
      <c r="D754" s="8"/>
      <c r="E754" s="8"/>
      <c r="F754" s="8"/>
      <c r="G754" s="6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</row>
    <row r="755" spans="1:28" ht="15" thickBot="1" x14ac:dyDescent="0.35">
      <c r="A755" s="8"/>
      <c r="B755" s="8"/>
      <c r="C755" s="8"/>
      <c r="D755" s="8"/>
      <c r="E755" s="8"/>
      <c r="F755" s="8"/>
      <c r="G755" s="6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</row>
    <row r="756" spans="1:28" ht="15" thickBot="1" x14ac:dyDescent="0.35">
      <c r="A756" s="8"/>
      <c r="B756" s="8"/>
      <c r="C756" s="8"/>
      <c r="D756" s="8"/>
      <c r="E756" s="8"/>
      <c r="F756" s="8"/>
      <c r="G756" s="6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</row>
    <row r="757" spans="1:28" ht="15" thickBot="1" x14ac:dyDescent="0.35">
      <c r="A757" s="8"/>
      <c r="B757" s="8"/>
      <c r="C757" s="8"/>
      <c r="D757" s="8"/>
      <c r="E757" s="8"/>
      <c r="F757" s="8"/>
      <c r="G757" s="6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</row>
    <row r="758" spans="1:28" ht="15" thickBot="1" x14ac:dyDescent="0.35">
      <c r="A758" s="8"/>
      <c r="B758" s="8"/>
      <c r="C758" s="8"/>
      <c r="D758" s="8"/>
      <c r="E758" s="8"/>
      <c r="F758" s="8"/>
      <c r="G758" s="6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</row>
    <row r="759" spans="1:28" ht="15" thickBot="1" x14ac:dyDescent="0.35">
      <c r="A759" s="8"/>
      <c r="B759" s="8"/>
      <c r="C759" s="8"/>
      <c r="D759" s="8"/>
      <c r="E759" s="8"/>
      <c r="F759" s="8"/>
      <c r="G759" s="6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</row>
    <row r="760" spans="1:28" ht="15" thickBot="1" x14ac:dyDescent="0.35">
      <c r="A760" s="8"/>
      <c r="B760" s="8"/>
      <c r="C760" s="8"/>
      <c r="D760" s="8"/>
      <c r="E760" s="8"/>
      <c r="F760" s="8"/>
      <c r="G760" s="6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</row>
    <row r="761" spans="1:28" ht="15" thickBot="1" x14ac:dyDescent="0.35">
      <c r="A761" s="8"/>
      <c r="B761" s="8"/>
      <c r="C761" s="8"/>
      <c r="D761" s="8"/>
      <c r="E761" s="8"/>
      <c r="F761" s="8"/>
      <c r="G761" s="6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</row>
    <row r="762" spans="1:28" ht="15" thickBot="1" x14ac:dyDescent="0.35">
      <c r="A762" s="8"/>
      <c r="B762" s="8"/>
      <c r="C762" s="8"/>
      <c r="D762" s="8"/>
      <c r="E762" s="8"/>
      <c r="F762" s="8"/>
      <c r="G762" s="6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</row>
    <row r="763" spans="1:28" ht="15" thickBot="1" x14ac:dyDescent="0.35">
      <c r="A763" s="8"/>
      <c r="B763" s="8"/>
      <c r="C763" s="8"/>
      <c r="D763" s="8"/>
      <c r="E763" s="8"/>
      <c r="F763" s="8"/>
      <c r="G763" s="6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</row>
    <row r="764" spans="1:28" ht="15" thickBot="1" x14ac:dyDescent="0.35">
      <c r="A764" s="8"/>
      <c r="B764" s="8"/>
      <c r="C764" s="8"/>
      <c r="D764" s="8"/>
      <c r="E764" s="8"/>
      <c r="F764" s="8"/>
      <c r="G764" s="6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</row>
    <row r="765" spans="1:28" ht="15" thickBot="1" x14ac:dyDescent="0.35">
      <c r="A765" s="8"/>
      <c r="B765" s="8"/>
      <c r="C765" s="8"/>
      <c r="D765" s="8"/>
      <c r="E765" s="8"/>
      <c r="F765" s="8"/>
      <c r="G765" s="6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</row>
    <row r="766" spans="1:28" ht="15" thickBot="1" x14ac:dyDescent="0.35">
      <c r="A766" s="8"/>
      <c r="B766" s="8"/>
      <c r="C766" s="8"/>
      <c r="D766" s="8"/>
      <c r="E766" s="8"/>
      <c r="F766" s="8"/>
      <c r="G766" s="6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</row>
    <row r="767" spans="1:28" ht="15" thickBot="1" x14ac:dyDescent="0.35">
      <c r="A767" s="8"/>
      <c r="B767" s="8"/>
      <c r="C767" s="8"/>
      <c r="D767" s="8"/>
      <c r="E767" s="8"/>
      <c r="F767" s="8"/>
      <c r="G767" s="6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</row>
    <row r="768" spans="1:28" ht="15" thickBot="1" x14ac:dyDescent="0.35">
      <c r="A768" s="8"/>
      <c r="B768" s="8"/>
      <c r="C768" s="8"/>
      <c r="D768" s="8"/>
      <c r="E768" s="8"/>
      <c r="F768" s="8"/>
      <c r="G768" s="6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</row>
    <row r="769" spans="1:28" ht="15" thickBot="1" x14ac:dyDescent="0.35">
      <c r="A769" s="8"/>
      <c r="B769" s="8"/>
      <c r="C769" s="8"/>
      <c r="D769" s="8"/>
      <c r="E769" s="8"/>
      <c r="F769" s="8"/>
      <c r="G769" s="6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</row>
    <row r="770" spans="1:28" ht="15" thickBot="1" x14ac:dyDescent="0.35">
      <c r="A770" s="8"/>
      <c r="B770" s="8"/>
      <c r="C770" s="8"/>
      <c r="D770" s="8"/>
      <c r="E770" s="8"/>
      <c r="F770" s="8"/>
      <c r="G770" s="6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</row>
    <row r="771" spans="1:28" ht="15" thickBot="1" x14ac:dyDescent="0.35">
      <c r="A771" s="8"/>
      <c r="B771" s="8"/>
      <c r="C771" s="8"/>
      <c r="D771" s="8"/>
      <c r="E771" s="8"/>
      <c r="F771" s="8"/>
      <c r="G771" s="6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</row>
    <row r="772" spans="1:28" ht="15" thickBot="1" x14ac:dyDescent="0.35">
      <c r="A772" s="8"/>
      <c r="B772" s="8"/>
      <c r="C772" s="8"/>
      <c r="D772" s="8"/>
      <c r="E772" s="8"/>
      <c r="F772" s="8"/>
      <c r="G772" s="6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</row>
    <row r="773" spans="1:28" ht="15" thickBot="1" x14ac:dyDescent="0.35">
      <c r="A773" s="8"/>
      <c r="B773" s="8"/>
      <c r="C773" s="8"/>
      <c r="D773" s="8"/>
      <c r="E773" s="8"/>
      <c r="F773" s="8"/>
      <c r="G773" s="6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</row>
    <row r="774" spans="1:28" ht="15" thickBot="1" x14ac:dyDescent="0.35">
      <c r="A774" s="8"/>
      <c r="B774" s="8"/>
      <c r="C774" s="8"/>
      <c r="D774" s="8"/>
      <c r="E774" s="8"/>
      <c r="F774" s="8"/>
      <c r="G774" s="6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</row>
    <row r="775" spans="1:28" ht="15" thickBot="1" x14ac:dyDescent="0.35">
      <c r="A775" s="8"/>
      <c r="B775" s="8"/>
      <c r="C775" s="8"/>
      <c r="D775" s="8"/>
      <c r="E775" s="8"/>
      <c r="F775" s="8"/>
      <c r="G775" s="6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</row>
    <row r="776" spans="1:28" ht="15" thickBot="1" x14ac:dyDescent="0.35">
      <c r="A776" s="8"/>
      <c r="B776" s="8"/>
      <c r="C776" s="8"/>
      <c r="D776" s="8"/>
      <c r="E776" s="8"/>
      <c r="F776" s="8"/>
      <c r="G776" s="6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</row>
    <row r="777" spans="1:28" ht="15" thickBot="1" x14ac:dyDescent="0.35">
      <c r="A777" s="8"/>
      <c r="B777" s="8"/>
      <c r="C777" s="8"/>
      <c r="D777" s="8"/>
      <c r="E777" s="8"/>
      <c r="F777" s="8"/>
      <c r="G777" s="6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</row>
    <row r="778" spans="1:28" ht="15" thickBot="1" x14ac:dyDescent="0.35">
      <c r="A778" s="8"/>
      <c r="B778" s="8"/>
      <c r="C778" s="8"/>
      <c r="D778" s="8"/>
      <c r="E778" s="8"/>
      <c r="F778" s="8"/>
      <c r="G778" s="6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</row>
    <row r="779" spans="1:28" ht="15" thickBot="1" x14ac:dyDescent="0.35">
      <c r="A779" s="8"/>
      <c r="B779" s="8"/>
      <c r="C779" s="8"/>
      <c r="D779" s="8"/>
      <c r="E779" s="8"/>
      <c r="F779" s="8"/>
      <c r="G779" s="6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</row>
    <row r="780" spans="1:28" ht="15" thickBot="1" x14ac:dyDescent="0.35">
      <c r="A780" s="8"/>
      <c r="B780" s="8"/>
      <c r="C780" s="8"/>
      <c r="D780" s="8"/>
      <c r="E780" s="8"/>
      <c r="F780" s="8"/>
      <c r="G780" s="6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</row>
    <row r="781" spans="1:28" ht="15" thickBot="1" x14ac:dyDescent="0.35">
      <c r="A781" s="8"/>
      <c r="B781" s="8"/>
      <c r="C781" s="8"/>
      <c r="D781" s="8"/>
      <c r="E781" s="8"/>
      <c r="F781" s="8"/>
      <c r="G781" s="6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</row>
    <row r="782" spans="1:28" ht="15" thickBot="1" x14ac:dyDescent="0.35">
      <c r="A782" s="8"/>
      <c r="B782" s="8"/>
      <c r="C782" s="8"/>
      <c r="D782" s="8"/>
      <c r="E782" s="8"/>
      <c r="F782" s="8"/>
      <c r="G782" s="6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</row>
    <row r="783" spans="1:28" ht="15" thickBot="1" x14ac:dyDescent="0.35">
      <c r="A783" s="8"/>
      <c r="B783" s="8"/>
      <c r="C783" s="8"/>
      <c r="D783" s="8"/>
      <c r="E783" s="8"/>
      <c r="F783" s="8"/>
      <c r="G783" s="6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</row>
    <row r="784" spans="1:28" ht="15" thickBot="1" x14ac:dyDescent="0.35">
      <c r="A784" s="8"/>
      <c r="B784" s="8"/>
      <c r="C784" s="8"/>
      <c r="D784" s="8"/>
      <c r="E784" s="8"/>
      <c r="F784" s="8"/>
      <c r="G784" s="6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</row>
    <row r="785" spans="1:28" ht="15" thickBot="1" x14ac:dyDescent="0.35">
      <c r="A785" s="8"/>
      <c r="B785" s="8"/>
      <c r="C785" s="8"/>
      <c r="D785" s="8"/>
      <c r="E785" s="8"/>
      <c r="F785" s="8"/>
      <c r="G785" s="6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</row>
    <row r="786" spans="1:28" ht="15" thickBot="1" x14ac:dyDescent="0.35">
      <c r="A786" s="8"/>
      <c r="B786" s="8"/>
      <c r="C786" s="8"/>
      <c r="D786" s="8"/>
      <c r="E786" s="8"/>
      <c r="F786" s="8"/>
      <c r="G786" s="6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</row>
    <row r="787" spans="1:28" ht="15" thickBot="1" x14ac:dyDescent="0.35">
      <c r="A787" s="8"/>
      <c r="B787" s="8"/>
      <c r="C787" s="8"/>
      <c r="D787" s="8"/>
      <c r="E787" s="8"/>
      <c r="F787" s="8"/>
      <c r="G787" s="6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</row>
    <row r="788" spans="1:28" ht="15" thickBot="1" x14ac:dyDescent="0.35">
      <c r="A788" s="8"/>
      <c r="B788" s="8"/>
      <c r="C788" s="8"/>
      <c r="D788" s="8"/>
      <c r="E788" s="8"/>
      <c r="F788" s="8"/>
      <c r="G788" s="6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</row>
    <row r="789" spans="1:28" ht="15" thickBot="1" x14ac:dyDescent="0.35">
      <c r="A789" s="8"/>
      <c r="B789" s="8"/>
      <c r="C789" s="8"/>
      <c r="D789" s="8"/>
      <c r="E789" s="8"/>
      <c r="F789" s="8"/>
      <c r="G789" s="6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</row>
    <row r="790" spans="1:28" ht="15" thickBot="1" x14ac:dyDescent="0.35">
      <c r="A790" s="8"/>
      <c r="B790" s="8"/>
      <c r="C790" s="8"/>
      <c r="D790" s="8"/>
      <c r="E790" s="8"/>
      <c r="F790" s="8"/>
      <c r="G790" s="6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</row>
    <row r="791" spans="1:28" ht="15" thickBot="1" x14ac:dyDescent="0.35">
      <c r="A791" s="8"/>
      <c r="B791" s="8"/>
      <c r="C791" s="8"/>
      <c r="D791" s="8"/>
      <c r="E791" s="8"/>
      <c r="F791" s="8"/>
      <c r="G791" s="6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</row>
    <row r="792" spans="1:28" ht="15" thickBot="1" x14ac:dyDescent="0.35">
      <c r="A792" s="8"/>
      <c r="B792" s="8"/>
      <c r="C792" s="8"/>
      <c r="D792" s="8"/>
      <c r="E792" s="8"/>
      <c r="F792" s="8"/>
      <c r="G792" s="6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</row>
    <row r="793" spans="1:28" ht="15" thickBot="1" x14ac:dyDescent="0.35">
      <c r="A793" s="8"/>
      <c r="B793" s="8"/>
      <c r="C793" s="8"/>
      <c r="D793" s="8"/>
      <c r="E793" s="8"/>
      <c r="F793" s="8"/>
      <c r="G793" s="6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</row>
    <row r="794" spans="1:28" ht="15" thickBot="1" x14ac:dyDescent="0.35">
      <c r="A794" s="8"/>
      <c r="B794" s="8"/>
      <c r="C794" s="8"/>
      <c r="D794" s="8"/>
      <c r="E794" s="8"/>
      <c r="F794" s="8"/>
      <c r="G794" s="6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</row>
    <row r="795" spans="1:28" ht="15" thickBot="1" x14ac:dyDescent="0.35">
      <c r="A795" s="8"/>
      <c r="B795" s="8"/>
      <c r="C795" s="8"/>
      <c r="D795" s="8"/>
      <c r="E795" s="8"/>
      <c r="F795" s="8"/>
      <c r="G795" s="6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</row>
    <row r="796" spans="1:28" ht="15" thickBot="1" x14ac:dyDescent="0.35">
      <c r="A796" s="8"/>
      <c r="B796" s="8"/>
      <c r="C796" s="8"/>
      <c r="D796" s="8"/>
      <c r="E796" s="8"/>
      <c r="F796" s="8"/>
      <c r="G796" s="6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</row>
    <row r="797" spans="1:28" ht="15" thickBot="1" x14ac:dyDescent="0.35">
      <c r="A797" s="8"/>
      <c r="B797" s="8"/>
      <c r="C797" s="8"/>
      <c r="D797" s="8"/>
      <c r="E797" s="8"/>
      <c r="F797" s="8"/>
      <c r="G797" s="6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</row>
    <row r="798" spans="1:28" ht="15" thickBot="1" x14ac:dyDescent="0.35">
      <c r="A798" s="8"/>
      <c r="B798" s="8"/>
      <c r="C798" s="8"/>
      <c r="D798" s="8"/>
      <c r="E798" s="8"/>
      <c r="F798" s="8"/>
      <c r="G798" s="6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</row>
    <row r="799" spans="1:28" ht="15" thickBot="1" x14ac:dyDescent="0.35">
      <c r="A799" s="8"/>
      <c r="B799" s="8"/>
      <c r="C799" s="8"/>
      <c r="D799" s="8"/>
      <c r="E799" s="8"/>
      <c r="F799" s="8"/>
      <c r="G799" s="6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</row>
    <row r="800" spans="1:28" ht="15" thickBot="1" x14ac:dyDescent="0.35">
      <c r="A800" s="8"/>
      <c r="B800" s="8"/>
      <c r="C800" s="8"/>
      <c r="D800" s="8"/>
      <c r="E800" s="8"/>
      <c r="F800" s="8"/>
      <c r="G800" s="6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</row>
    <row r="801" spans="1:28" ht="15" thickBot="1" x14ac:dyDescent="0.35">
      <c r="A801" s="8"/>
      <c r="B801" s="8"/>
      <c r="C801" s="8"/>
      <c r="D801" s="8"/>
      <c r="E801" s="8"/>
      <c r="F801" s="8"/>
      <c r="G801" s="6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</row>
    <row r="802" spans="1:28" ht="15" thickBot="1" x14ac:dyDescent="0.35">
      <c r="A802" s="8"/>
      <c r="B802" s="8"/>
      <c r="C802" s="8"/>
      <c r="D802" s="8"/>
      <c r="E802" s="8"/>
      <c r="F802" s="8"/>
      <c r="G802" s="6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</row>
    <row r="803" spans="1:28" ht="15" thickBot="1" x14ac:dyDescent="0.35">
      <c r="A803" s="8"/>
      <c r="B803" s="8"/>
      <c r="C803" s="8"/>
      <c r="D803" s="8"/>
      <c r="E803" s="8"/>
      <c r="F803" s="8"/>
      <c r="G803" s="6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</row>
    <row r="804" spans="1:28" ht="15" thickBot="1" x14ac:dyDescent="0.35">
      <c r="A804" s="8"/>
      <c r="B804" s="8"/>
      <c r="C804" s="8"/>
      <c r="D804" s="8"/>
      <c r="E804" s="8"/>
      <c r="F804" s="8"/>
      <c r="G804" s="6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</row>
    <row r="805" spans="1:28" ht="15" thickBot="1" x14ac:dyDescent="0.35">
      <c r="A805" s="8"/>
      <c r="B805" s="8"/>
      <c r="C805" s="8"/>
      <c r="D805" s="8"/>
      <c r="E805" s="8"/>
      <c r="F805" s="8"/>
      <c r="G805" s="6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</row>
    <row r="806" spans="1:28" ht="15" thickBot="1" x14ac:dyDescent="0.35">
      <c r="A806" s="8"/>
      <c r="B806" s="8"/>
      <c r="C806" s="8"/>
      <c r="D806" s="8"/>
      <c r="E806" s="8"/>
      <c r="F806" s="8"/>
      <c r="G806" s="6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</row>
    <row r="807" spans="1:28" ht="15" thickBot="1" x14ac:dyDescent="0.35">
      <c r="A807" s="8"/>
      <c r="B807" s="8"/>
      <c r="C807" s="8"/>
      <c r="D807" s="8"/>
      <c r="E807" s="8"/>
      <c r="F807" s="8"/>
      <c r="G807" s="6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</row>
    <row r="808" spans="1:28" ht="15" thickBot="1" x14ac:dyDescent="0.35">
      <c r="A808" s="8"/>
      <c r="B808" s="8"/>
      <c r="C808" s="8"/>
      <c r="D808" s="8"/>
      <c r="E808" s="8"/>
      <c r="F808" s="8"/>
      <c r="G808" s="6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</row>
    <row r="809" spans="1:28" ht="15" thickBot="1" x14ac:dyDescent="0.35">
      <c r="A809" s="8"/>
      <c r="B809" s="8"/>
      <c r="C809" s="8"/>
      <c r="D809" s="8"/>
      <c r="E809" s="8"/>
      <c r="F809" s="8"/>
      <c r="G809" s="6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</row>
    <row r="810" spans="1:28" ht="15" thickBot="1" x14ac:dyDescent="0.35">
      <c r="A810" s="8"/>
      <c r="B810" s="8"/>
      <c r="C810" s="8"/>
      <c r="D810" s="8"/>
      <c r="E810" s="8"/>
      <c r="F810" s="8"/>
      <c r="G810" s="6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</row>
    <row r="811" spans="1:28" ht="15" thickBot="1" x14ac:dyDescent="0.35">
      <c r="A811" s="8"/>
      <c r="B811" s="8"/>
      <c r="C811" s="8"/>
      <c r="D811" s="8"/>
      <c r="E811" s="8"/>
      <c r="F811" s="8"/>
      <c r="G811" s="6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</row>
    <row r="812" spans="1:28" ht="15" thickBot="1" x14ac:dyDescent="0.35">
      <c r="A812" s="8"/>
      <c r="B812" s="8"/>
      <c r="C812" s="8"/>
      <c r="D812" s="8"/>
      <c r="E812" s="8"/>
      <c r="F812" s="8"/>
      <c r="G812" s="6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</row>
    <row r="813" spans="1:28" ht="15" thickBot="1" x14ac:dyDescent="0.35">
      <c r="A813" s="8"/>
      <c r="B813" s="8"/>
      <c r="C813" s="8"/>
      <c r="D813" s="8"/>
      <c r="E813" s="8"/>
      <c r="F813" s="8"/>
      <c r="G813" s="6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</row>
    <row r="814" spans="1:28" ht="15" thickBot="1" x14ac:dyDescent="0.35">
      <c r="A814" s="8"/>
      <c r="B814" s="8"/>
      <c r="C814" s="8"/>
      <c r="D814" s="8"/>
      <c r="E814" s="8"/>
      <c r="F814" s="8"/>
      <c r="G814" s="6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</row>
    <row r="815" spans="1:28" ht="15" thickBot="1" x14ac:dyDescent="0.35">
      <c r="A815" s="8"/>
      <c r="B815" s="8"/>
      <c r="C815" s="8"/>
      <c r="D815" s="8"/>
      <c r="E815" s="8"/>
      <c r="F815" s="8"/>
      <c r="G815" s="6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</row>
    <row r="816" spans="1:28" ht="15" thickBot="1" x14ac:dyDescent="0.35">
      <c r="A816" s="8"/>
      <c r="B816" s="8"/>
      <c r="C816" s="8"/>
      <c r="D816" s="8"/>
      <c r="E816" s="8"/>
      <c r="F816" s="8"/>
      <c r="G816" s="6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</row>
    <row r="817" spans="1:28" ht="15" thickBot="1" x14ac:dyDescent="0.35">
      <c r="A817" s="8"/>
      <c r="B817" s="8"/>
      <c r="C817" s="8"/>
      <c r="D817" s="8"/>
      <c r="E817" s="8"/>
      <c r="F817" s="8"/>
      <c r="G817" s="6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</row>
    <row r="818" spans="1:28" ht="15" thickBot="1" x14ac:dyDescent="0.35">
      <c r="A818" s="8"/>
      <c r="B818" s="8"/>
      <c r="C818" s="8"/>
      <c r="D818" s="8"/>
      <c r="E818" s="8"/>
      <c r="F818" s="8"/>
      <c r="G818" s="6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</row>
    <row r="819" spans="1:28" ht="15" thickBot="1" x14ac:dyDescent="0.35">
      <c r="A819" s="8"/>
      <c r="B819" s="8"/>
      <c r="C819" s="8"/>
      <c r="D819" s="8"/>
      <c r="E819" s="8"/>
      <c r="F819" s="8"/>
      <c r="G819" s="6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</row>
    <row r="820" spans="1:28" ht="15" thickBot="1" x14ac:dyDescent="0.35">
      <c r="A820" s="8"/>
      <c r="B820" s="8"/>
      <c r="C820" s="8"/>
      <c r="D820" s="8"/>
      <c r="E820" s="8"/>
      <c r="F820" s="8"/>
      <c r="G820" s="6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</row>
    <row r="821" spans="1:28" ht="15" thickBot="1" x14ac:dyDescent="0.35">
      <c r="A821" s="8"/>
      <c r="B821" s="8"/>
      <c r="C821" s="8"/>
      <c r="D821" s="8"/>
      <c r="E821" s="8"/>
      <c r="F821" s="8"/>
      <c r="G821" s="6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</row>
    <row r="822" spans="1:28" ht="15" thickBot="1" x14ac:dyDescent="0.35">
      <c r="A822" s="8"/>
      <c r="B822" s="8"/>
      <c r="C822" s="8"/>
      <c r="D822" s="8"/>
      <c r="E822" s="8"/>
      <c r="F822" s="8"/>
      <c r="G822" s="6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</row>
    <row r="823" spans="1:28" ht="15" thickBot="1" x14ac:dyDescent="0.35">
      <c r="A823" s="8"/>
      <c r="B823" s="8"/>
      <c r="C823" s="8"/>
      <c r="D823" s="8"/>
      <c r="E823" s="8"/>
      <c r="F823" s="8"/>
      <c r="G823" s="6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</row>
    <row r="824" spans="1:28" ht="15" thickBot="1" x14ac:dyDescent="0.35">
      <c r="A824" s="8"/>
      <c r="B824" s="8"/>
      <c r="C824" s="8"/>
      <c r="D824" s="8"/>
      <c r="E824" s="8"/>
      <c r="F824" s="8"/>
      <c r="G824" s="6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</row>
    <row r="825" spans="1:28" ht="15" thickBot="1" x14ac:dyDescent="0.35">
      <c r="A825" s="8"/>
      <c r="B825" s="8"/>
      <c r="C825" s="8"/>
      <c r="D825" s="8"/>
      <c r="E825" s="8"/>
      <c r="F825" s="8"/>
      <c r="G825" s="6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</row>
    <row r="826" spans="1:28" ht="15" thickBot="1" x14ac:dyDescent="0.35">
      <c r="A826" s="8"/>
      <c r="B826" s="8"/>
      <c r="C826" s="8"/>
      <c r="D826" s="8"/>
      <c r="E826" s="8"/>
      <c r="F826" s="8"/>
      <c r="G826" s="6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</row>
    <row r="827" spans="1:28" ht="15" thickBot="1" x14ac:dyDescent="0.35">
      <c r="A827" s="8"/>
      <c r="B827" s="8"/>
      <c r="C827" s="8"/>
      <c r="D827" s="8"/>
      <c r="E827" s="8"/>
      <c r="F827" s="8"/>
      <c r="G827" s="6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</row>
    <row r="828" spans="1:28" ht="15" thickBot="1" x14ac:dyDescent="0.35">
      <c r="A828" s="8"/>
      <c r="B828" s="8"/>
      <c r="C828" s="8"/>
      <c r="D828" s="8"/>
      <c r="E828" s="8"/>
      <c r="F828" s="8"/>
      <c r="G828" s="6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</row>
    <row r="829" spans="1:28" ht="15" thickBot="1" x14ac:dyDescent="0.35">
      <c r="A829" s="8"/>
      <c r="B829" s="8"/>
      <c r="C829" s="8"/>
      <c r="D829" s="8"/>
      <c r="E829" s="8"/>
      <c r="F829" s="8"/>
      <c r="G829" s="6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</row>
    <row r="830" spans="1:28" ht="15" thickBot="1" x14ac:dyDescent="0.35">
      <c r="A830" s="8"/>
      <c r="B830" s="8"/>
      <c r="C830" s="8"/>
      <c r="D830" s="8"/>
      <c r="E830" s="8"/>
      <c r="F830" s="8"/>
      <c r="G830" s="6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</row>
    <row r="831" spans="1:28" ht="15" thickBot="1" x14ac:dyDescent="0.35">
      <c r="A831" s="8"/>
      <c r="B831" s="8"/>
      <c r="C831" s="8"/>
      <c r="D831" s="8"/>
      <c r="E831" s="8"/>
      <c r="F831" s="8"/>
      <c r="G831" s="6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</row>
    <row r="832" spans="1:28" ht="15" thickBot="1" x14ac:dyDescent="0.35">
      <c r="A832" s="8"/>
      <c r="B832" s="8"/>
      <c r="C832" s="8"/>
      <c r="D832" s="8"/>
      <c r="E832" s="8"/>
      <c r="F832" s="8"/>
      <c r="G832" s="6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</row>
    <row r="833" spans="1:28" ht="15" thickBot="1" x14ac:dyDescent="0.35">
      <c r="A833" s="8"/>
      <c r="B833" s="8"/>
      <c r="C833" s="8"/>
      <c r="D833" s="8"/>
      <c r="E833" s="8"/>
      <c r="F833" s="8"/>
      <c r="G833" s="6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</row>
    <row r="834" spans="1:28" ht="15" thickBot="1" x14ac:dyDescent="0.35">
      <c r="A834" s="8"/>
      <c r="B834" s="8"/>
      <c r="C834" s="8"/>
      <c r="D834" s="8"/>
      <c r="E834" s="8"/>
      <c r="F834" s="8"/>
      <c r="G834" s="6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</row>
    <row r="835" spans="1:28" ht="15" thickBot="1" x14ac:dyDescent="0.35">
      <c r="A835" s="8"/>
      <c r="B835" s="8"/>
      <c r="C835" s="8"/>
      <c r="D835" s="8"/>
      <c r="E835" s="8"/>
      <c r="F835" s="8"/>
      <c r="G835" s="6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</row>
    <row r="836" spans="1:28" ht="15" thickBot="1" x14ac:dyDescent="0.35">
      <c r="A836" s="8"/>
      <c r="B836" s="8"/>
      <c r="C836" s="8"/>
      <c r="D836" s="8"/>
      <c r="E836" s="8"/>
      <c r="F836" s="8"/>
      <c r="G836" s="6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</row>
    <row r="837" spans="1:28" ht="15" thickBot="1" x14ac:dyDescent="0.35">
      <c r="A837" s="8"/>
      <c r="B837" s="8"/>
      <c r="C837" s="8"/>
      <c r="D837" s="8"/>
      <c r="E837" s="8"/>
      <c r="F837" s="8"/>
      <c r="G837" s="6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</row>
    <row r="838" spans="1:28" ht="15" thickBot="1" x14ac:dyDescent="0.35">
      <c r="A838" s="8"/>
      <c r="B838" s="8"/>
      <c r="C838" s="8"/>
      <c r="D838" s="8"/>
      <c r="E838" s="8"/>
      <c r="F838" s="8"/>
      <c r="G838" s="6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</row>
    <row r="839" spans="1:28" ht="15" thickBot="1" x14ac:dyDescent="0.35">
      <c r="A839" s="8"/>
      <c r="B839" s="8"/>
      <c r="C839" s="8"/>
      <c r="D839" s="8"/>
      <c r="E839" s="8"/>
      <c r="F839" s="8"/>
      <c r="G839" s="6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</row>
    <row r="840" spans="1:28" ht="15" thickBot="1" x14ac:dyDescent="0.35">
      <c r="A840" s="8"/>
      <c r="B840" s="8"/>
      <c r="C840" s="8"/>
      <c r="D840" s="8"/>
      <c r="E840" s="8"/>
      <c r="F840" s="8"/>
      <c r="G840" s="6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</row>
    <row r="841" spans="1:28" ht="15" thickBot="1" x14ac:dyDescent="0.35">
      <c r="A841" s="8"/>
      <c r="B841" s="8"/>
      <c r="C841" s="8"/>
      <c r="D841" s="8"/>
      <c r="E841" s="8"/>
      <c r="F841" s="8"/>
      <c r="G841" s="6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</row>
    <row r="842" spans="1:28" ht="15" thickBot="1" x14ac:dyDescent="0.35">
      <c r="A842" s="8"/>
      <c r="B842" s="8"/>
      <c r="C842" s="8"/>
      <c r="D842" s="8"/>
      <c r="E842" s="8"/>
      <c r="F842" s="8"/>
      <c r="G842" s="6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</row>
    <row r="843" spans="1:28" ht="15" thickBot="1" x14ac:dyDescent="0.35">
      <c r="A843" s="8"/>
      <c r="B843" s="8"/>
      <c r="C843" s="8"/>
      <c r="D843" s="8"/>
      <c r="E843" s="8"/>
      <c r="F843" s="8"/>
      <c r="G843" s="6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</row>
    <row r="844" spans="1:28" ht="15" thickBot="1" x14ac:dyDescent="0.35">
      <c r="A844" s="8"/>
      <c r="B844" s="8"/>
      <c r="C844" s="8"/>
      <c r="D844" s="8"/>
      <c r="E844" s="8"/>
      <c r="F844" s="8"/>
      <c r="G844" s="6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</row>
    <row r="845" spans="1:28" ht="15" thickBot="1" x14ac:dyDescent="0.35">
      <c r="A845" s="8"/>
      <c r="B845" s="8"/>
      <c r="C845" s="8"/>
      <c r="D845" s="8"/>
      <c r="E845" s="8"/>
      <c r="F845" s="8"/>
      <c r="G845" s="6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</row>
    <row r="846" spans="1:28" ht="15" thickBot="1" x14ac:dyDescent="0.35">
      <c r="A846" s="8"/>
      <c r="B846" s="8"/>
      <c r="C846" s="8"/>
      <c r="D846" s="8"/>
      <c r="E846" s="8"/>
      <c r="F846" s="8"/>
      <c r="G846" s="6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</row>
    <row r="847" spans="1:28" ht="15" thickBot="1" x14ac:dyDescent="0.35">
      <c r="A847" s="8"/>
      <c r="B847" s="8"/>
      <c r="C847" s="8"/>
      <c r="D847" s="8"/>
      <c r="E847" s="8"/>
      <c r="F847" s="8"/>
      <c r="G847" s="6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</row>
    <row r="848" spans="1:28" ht="15" thickBot="1" x14ac:dyDescent="0.35">
      <c r="A848" s="8"/>
      <c r="B848" s="8"/>
      <c r="C848" s="8"/>
      <c r="D848" s="8"/>
      <c r="E848" s="8"/>
      <c r="F848" s="8"/>
      <c r="G848" s="6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</row>
    <row r="849" spans="1:28" ht="15" thickBot="1" x14ac:dyDescent="0.35">
      <c r="A849" s="8"/>
      <c r="B849" s="8"/>
      <c r="C849" s="8"/>
      <c r="D849" s="8"/>
      <c r="E849" s="8"/>
      <c r="F849" s="8"/>
      <c r="G849" s="6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</row>
    <row r="850" spans="1:28" ht="15" thickBot="1" x14ac:dyDescent="0.35">
      <c r="A850" s="8"/>
      <c r="B850" s="8"/>
      <c r="C850" s="8"/>
      <c r="D850" s="8"/>
      <c r="E850" s="8"/>
      <c r="F850" s="8"/>
      <c r="G850" s="6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</row>
    <row r="851" spans="1:28" ht="15" thickBot="1" x14ac:dyDescent="0.35">
      <c r="A851" s="8"/>
      <c r="B851" s="8"/>
      <c r="C851" s="8"/>
      <c r="D851" s="8"/>
      <c r="E851" s="8"/>
      <c r="F851" s="8"/>
      <c r="G851" s="6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</row>
    <row r="852" spans="1:28" ht="15" thickBot="1" x14ac:dyDescent="0.35">
      <c r="A852" s="8"/>
      <c r="B852" s="8"/>
      <c r="C852" s="8"/>
      <c r="D852" s="8"/>
      <c r="E852" s="8"/>
      <c r="F852" s="8"/>
      <c r="G852" s="6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</row>
    <row r="853" spans="1:28" ht="15" thickBot="1" x14ac:dyDescent="0.35">
      <c r="A853" s="8"/>
      <c r="B853" s="8"/>
      <c r="C853" s="8"/>
      <c r="D853" s="8"/>
      <c r="E853" s="8"/>
      <c r="F853" s="8"/>
      <c r="G853" s="6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</row>
    <row r="854" spans="1:28" ht="15" thickBot="1" x14ac:dyDescent="0.35">
      <c r="A854" s="8"/>
      <c r="B854" s="8"/>
      <c r="C854" s="8"/>
      <c r="D854" s="8"/>
      <c r="E854" s="8"/>
      <c r="F854" s="8"/>
      <c r="G854" s="6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</row>
    <row r="855" spans="1:28" ht="15" thickBot="1" x14ac:dyDescent="0.35">
      <c r="A855" s="8"/>
      <c r="B855" s="8"/>
      <c r="C855" s="8"/>
      <c r="D855" s="8"/>
      <c r="E855" s="8"/>
      <c r="F855" s="8"/>
      <c r="G855" s="6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</row>
    <row r="856" spans="1:28" ht="15" thickBot="1" x14ac:dyDescent="0.35">
      <c r="A856" s="8"/>
      <c r="B856" s="8"/>
      <c r="C856" s="8"/>
      <c r="D856" s="8"/>
      <c r="E856" s="8"/>
      <c r="F856" s="8"/>
      <c r="G856" s="6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</row>
    <row r="857" spans="1:28" ht="15" thickBot="1" x14ac:dyDescent="0.35">
      <c r="A857" s="8"/>
      <c r="B857" s="8"/>
      <c r="C857" s="8"/>
      <c r="D857" s="8"/>
      <c r="E857" s="8"/>
      <c r="F857" s="8"/>
      <c r="G857" s="6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</row>
    <row r="858" spans="1:28" ht="15" thickBot="1" x14ac:dyDescent="0.35">
      <c r="A858" s="8"/>
      <c r="B858" s="8"/>
      <c r="C858" s="8"/>
      <c r="D858" s="8"/>
      <c r="E858" s="8"/>
      <c r="F858" s="8"/>
      <c r="G858" s="6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</row>
    <row r="859" spans="1:28" ht="15" thickBot="1" x14ac:dyDescent="0.35">
      <c r="A859" s="8"/>
      <c r="B859" s="8"/>
      <c r="C859" s="8"/>
      <c r="D859" s="8"/>
      <c r="E859" s="8"/>
      <c r="F859" s="8"/>
      <c r="G859" s="6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</row>
    <row r="860" spans="1:28" ht="15" thickBot="1" x14ac:dyDescent="0.35">
      <c r="A860" s="8"/>
      <c r="B860" s="8"/>
      <c r="C860" s="8"/>
      <c r="D860" s="8"/>
      <c r="E860" s="8"/>
      <c r="F860" s="8"/>
      <c r="G860" s="6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</row>
    <row r="861" spans="1:28" ht="15" thickBot="1" x14ac:dyDescent="0.35">
      <c r="A861" s="8"/>
      <c r="B861" s="8"/>
      <c r="C861" s="8"/>
      <c r="D861" s="8"/>
      <c r="E861" s="8"/>
      <c r="F861" s="8"/>
      <c r="G861" s="6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</row>
    <row r="862" spans="1:28" ht="15" thickBot="1" x14ac:dyDescent="0.35">
      <c r="A862" s="8"/>
      <c r="B862" s="8"/>
      <c r="C862" s="8"/>
      <c r="D862" s="8"/>
      <c r="E862" s="8"/>
      <c r="F862" s="8"/>
      <c r="G862" s="6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</row>
    <row r="863" spans="1:28" ht="15" thickBot="1" x14ac:dyDescent="0.35">
      <c r="A863" s="8"/>
      <c r="B863" s="8"/>
      <c r="C863" s="8"/>
      <c r="D863" s="8"/>
      <c r="E863" s="8"/>
      <c r="F863" s="8"/>
      <c r="G863" s="6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</row>
    <row r="864" spans="1:28" ht="15" thickBot="1" x14ac:dyDescent="0.35">
      <c r="A864" s="8"/>
      <c r="B864" s="8"/>
      <c r="C864" s="8"/>
      <c r="D864" s="8"/>
      <c r="E864" s="8"/>
      <c r="F864" s="8"/>
      <c r="G864" s="6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</row>
    <row r="865" spans="1:28" ht="15" thickBot="1" x14ac:dyDescent="0.35">
      <c r="A865" s="8"/>
      <c r="B865" s="8"/>
      <c r="C865" s="8"/>
      <c r="D865" s="8"/>
      <c r="E865" s="8"/>
      <c r="F865" s="8"/>
      <c r="G865" s="6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</row>
    <row r="866" spans="1:28" ht="15" thickBot="1" x14ac:dyDescent="0.35">
      <c r="A866" s="8"/>
      <c r="B866" s="8"/>
      <c r="C866" s="8"/>
      <c r="D866" s="8"/>
      <c r="E866" s="8"/>
      <c r="F866" s="8"/>
      <c r="G866" s="6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</row>
    <row r="867" spans="1:28" ht="15" thickBot="1" x14ac:dyDescent="0.35">
      <c r="A867" s="8"/>
      <c r="B867" s="8"/>
      <c r="C867" s="8"/>
      <c r="D867" s="8"/>
      <c r="E867" s="8"/>
      <c r="F867" s="8"/>
      <c r="G867" s="6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</row>
    <row r="868" spans="1:28" ht="15" thickBot="1" x14ac:dyDescent="0.35">
      <c r="A868" s="8"/>
      <c r="B868" s="8"/>
      <c r="C868" s="8"/>
      <c r="D868" s="8"/>
      <c r="E868" s="8"/>
      <c r="F868" s="8"/>
      <c r="G868" s="6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</row>
    <row r="869" spans="1:28" ht="15" thickBot="1" x14ac:dyDescent="0.35">
      <c r="A869" s="8"/>
      <c r="B869" s="8"/>
      <c r="C869" s="8"/>
      <c r="D869" s="8"/>
      <c r="E869" s="8"/>
      <c r="F869" s="8"/>
      <c r="G869" s="6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</row>
    <row r="870" spans="1:28" ht="15" thickBot="1" x14ac:dyDescent="0.35">
      <c r="A870" s="8"/>
      <c r="B870" s="8"/>
      <c r="C870" s="8"/>
      <c r="D870" s="8"/>
      <c r="E870" s="8"/>
      <c r="F870" s="8"/>
      <c r="G870" s="6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</row>
    <row r="871" spans="1:28" ht="15" thickBot="1" x14ac:dyDescent="0.35">
      <c r="A871" s="8"/>
      <c r="B871" s="8"/>
      <c r="C871" s="8"/>
      <c r="D871" s="8"/>
      <c r="E871" s="8"/>
      <c r="F871" s="8"/>
      <c r="G871" s="6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</row>
    <row r="872" spans="1:28" ht="15" thickBot="1" x14ac:dyDescent="0.35">
      <c r="A872" s="8"/>
      <c r="B872" s="8"/>
      <c r="C872" s="8"/>
      <c r="D872" s="8"/>
      <c r="E872" s="8"/>
      <c r="F872" s="8"/>
      <c r="G872" s="6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</row>
    <row r="873" spans="1:28" ht="15" thickBot="1" x14ac:dyDescent="0.35">
      <c r="A873" s="8"/>
      <c r="B873" s="8"/>
      <c r="C873" s="8"/>
      <c r="D873" s="8"/>
      <c r="E873" s="8"/>
      <c r="F873" s="8"/>
      <c r="G873" s="6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</row>
    <row r="874" spans="1:28" ht="15" thickBot="1" x14ac:dyDescent="0.35">
      <c r="A874" s="8"/>
      <c r="B874" s="8"/>
      <c r="C874" s="8"/>
      <c r="D874" s="8"/>
      <c r="E874" s="8"/>
      <c r="F874" s="8"/>
      <c r="G874" s="6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</row>
    <row r="875" spans="1:28" ht="15" thickBot="1" x14ac:dyDescent="0.35">
      <c r="A875" s="8"/>
      <c r="B875" s="8"/>
      <c r="C875" s="8"/>
      <c r="D875" s="8"/>
      <c r="E875" s="8"/>
      <c r="F875" s="8"/>
      <c r="G875" s="6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</row>
    <row r="876" spans="1:28" ht="15" thickBot="1" x14ac:dyDescent="0.35">
      <c r="A876" s="8"/>
      <c r="B876" s="8"/>
      <c r="C876" s="8"/>
      <c r="D876" s="8"/>
      <c r="E876" s="8"/>
      <c r="F876" s="8"/>
      <c r="G876" s="6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</row>
    <row r="877" spans="1:28" ht="15" thickBot="1" x14ac:dyDescent="0.35">
      <c r="A877" s="8"/>
      <c r="B877" s="8"/>
      <c r="C877" s="8"/>
      <c r="D877" s="8"/>
      <c r="E877" s="8"/>
      <c r="F877" s="8"/>
      <c r="G877" s="6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</row>
    <row r="878" spans="1:28" ht="15" thickBot="1" x14ac:dyDescent="0.35">
      <c r="A878" s="8"/>
      <c r="B878" s="8"/>
      <c r="C878" s="8"/>
      <c r="D878" s="8"/>
      <c r="E878" s="8"/>
      <c r="F878" s="8"/>
      <c r="G878" s="6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</row>
    <row r="879" spans="1:28" ht="15" thickBot="1" x14ac:dyDescent="0.35">
      <c r="A879" s="8"/>
      <c r="B879" s="8"/>
      <c r="C879" s="8"/>
      <c r="D879" s="8"/>
      <c r="E879" s="8"/>
      <c r="F879" s="8"/>
      <c r="G879" s="6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</row>
    <row r="880" spans="1:28" ht="15" thickBot="1" x14ac:dyDescent="0.35">
      <c r="A880" s="8"/>
      <c r="B880" s="8"/>
      <c r="C880" s="8"/>
      <c r="D880" s="8"/>
      <c r="E880" s="8"/>
      <c r="F880" s="8"/>
      <c r="G880" s="6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</row>
    <row r="881" spans="1:28" ht="15" thickBot="1" x14ac:dyDescent="0.35">
      <c r="A881" s="8"/>
      <c r="B881" s="8"/>
      <c r="C881" s="8"/>
      <c r="D881" s="8"/>
      <c r="E881" s="8"/>
      <c r="F881" s="8"/>
      <c r="G881" s="6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</row>
    <row r="882" spans="1:28" ht="15" thickBot="1" x14ac:dyDescent="0.35">
      <c r="A882" s="8"/>
      <c r="B882" s="8"/>
      <c r="C882" s="8"/>
      <c r="D882" s="8"/>
      <c r="E882" s="8"/>
      <c r="F882" s="8"/>
      <c r="G882" s="6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</row>
    <row r="883" spans="1:28" ht="15" thickBot="1" x14ac:dyDescent="0.35">
      <c r="A883" s="8"/>
      <c r="B883" s="8"/>
      <c r="C883" s="8"/>
      <c r="D883" s="8"/>
      <c r="E883" s="8"/>
      <c r="F883" s="8"/>
      <c r="G883" s="6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</row>
    <row r="884" spans="1:28" ht="15" thickBot="1" x14ac:dyDescent="0.35">
      <c r="A884" s="8"/>
      <c r="B884" s="8"/>
      <c r="C884" s="8"/>
      <c r="D884" s="8"/>
      <c r="E884" s="8"/>
      <c r="F884" s="8"/>
      <c r="G884" s="6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</row>
    <row r="885" spans="1:28" ht="15" thickBot="1" x14ac:dyDescent="0.35">
      <c r="A885" s="8"/>
      <c r="B885" s="8"/>
      <c r="C885" s="8"/>
      <c r="D885" s="8"/>
      <c r="E885" s="8"/>
      <c r="F885" s="8"/>
      <c r="G885" s="6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</row>
    <row r="886" spans="1:28" ht="15" thickBot="1" x14ac:dyDescent="0.35">
      <c r="A886" s="8"/>
      <c r="B886" s="8"/>
      <c r="C886" s="8"/>
      <c r="D886" s="8"/>
      <c r="E886" s="8"/>
      <c r="F886" s="8"/>
      <c r="G886" s="6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</row>
    <row r="887" spans="1:28" ht="15" thickBot="1" x14ac:dyDescent="0.35">
      <c r="A887" s="8"/>
      <c r="B887" s="8"/>
      <c r="C887" s="8"/>
      <c r="D887" s="8"/>
      <c r="E887" s="8"/>
      <c r="F887" s="8"/>
      <c r="G887" s="6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</row>
    <row r="888" spans="1:28" ht="15" thickBot="1" x14ac:dyDescent="0.35">
      <c r="A888" s="8"/>
      <c r="B888" s="8"/>
      <c r="C888" s="8"/>
      <c r="D888" s="8"/>
      <c r="E888" s="8"/>
      <c r="F888" s="8"/>
      <c r="G888" s="6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</row>
    <row r="889" spans="1:28" ht="15" thickBot="1" x14ac:dyDescent="0.35">
      <c r="A889" s="8"/>
      <c r="B889" s="8"/>
      <c r="C889" s="8"/>
      <c r="D889" s="8"/>
      <c r="E889" s="8"/>
      <c r="F889" s="8"/>
      <c r="G889" s="6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</row>
    <row r="890" spans="1:28" ht="15" thickBot="1" x14ac:dyDescent="0.35">
      <c r="A890" s="8"/>
      <c r="B890" s="8"/>
      <c r="C890" s="8"/>
      <c r="D890" s="8"/>
      <c r="E890" s="8"/>
      <c r="F890" s="8"/>
      <c r="G890" s="6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</row>
    <row r="891" spans="1:28" ht="15" thickBot="1" x14ac:dyDescent="0.35">
      <c r="A891" s="8"/>
      <c r="B891" s="8"/>
      <c r="C891" s="8"/>
      <c r="D891" s="8"/>
      <c r="E891" s="8"/>
      <c r="F891" s="8"/>
      <c r="G891" s="6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</row>
    <row r="892" spans="1:28" ht="15" thickBot="1" x14ac:dyDescent="0.35">
      <c r="A892" s="8"/>
      <c r="B892" s="8"/>
      <c r="C892" s="8"/>
      <c r="D892" s="8"/>
      <c r="E892" s="8"/>
      <c r="F892" s="8"/>
      <c r="G892" s="6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</row>
    <row r="893" spans="1:28" ht="15" thickBot="1" x14ac:dyDescent="0.35">
      <c r="A893" s="8"/>
      <c r="B893" s="8"/>
      <c r="C893" s="8"/>
      <c r="D893" s="8"/>
      <c r="E893" s="8"/>
      <c r="F893" s="8"/>
      <c r="G893" s="6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</row>
    <row r="894" spans="1:28" ht="15" thickBot="1" x14ac:dyDescent="0.35">
      <c r="A894" s="8"/>
      <c r="B894" s="8"/>
      <c r="C894" s="8"/>
      <c r="D894" s="8"/>
      <c r="E894" s="8"/>
      <c r="F894" s="8"/>
      <c r="G894" s="6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</row>
    <row r="895" spans="1:28" ht="15" thickBot="1" x14ac:dyDescent="0.35">
      <c r="A895" s="8"/>
      <c r="B895" s="8"/>
      <c r="C895" s="8"/>
      <c r="D895" s="8"/>
      <c r="E895" s="8"/>
      <c r="F895" s="8"/>
      <c r="G895" s="6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</row>
    <row r="896" spans="1:28" ht="15" thickBot="1" x14ac:dyDescent="0.35">
      <c r="A896" s="8"/>
      <c r="B896" s="8"/>
      <c r="C896" s="8"/>
      <c r="D896" s="8"/>
      <c r="E896" s="8"/>
      <c r="F896" s="8"/>
      <c r="G896" s="6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</row>
    <row r="897" spans="1:28" ht="15" thickBot="1" x14ac:dyDescent="0.35">
      <c r="A897" s="8"/>
      <c r="B897" s="8"/>
      <c r="C897" s="8"/>
      <c r="D897" s="8"/>
      <c r="E897" s="8"/>
      <c r="F897" s="8"/>
      <c r="G897" s="6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</row>
    <row r="898" spans="1:28" ht="15" thickBot="1" x14ac:dyDescent="0.35">
      <c r="A898" s="8"/>
      <c r="B898" s="8"/>
      <c r="C898" s="8"/>
      <c r="D898" s="8"/>
      <c r="E898" s="8"/>
      <c r="F898" s="8"/>
      <c r="G898" s="6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</row>
    <row r="899" spans="1:28" ht="15" thickBot="1" x14ac:dyDescent="0.35">
      <c r="A899" s="8"/>
      <c r="B899" s="8"/>
      <c r="C899" s="8"/>
      <c r="D899" s="8"/>
      <c r="E899" s="8"/>
      <c r="F899" s="8"/>
      <c r="G899" s="6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</row>
    <row r="900" spans="1:28" ht="15" thickBot="1" x14ac:dyDescent="0.35">
      <c r="A900" s="8"/>
      <c r="B900" s="8"/>
      <c r="C900" s="8"/>
      <c r="D900" s="8"/>
      <c r="E900" s="8"/>
      <c r="F900" s="8"/>
      <c r="G900" s="6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</row>
    <row r="901" spans="1:28" ht="15" thickBot="1" x14ac:dyDescent="0.35">
      <c r="A901" s="8"/>
      <c r="B901" s="8"/>
      <c r="C901" s="8"/>
      <c r="D901" s="8"/>
      <c r="E901" s="8"/>
      <c r="F901" s="8"/>
      <c r="G901" s="6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</row>
    <row r="902" spans="1:28" ht="15" thickBot="1" x14ac:dyDescent="0.35">
      <c r="A902" s="8"/>
      <c r="B902" s="8"/>
      <c r="C902" s="8"/>
      <c r="D902" s="8"/>
      <c r="E902" s="8"/>
      <c r="F902" s="8"/>
      <c r="G902" s="6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</row>
    <row r="903" spans="1:28" ht="15" thickBot="1" x14ac:dyDescent="0.35">
      <c r="A903" s="8"/>
      <c r="B903" s="8"/>
      <c r="C903" s="8"/>
      <c r="D903" s="8"/>
      <c r="E903" s="8"/>
      <c r="F903" s="8"/>
      <c r="G903" s="6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</row>
    <row r="904" spans="1:28" ht="15" thickBot="1" x14ac:dyDescent="0.35">
      <c r="A904" s="8"/>
      <c r="B904" s="8"/>
      <c r="C904" s="8"/>
      <c r="D904" s="8"/>
      <c r="E904" s="8"/>
      <c r="F904" s="8"/>
      <c r="G904" s="6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</row>
    <row r="905" spans="1:28" ht="15" thickBot="1" x14ac:dyDescent="0.35">
      <c r="A905" s="8"/>
      <c r="B905" s="8"/>
      <c r="C905" s="8"/>
      <c r="D905" s="8"/>
      <c r="E905" s="8"/>
      <c r="F905" s="8"/>
      <c r="G905" s="6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</row>
    <row r="906" spans="1:28" ht="15" thickBot="1" x14ac:dyDescent="0.35">
      <c r="A906" s="8"/>
      <c r="B906" s="8"/>
      <c r="C906" s="8"/>
      <c r="D906" s="8"/>
      <c r="E906" s="8"/>
      <c r="F906" s="8"/>
      <c r="G906" s="6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</row>
    <row r="907" spans="1:28" ht="15" thickBot="1" x14ac:dyDescent="0.35">
      <c r="A907" s="8"/>
      <c r="B907" s="8"/>
      <c r="C907" s="8"/>
      <c r="D907" s="8"/>
      <c r="E907" s="8"/>
      <c r="F907" s="8"/>
      <c r="G907" s="6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</row>
    <row r="908" spans="1:28" ht="15" thickBot="1" x14ac:dyDescent="0.35">
      <c r="A908" s="8"/>
      <c r="B908" s="8"/>
      <c r="C908" s="8"/>
      <c r="D908" s="8"/>
      <c r="E908" s="8"/>
      <c r="F908" s="8"/>
      <c r="G908" s="6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</row>
    <row r="909" spans="1:28" ht="15" thickBot="1" x14ac:dyDescent="0.35">
      <c r="A909" s="8"/>
      <c r="B909" s="8"/>
      <c r="C909" s="8"/>
      <c r="D909" s="8"/>
      <c r="E909" s="8"/>
      <c r="F909" s="8"/>
      <c r="G909" s="6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</row>
    <row r="910" spans="1:28" ht="15" thickBot="1" x14ac:dyDescent="0.35">
      <c r="A910" s="8"/>
      <c r="B910" s="8"/>
      <c r="C910" s="8"/>
      <c r="D910" s="8"/>
      <c r="E910" s="8"/>
      <c r="F910" s="8"/>
      <c r="G910" s="6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</row>
    <row r="911" spans="1:28" ht="15" thickBot="1" x14ac:dyDescent="0.35">
      <c r="A911" s="8"/>
      <c r="B911" s="8"/>
      <c r="C911" s="8"/>
      <c r="D911" s="8"/>
      <c r="E911" s="8"/>
      <c r="F911" s="8"/>
      <c r="G911" s="6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</row>
    <row r="912" spans="1:28" ht="15" thickBot="1" x14ac:dyDescent="0.35">
      <c r="A912" s="8"/>
      <c r="B912" s="8"/>
      <c r="C912" s="8"/>
      <c r="D912" s="8"/>
      <c r="E912" s="8"/>
      <c r="F912" s="8"/>
      <c r="G912" s="6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</row>
    <row r="913" spans="1:28" ht="15" thickBot="1" x14ac:dyDescent="0.35">
      <c r="A913" s="8"/>
      <c r="B913" s="8"/>
      <c r="C913" s="8"/>
      <c r="D913" s="8"/>
      <c r="E913" s="8"/>
      <c r="F913" s="8"/>
      <c r="G913" s="6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</row>
    <row r="914" spans="1:28" ht="15" thickBot="1" x14ac:dyDescent="0.35">
      <c r="A914" s="8"/>
      <c r="B914" s="8"/>
      <c r="C914" s="8"/>
      <c r="D914" s="8"/>
      <c r="E914" s="8"/>
      <c r="F914" s="8"/>
      <c r="G914" s="6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</row>
    <row r="915" spans="1:28" ht="15" thickBot="1" x14ac:dyDescent="0.35">
      <c r="A915" s="8"/>
      <c r="B915" s="8"/>
      <c r="C915" s="8"/>
      <c r="D915" s="8"/>
      <c r="E915" s="8"/>
      <c r="F915" s="8"/>
      <c r="G915" s="6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</row>
    <row r="916" spans="1:28" ht="15" thickBot="1" x14ac:dyDescent="0.35">
      <c r="A916" s="8"/>
      <c r="B916" s="8"/>
      <c r="C916" s="8"/>
      <c r="D916" s="8"/>
      <c r="E916" s="8"/>
      <c r="F916" s="8"/>
      <c r="G916" s="6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</row>
    <row r="917" spans="1:28" ht="15" thickBot="1" x14ac:dyDescent="0.35">
      <c r="A917" s="8"/>
      <c r="B917" s="8"/>
      <c r="C917" s="8"/>
      <c r="D917" s="8"/>
      <c r="E917" s="8"/>
      <c r="F917" s="8"/>
      <c r="G917" s="6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</row>
    <row r="918" spans="1:28" ht="15" thickBot="1" x14ac:dyDescent="0.35">
      <c r="A918" s="8"/>
      <c r="B918" s="8"/>
      <c r="C918" s="8"/>
      <c r="D918" s="8"/>
      <c r="E918" s="8"/>
      <c r="F918" s="8"/>
      <c r="G918" s="6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</row>
    <row r="919" spans="1:28" ht="15" thickBot="1" x14ac:dyDescent="0.35">
      <c r="A919" s="8"/>
      <c r="B919" s="8"/>
      <c r="C919" s="8"/>
      <c r="D919" s="8"/>
      <c r="E919" s="8"/>
      <c r="F919" s="8"/>
      <c r="G919" s="6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</row>
    <row r="920" spans="1:28" ht="15" thickBot="1" x14ac:dyDescent="0.35">
      <c r="A920" s="8"/>
      <c r="B920" s="8"/>
      <c r="C920" s="8"/>
      <c r="D920" s="8"/>
      <c r="E920" s="8"/>
      <c r="F920" s="8"/>
      <c r="G920" s="6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</row>
    <row r="921" spans="1:28" ht="15" thickBot="1" x14ac:dyDescent="0.35">
      <c r="A921" s="8"/>
      <c r="B921" s="8"/>
      <c r="C921" s="8"/>
      <c r="D921" s="8"/>
      <c r="E921" s="8"/>
      <c r="F921" s="8"/>
      <c r="G921" s="6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</row>
    <row r="922" spans="1:28" ht="15" thickBot="1" x14ac:dyDescent="0.35">
      <c r="A922" s="8"/>
      <c r="B922" s="8"/>
      <c r="C922" s="8"/>
      <c r="D922" s="8"/>
      <c r="E922" s="8"/>
      <c r="F922" s="8"/>
      <c r="G922" s="6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</row>
    <row r="923" spans="1:28" ht="15" thickBot="1" x14ac:dyDescent="0.35">
      <c r="A923" s="8"/>
      <c r="B923" s="8"/>
      <c r="C923" s="8"/>
      <c r="D923" s="8"/>
      <c r="E923" s="8"/>
      <c r="F923" s="8"/>
      <c r="G923" s="6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</row>
    <row r="924" spans="1:28" ht="15" thickBot="1" x14ac:dyDescent="0.35">
      <c r="A924" s="8"/>
      <c r="B924" s="8"/>
      <c r="C924" s="8"/>
      <c r="D924" s="8"/>
      <c r="E924" s="8"/>
      <c r="F924" s="8"/>
      <c r="G924" s="6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</row>
    <row r="925" spans="1:28" ht="15" thickBot="1" x14ac:dyDescent="0.35">
      <c r="A925" s="8"/>
      <c r="B925" s="8"/>
      <c r="C925" s="8"/>
      <c r="D925" s="8"/>
      <c r="E925" s="8"/>
      <c r="F925" s="8"/>
      <c r="G925" s="6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</row>
    <row r="926" spans="1:28" ht="15" thickBot="1" x14ac:dyDescent="0.35">
      <c r="A926" s="8"/>
      <c r="B926" s="8"/>
      <c r="C926" s="8"/>
      <c r="D926" s="8"/>
      <c r="E926" s="8"/>
      <c r="F926" s="8"/>
      <c r="G926" s="6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</row>
    <row r="927" spans="1:28" ht="15" thickBot="1" x14ac:dyDescent="0.35">
      <c r="A927" s="8"/>
      <c r="B927" s="8"/>
      <c r="C927" s="8"/>
      <c r="D927" s="8"/>
      <c r="E927" s="8"/>
      <c r="F927" s="8"/>
      <c r="G927" s="6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</row>
    <row r="928" spans="1:28" ht="15" thickBot="1" x14ac:dyDescent="0.35">
      <c r="A928" s="8"/>
      <c r="B928" s="8"/>
      <c r="C928" s="8"/>
      <c r="D928" s="8"/>
      <c r="E928" s="8"/>
      <c r="F928" s="8"/>
      <c r="G928" s="6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</row>
    <row r="929" spans="1:28" ht="15" thickBot="1" x14ac:dyDescent="0.35">
      <c r="A929" s="8"/>
      <c r="B929" s="8"/>
      <c r="C929" s="8"/>
      <c r="D929" s="8"/>
      <c r="E929" s="8"/>
      <c r="F929" s="8"/>
      <c r="G929" s="6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</row>
    <row r="930" spans="1:28" ht="15" thickBot="1" x14ac:dyDescent="0.35">
      <c r="A930" s="8"/>
      <c r="B930" s="8"/>
      <c r="C930" s="8"/>
      <c r="D930" s="8"/>
      <c r="E930" s="8"/>
      <c r="F930" s="8"/>
      <c r="G930" s="6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</row>
    <row r="931" spans="1:28" ht="15" thickBot="1" x14ac:dyDescent="0.35">
      <c r="A931" s="8"/>
      <c r="B931" s="8"/>
      <c r="C931" s="8"/>
      <c r="D931" s="8"/>
      <c r="E931" s="8"/>
      <c r="F931" s="8"/>
      <c r="G931" s="6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</row>
    <row r="932" spans="1:28" ht="15" thickBot="1" x14ac:dyDescent="0.35">
      <c r="A932" s="8"/>
      <c r="B932" s="8"/>
      <c r="C932" s="8"/>
      <c r="D932" s="8"/>
      <c r="E932" s="8"/>
      <c r="F932" s="8"/>
      <c r="G932" s="6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</row>
    <row r="933" spans="1:28" ht="15" thickBot="1" x14ac:dyDescent="0.35">
      <c r="A933" s="8"/>
      <c r="B933" s="8"/>
      <c r="C933" s="8"/>
      <c r="D933" s="8"/>
      <c r="E933" s="8"/>
      <c r="F933" s="8"/>
      <c r="G933" s="6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</row>
    <row r="934" spans="1:28" ht="15" thickBot="1" x14ac:dyDescent="0.35">
      <c r="A934" s="8"/>
      <c r="B934" s="8"/>
      <c r="C934" s="8"/>
      <c r="D934" s="8"/>
      <c r="E934" s="8"/>
      <c r="F934" s="8"/>
      <c r="G934" s="6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</row>
    <row r="935" spans="1:28" ht="15" thickBot="1" x14ac:dyDescent="0.35">
      <c r="A935" s="8"/>
      <c r="B935" s="8"/>
      <c r="C935" s="8"/>
      <c r="D935" s="8"/>
      <c r="E935" s="8"/>
      <c r="F935" s="8"/>
      <c r="G935" s="6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</row>
    <row r="936" spans="1:28" ht="15" thickBot="1" x14ac:dyDescent="0.35">
      <c r="A936" s="8"/>
      <c r="B936" s="8"/>
      <c r="C936" s="8"/>
      <c r="D936" s="8"/>
      <c r="E936" s="8"/>
      <c r="F936" s="8"/>
      <c r="G936" s="6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</row>
    <row r="937" spans="1:28" ht="15" thickBot="1" x14ac:dyDescent="0.35">
      <c r="A937" s="8"/>
      <c r="B937" s="8"/>
      <c r="C937" s="8"/>
      <c r="D937" s="8"/>
      <c r="E937" s="8"/>
      <c r="F937" s="8"/>
      <c r="G937" s="6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</row>
    <row r="938" spans="1:28" ht="15" thickBot="1" x14ac:dyDescent="0.35">
      <c r="A938" s="8"/>
      <c r="B938" s="8"/>
      <c r="C938" s="8"/>
      <c r="D938" s="8"/>
      <c r="E938" s="8"/>
      <c r="F938" s="8"/>
      <c r="G938" s="6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</row>
    <row r="939" spans="1:28" ht="15" thickBot="1" x14ac:dyDescent="0.35">
      <c r="A939" s="8"/>
      <c r="B939" s="8"/>
      <c r="C939" s="8"/>
      <c r="D939" s="8"/>
      <c r="E939" s="8"/>
      <c r="F939" s="8"/>
      <c r="G939" s="6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</row>
    <row r="940" spans="1:28" ht="15" thickBot="1" x14ac:dyDescent="0.35">
      <c r="A940" s="8"/>
      <c r="B940" s="8"/>
      <c r="C940" s="8"/>
      <c r="D940" s="8"/>
      <c r="E940" s="8"/>
      <c r="F940" s="8"/>
      <c r="G940" s="6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</row>
    <row r="941" spans="1:28" ht="15" thickBot="1" x14ac:dyDescent="0.35">
      <c r="A941" s="8"/>
      <c r="B941" s="8"/>
      <c r="C941" s="8"/>
      <c r="D941" s="8"/>
      <c r="E941" s="8"/>
      <c r="F941" s="8"/>
      <c r="G941" s="6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</row>
    <row r="942" spans="1:28" ht="15" thickBot="1" x14ac:dyDescent="0.35">
      <c r="A942" s="8"/>
      <c r="B942" s="8"/>
      <c r="C942" s="8"/>
      <c r="D942" s="8"/>
      <c r="E942" s="8"/>
      <c r="F942" s="8"/>
      <c r="G942" s="6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</row>
    <row r="943" spans="1:28" ht="15" thickBot="1" x14ac:dyDescent="0.35">
      <c r="A943" s="8"/>
      <c r="B943" s="8"/>
      <c r="C943" s="8"/>
      <c r="D943" s="8"/>
      <c r="E943" s="8"/>
      <c r="F943" s="8"/>
      <c r="G943" s="6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</row>
    <row r="944" spans="1:28" ht="15" thickBot="1" x14ac:dyDescent="0.35">
      <c r="A944" s="8"/>
      <c r="B944" s="8"/>
      <c r="C944" s="8"/>
      <c r="D944" s="8"/>
      <c r="E944" s="8"/>
      <c r="F944" s="8"/>
      <c r="G944" s="6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</row>
    <row r="945" spans="1:28" ht="15" thickBot="1" x14ac:dyDescent="0.35">
      <c r="A945" s="8"/>
      <c r="B945" s="8"/>
      <c r="C945" s="8"/>
      <c r="D945" s="8"/>
      <c r="E945" s="8"/>
      <c r="F945" s="8"/>
      <c r="G945" s="6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</row>
    <row r="946" spans="1:28" ht="15" thickBot="1" x14ac:dyDescent="0.35">
      <c r="A946" s="8"/>
      <c r="B946" s="8"/>
      <c r="C946" s="8"/>
      <c r="D946" s="8"/>
      <c r="E946" s="8"/>
      <c r="F946" s="8"/>
      <c r="G946" s="6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</row>
    <row r="947" spans="1:28" ht="15" thickBot="1" x14ac:dyDescent="0.35">
      <c r="A947" s="8"/>
      <c r="B947" s="8"/>
      <c r="C947" s="8"/>
      <c r="D947" s="8"/>
      <c r="E947" s="8"/>
      <c r="F947" s="8"/>
      <c r="G947" s="6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</row>
    <row r="948" spans="1:28" ht="15" thickBot="1" x14ac:dyDescent="0.35">
      <c r="A948" s="8"/>
      <c r="B948" s="8"/>
      <c r="C948" s="8"/>
      <c r="D948" s="8"/>
      <c r="E948" s="8"/>
      <c r="F948" s="8"/>
      <c r="G948" s="6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</row>
    <row r="949" spans="1:28" ht="15" thickBot="1" x14ac:dyDescent="0.35">
      <c r="A949" s="8"/>
      <c r="B949" s="8"/>
      <c r="C949" s="8"/>
      <c r="D949" s="8"/>
      <c r="E949" s="8"/>
      <c r="F949" s="8"/>
      <c r="G949" s="6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</row>
    <row r="950" spans="1:28" ht="15" thickBot="1" x14ac:dyDescent="0.35">
      <c r="A950" s="8"/>
      <c r="B950" s="8"/>
      <c r="C950" s="8"/>
      <c r="D950" s="8"/>
      <c r="E950" s="8"/>
      <c r="F950" s="8"/>
      <c r="G950" s="6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</row>
    <row r="951" spans="1:28" ht="15" thickBot="1" x14ac:dyDescent="0.35">
      <c r="A951" s="8"/>
      <c r="B951" s="8"/>
      <c r="C951" s="8"/>
      <c r="D951" s="8"/>
      <c r="E951" s="8"/>
      <c r="F951" s="8"/>
      <c r="G951" s="6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</row>
    <row r="952" spans="1:28" ht="15" thickBot="1" x14ac:dyDescent="0.35">
      <c r="A952" s="8"/>
      <c r="B952" s="8"/>
      <c r="C952" s="8"/>
      <c r="D952" s="8"/>
      <c r="E952" s="8"/>
      <c r="F952" s="8"/>
      <c r="G952" s="6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</row>
    <row r="953" spans="1:28" ht="15" thickBot="1" x14ac:dyDescent="0.35">
      <c r="A953" s="8"/>
      <c r="B953" s="8"/>
      <c r="C953" s="8"/>
      <c r="D953" s="8"/>
      <c r="E953" s="8"/>
      <c r="F953" s="8"/>
      <c r="G953" s="6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</row>
    <row r="954" spans="1:28" ht="15" thickBot="1" x14ac:dyDescent="0.35">
      <c r="A954" s="8"/>
      <c r="B954" s="8"/>
      <c r="C954" s="8"/>
      <c r="D954" s="8"/>
      <c r="E954" s="8"/>
      <c r="F954" s="8"/>
      <c r="G954" s="6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</row>
    <row r="955" spans="1:28" ht="15" thickBot="1" x14ac:dyDescent="0.35">
      <c r="A955" s="8"/>
      <c r="B955" s="8"/>
      <c r="C955" s="8"/>
      <c r="D955" s="8"/>
      <c r="E955" s="8"/>
      <c r="F955" s="8"/>
      <c r="G955" s="6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</row>
    <row r="956" spans="1:28" ht="15" thickBot="1" x14ac:dyDescent="0.35">
      <c r="A956" s="8"/>
      <c r="B956" s="8"/>
      <c r="C956" s="8"/>
      <c r="D956" s="8"/>
      <c r="E956" s="8"/>
      <c r="F956" s="8"/>
      <c r="G956" s="6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</row>
    <row r="957" spans="1:28" ht="15" thickBot="1" x14ac:dyDescent="0.35">
      <c r="A957" s="8"/>
      <c r="B957" s="8"/>
      <c r="C957" s="8"/>
      <c r="D957" s="8"/>
      <c r="E957" s="8"/>
      <c r="F957" s="8"/>
      <c r="G957" s="6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</row>
    <row r="958" spans="1:28" ht="15" thickBot="1" x14ac:dyDescent="0.35">
      <c r="A958" s="8"/>
      <c r="B958" s="8"/>
      <c r="C958" s="8"/>
      <c r="D958" s="8"/>
      <c r="E958" s="8"/>
      <c r="F958" s="8"/>
      <c r="G958" s="6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</row>
    <row r="959" spans="1:28" ht="15" thickBot="1" x14ac:dyDescent="0.35">
      <c r="A959" s="8"/>
      <c r="B959" s="8"/>
      <c r="C959" s="8"/>
      <c r="D959" s="8"/>
      <c r="E959" s="8"/>
      <c r="F959" s="8"/>
      <c r="G959" s="6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</row>
    <row r="960" spans="1:28" ht="15" thickBot="1" x14ac:dyDescent="0.35">
      <c r="A960" s="8"/>
      <c r="B960" s="8"/>
      <c r="C960" s="8"/>
      <c r="D960" s="8"/>
      <c r="E960" s="8"/>
      <c r="F960" s="8"/>
      <c r="G960" s="6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  <c r="AB960" s="8"/>
    </row>
    <row r="961" spans="1:28" ht="15" thickBot="1" x14ac:dyDescent="0.35">
      <c r="A961" s="8"/>
      <c r="B961" s="8"/>
      <c r="C961" s="8"/>
      <c r="D961" s="8"/>
      <c r="E961" s="8"/>
      <c r="F961" s="8"/>
      <c r="G961" s="6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  <c r="AB961" s="8"/>
    </row>
    <row r="962" spans="1:28" ht="15" thickBot="1" x14ac:dyDescent="0.35">
      <c r="A962" s="8"/>
      <c r="B962" s="8"/>
      <c r="C962" s="8"/>
      <c r="D962" s="8"/>
      <c r="E962" s="8"/>
      <c r="F962" s="8"/>
      <c r="G962" s="6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  <c r="AB962" s="8"/>
    </row>
    <row r="963" spans="1:28" ht="15" thickBot="1" x14ac:dyDescent="0.35">
      <c r="A963" s="8"/>
      <c r="B963" s="8"/>
      <c r="C963" s="8"/>
      <c r="D963" s="8"/>
      <c r="E963" s="8"/>
      <c r="F963" s="8"/>
      <c r="G963" s="6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  <c r="AB963" s="8"/>
    </row>
    <row r="964" spans="1:28" ht="15" thickBot="1" x14ac:dyDescent="0.35">
      <c r="A964" s="8"/>
      <c r="B964" s="8"/>
      <c r="C964" s="8"/>
      <c r="D964" s="8"/>
      <c r="E964" s="8"/>
      <c r="F964" s="8"/>
      <c r="G964" s="6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  <c r="AB964" s="8"/>
    </row>
    <row r="965" spans="1:28" ht="15" thickBot="1" x14ac:dyDescent="0.35">
      <c r="A965" s="8"/>
      <c r="B965" s="8"/>
      <c r="C965" s="8"/>
      <c r="D965" s="8"/>
      <c r="E965" s="8"/>
      <c r="F965" s="8"/>
      <c r="G965" s="6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  <c r="AB965" s="8"/>
    </row>
    <row r="966" spans="1:28" ht="15" thickBot="1" x14ac:dyDescent="0.35">
      <c r="A966" s="8"/>
      <c r="B966" s="8"/>
      <c r="C966" s="8"/>
      <c r="D966" s="8"/>
      <c r="E966" s="8"/>
      <c r="F966" s="8"/>
      <c r="G966" s="6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  <c r="AB966" s="8"/>
    </row>
    <row r="967" spans="1:28" ht="15" thickBot="1" x14ac:dyDescent="0.35">
      <c r="A967" s="8"/>
      <c r="B967" s="8"/>
      <c r="C967" s="8"/>
      <c r="D967" s="8"/>
      <c r="E967" s="8"/>
      <c r="F967" s="8"/>
      <c r="G967" s="6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  <c r="AB967" s="8"/>
    </row>
    <row r="968" spans="1:28" ht="15" thickBot="1" x14ac:dyDescent="0.35">
      <c r="A968" s="8"/>
      <c r="B968" s="8"/>
      <c r="C968" s="8"/>
      <c r="D968" s="8"/>
      <c r="E968" s="8"/>
      <c r="F968" s="8"/>
      <c r="G968" s="6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  <c r="AB968" s="8"/>
    </row>
    <row r="969" spans="1:28" ht="15" thickBot="1" x14ac:dyDescent="0.35">
      <c r="A969" s="8"/>
      <c r="B969" s="8"/>
      <c r="C969" s="8"/>
      <c r="D969" s="8"/>
      <c r="E969" s="8"/>
      <c r="F969" s="8"/>
      <c r="G969" s="6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  <c r="AB969" s="8"/>
    </row>
    <row r="970" spans="1:28" ht="15" thickBot="1" x14ac:dyDescent="0.35">
      <c r="A970" s="8"/>
      <c r="B970" s="8"/>
      <c r="C970" s="8"/>
      <c r="D970" s="8"/>
      <c r="E970" s="8"/>
      <c r="F970" s="8"/>
      <c r="G970" s="6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  <c r="AB970" s="8"/>
    </row>
    <row r="971" spans="1:28" ht="15" thickBot="1" x14ac:dyDescent="0.35">
      <c r="A971" s="8"/>
      <c r="B971" s="8"/>
      <c r="C971" s="8"/>
      <c r="D971" s="8"/>
      <c r="E971" s="8"/>
      <c r="F971" s="8"/>
      <c r="G971" s="6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  <c r="AB971" s="8"/>
    </row>
    <row r="972" spans="1:28" ht="15" thickBot="1" x14ac:dyDescent="0.35">
      <c r="A972" s="8"/>
      <c r="B972" s="8"/>
      <c r="C972" s="8"/>
      <c r="D972" s="8"/>
      <c r="E972" s="8"/>
      <c r="F972" s="8"/>
      <c r="G972" s="6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  <c r="AB972" s="8"/>
    </row>
    <row r="973" spans="1:28" ht="15" thickBot="1" x14ac:dyDescent="0.35">
      <c r="A973" s="8"/>
      <c r="B973" s="8"/>
      <c r="C973" s="8"/>
      <c r="D973" s="8"/>
      <c r="E973" s="8"/>
      <c r="F973" s="8"/>
      <c r="G973" s="6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  <c r="AB973" s="8"/>
    </row>
    <row r="974" spans="1:28" ht="15" thickBot="1" x14ac:dyDescent="0.35">
      <c r="A974" s="8"/>
      <c r="B974" s="8"/>
      <c r="C974" s="8"/>
      <c r="D974" s="8"/>
      <c r="E974" s="8"/>
      <c r="F974" s="8"/>
      <c r="G974" s="6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  <c r="AB974" s="8"/>
    </row>
    <row r="975" spans="1:28" ht="15" thickBot="1" x14ac:dyDescent="0.35">
      <c r="A975" s="8"/>
      <c r="B975" s="8"/>
      <c r="C975" s="8"/>
      <c r="D975" s="8"/>
      <c r="E975" s="8"/>
      <c r="F975" s="8"/>
      <c r="G975" s="6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  <c r="AB975" s="8"/>
    </row>
    <row r="976" spans="1:28" ht="15" thickBot="1" x14ac:dyDescent="0.35">
      <c r="A976" s="8"/>
      <c r="B976" s="8"/>
      <c r="C976" s="8"/>
      <c r="D976" s="8"/>
      <c r="E976" s="8"/>
      <c r="F976" s="8"/>
      <c r="G976" s="6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  <c r="AB976" s="8"/>
    </row>
    <row r="977" spans="1:28" ht="15" thickBot="1" x14ac:dyDescent="0.35">
      <c r="A977" s="8"/>
      <c r="B977" s="8"/>
      <c r="C977" s="8"/>
      <c r="D977" s="8"/>
      <c r="E977" s="8"/>
      <c r="F977" s="8"/>
      <c r="G977" s="6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  <c r="AB977" s="8"/>
    </row>
    <row r="978" spans="1:28" ht="15" thickBot="1" x14ac:dyDescent="0.35">
      <c r="A978" s="8"/>
      <c r="B978" s="8"/>
      <c r="C978" s="8"/>
      <c r="D978" s="8"/>
      <c r="E978" s="8"/>
      <c r="F978" s="8"/>
      <c r="G978" s="6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  <c r="AB978" s="8"/>
    </row>
    <row r="979" spans="1:28" ht="15" thickBot="1" x14ac:dyDescent="0.35">
      <c r="A979" s="8"/>
      <c r="B979" s="8"/>
      <c r="C979" s="8"/>
      <c r="D979" s="8"/>
      <c r="E979" s="8"/>
      <c r="F979" s="8"/>
      <c r="G979" s="6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  <c r="AB979" s="8"/>
    </row>
    <row r="980" spans="1:28" ht="15" thickBot="1" x14ac:dyDescent="0.35">
      <c r="A980" s="8"/>
      <c r="B980" s="8"/>
      <c r="C980" s="8"/>
      <c r="D980" s="8"/>
      <c r="E980" s="8"/>
      <c r="F980" s="8"/>
      <c r="G980" s="6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  <c r="AB980" s="8"/>
    </row>
    <row r="981" spans="1:28" ht="15" thickBot="1" x14ac:dyDescent="0.35">
      <c r="A981" s="8"/>
      <c r="B981" s="8"/>
      <c r="C981" s="8"/>
      <c r="D981" s="8"/>
      <c r="E981" s="8"/>
      <c r="F981" s="8"/>
      <c r="G981" s="6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  <c r="AB981" s="8"/>
    </row>
    <row r="982" spans="1:28" ht="15" thickBot="1" x14ac:dyDescent="0.35">
      <c r="A982" s="8"/>
      <c r="B982" s="8"/>
      <c r="C982" s="8"/>
      <c r="D982" s="8"/>
      <c r="E982" s="8"/>
      <c r="F982" s="8"/>
      <c r="G982" s="6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  <c r="AB982" s="8"/>
    </row>
    <row r="983" spans="1:28" ht="15" thickBot="1" x14ac:dyDescent="0.35">
      <c r="A983" s="8"/>
      <c r="B983" s="8"/>
      <c r="C983" s="8"/>
      <c r="D983" s="8"/>
      <c r="E983" s="8"/>
      <c r="F983" s="8"/>
      <c r="G983" s="6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  <c r="AB983" s="8"/>
    </row>
    <row r="984" spans="1:28" ht="15" thickBot="1" x14ac:dyDescent="0.35">
      <c r="A984" s="8"/>
      <c r="B984" s="8"/>
      <c r="C984" s="8"/>
      <c r="D984" s="8"/>
      <c r="E984" s="8"/>
      <c r="F984" s="8"/>
      <c r="G984" s="6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  <c r="AB984" s="8"/>
    </row>
    <row r="985" spans="1:28" ht="15" thickBot="1" x14ac:dyDescent="0.35">
      <c r="A985" s="8"/>
      <c r="B985" s="8"/>
      <c r="C985" s="8"/>
      <c r="D985" s="8"/>
      <c r="E985" s="8"/>
      <c r="F985" s="8"/>
      <c r="G985" s="6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  <c r="AB985" s="8"/>
    </row>
    <row r="986" spans="1:28" ht="15" thickBot="1" x14ac:dyDescent="0.35">
      <c r="A986" s="8"/>
      <c r="B986" s="8"/>
      <c r="C986" s="8"/>
      <c r="D986" s="8"/>
      <c r="E986" s="8"/>
      <c r="F986" s="8"/>
      <c r="G986" s="6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  <c r="AB986" s="8"/>
    </row>
    <row r="987" spans="1:28" ht="15" thickBot="1" x14ac:dyDescent="0.35">
      <c r="A987" s="8"/>
      <c r="B987" s="8"/>
      <c r="C987" s="8"/>
      <c r="D987" s="8"/>
      <c r="E987" s="8"/>
      <c r="F987" s="8"/>
      <c r="G987" s="6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  <c r="AB987" s="8"/>
    </row>
    <row r="988" spans="1:28" ht="15" thickBot="1" x14ac:dyDescent="0.35">
      <c r="A988" s="8"/>
      <c r="B988" s="8"/>
      <c r="C988" s="8"/>
      <c r="D988" s="8"/>
      <c r="E988" s="8"/>
      <c r="F988" s="8"/>
      <c r="G988" s="6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  <c r="AB988" s="8"/>
    </row>
    <row r="989" spans="1:28" ht="15" thickBot="1" x14ac:dyDescent="0.35">
      <c r="A989" s="8"/>
      <c r="B989" s="8"/>
      <c r="C989" s="8"/>
      <c r="D989" s="8"/>
      <c r="E989" s="8"/>
      <c r="F989" s="8"/>
      <c r="G989" s="6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  <c r="AB989" s="8"/>
    </row>
    <row r="990" spans="1:28" ht="15" thickBot="1" x14ac:dyDescent="0.35">
      <c r="A990" s="8"/>
      <c r="B990" s="8"/>
      <c r="C990" s="8"/>
      <c r="D990" s="8"/>
      <c r="E990" s="8"/>
      <c r="F990" s="8"/>
      <c r="G990" s="6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  <c r="AB990" s="8"/>
    </row>
    <row r="991" spans="1:28" ht="15" thickBot="1" x14ac:dyDescent="0.35">
      <c r="A991" s="8"/>
      <c r="B991" s="8"/>
      <c r="C991" s="8"/>
      <c r="D991" s="8"/>
      <c r="E991" s="8"/>
      <c r="F991" s="8"/>
      <c r="G991" s="6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</row>
    <row r="992" spans="1:28" ht="15" thickBot="1" x14ac:dyDescent="0.35">
      <c r="A992" s="8"/>
      <c r="B992" s="8"/>
      <c r="C992" s="8"/>
      <c r="D992" s="8"/>
      <c r="E992" s="8"/>
      <c r="F992" s="8"/>
      <c r="G992" s="6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  <c r="AB992" s="8"/>
    </row>
    <row r="993" spans="1:28" ht="15" thickBot="1" x14ac:dyDescent="0.35">
      <c r="A993" s="8"/>
      <c r="B993" s="8"/>
      <c r="C993" s="8"/>
      <c r="D993" s="8"/>
      <c r="E993" s="8"/>
      <c r="F993" s="8"/>
      <c r="G993" s="6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  <c r="AB993" s="8"/>
    </row>
    <row r="994" spans="1:28" ht="15" thickBot="1" x14ac:dyDescent="0.35">
      <c r="A994" s="8"/>
      <c r="B994" s="8"/>
      <c r="C994" s="8"/>
      <c r="D994" s="8"/>
      <c r="E994" s="8"/>
      <c r="F994" s="8"/>
      <c r="G994" s="6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  <c r="AB994" s="8"/>
    </row>
    <row r="995" spans="1:28" ht="15" thickBot="1" x14ac:dyDescent="0.35">
      <c r="A995" s="8"/>
      <c r="B995" s="8"/>
      <c r="C995" s="8"/>
      <c r="D995" s="8"/>
      <c r="E995" s="8"/>
      <c r="F995" s="8"/>
      <c r="G995" s="6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  <c r="AB995" s="8"/>
    </row>
    <row r="996" spans="1:28" ht="15" thickBot="1" x14ac:dyDescent="0.35">
      <c r="A996" s="8"/>
      <c r="B996" s="8"/>
      <c r="C996" s="8"/>
      <c r="D996" s="8"/>
      <c r="E996" s="8"/>
      <c r="F996" s="8"/>
      <c r="G996" s="6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  <c r="AB996" s="8"/>
    </row>
    <row r="997" spans="1:28" ht="15" thickBot="1" x14ac:dyDescent="0.35">
      <c r="A997" s="8"/>
      <c r="B997" s="8"/>
      <c r="C997" s="8"/>
      <c r="D997" s="8"/>
      <c r="E997" s="8"/>
      <c r="F997" s="8"/>
      <c r="G997" s="6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  <c r="AB997" s="8"/>
    </row>
    <row r="998" spans="1:28" ht="15" thickBot="1" x14ac:dyDescent="0.35">
      <c r="A998" s="8"/>
      <c r="B998" s="8"/>
      <c r="C998" s="8"/>
      <c r="D998" s="8"/>
      <c r="E998" s="8"/>
      <c r="F998" s="8"/>
      <c r="G998" s="6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  <c r="AB998" s="8"/>
    </row>
    <row r="999" spans="1:28" ht="15" thickBot="1" x14ac:dyDescent="0.35">
      <c r="A999" s="8"/>
      <c r="B999" s="8"/>
      <c r="C999" s="8"/>
      <c r="D999" s="8"/>
      <c r="E999" s="8"/>
      <c r="F999" s="8"/>
      <c r="G999" s="6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  <c r="AB999" s="8"/>
    </row>
    <row r="1000" spans="1:28" ht="15" thickBot="1" x14ac:dyDescent="0.35">
      <c r="A1000" s="8"/>
      <c r="B1000" s="8"/>
      <c r="C1000" s="8"/>
      <c r="D1000" s="8"/>
      <c r="E1000" s="8"/>
      <c r="F1000" s="8"/>
      <c r="G1000" s="6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  <c r="AB1000" s="8"/>
    </row>
  </sheetData>
  <autoFilter ref="J1:J1000" xr:uid="{2510267D-FB32-4F6F-A3C9-8B3265A4DF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108D9-D2E5-4424-8042-473C1F3F1F6A}">
  <dimension ref="A1:Z66"/>
  <sheetViews>
    <sheetView tabSelected="1" topLeftCell="F1" workbookViewId="0">
      <selection activeCell="T1" sqref="T1"/>
    </sheetView>
  </sheetViews>
  <sheetFormatPr defaultRowHeight="14.4" x14ac:dyDescent="0.3"/>
  <cols>
    <col min="18" max="18" width="18.33203125" customWidth="1"/>
    <col min="19" max="19" width="13.44140625" bestFit="1" customWidth="1"/>
    <col min="20" max="22" width="15.44140625" bestFit="1" customWidth="1"/>
    <col min="23" max="23" width="13.44140625" bestFit="1" customWidth="1"/>
    <col min="24" max="24" width="16.77734375" bestFit="1" customWidth="1"/>
    <col min="25" max="25" width="19.5546875" customWidth="1"/>
    <col min="26" max="26" width="18.77734375" customWidth="1"/>
  </cols>
  <sheetData>
    <row r="1" spans="1:26" ht="43.8" thickBot="1" x14ac:dyDescent="0.35">
      <c r="A1" s="3" t="s">
        <v>4</v>
      </c>
      <c r="B1" s="4" t="s">
        <v>5</v>
      </c>
      <c r="C1" s="12" t="s">
        <v>131</v>
      </c>
      <c r="D1" s="12" t="s">
        <v>132</v>
      </c>
      <c r="E1" s="12" t="s">
        <v>133</v>
      </c>
      <c r="F1" s="12" t="s">
        <v>134</v>
      </c>
      <c r="G1" s="12" t="s">
        <v>163</v>
      </c>
      <c r="H1" s="12" t="s">
        <v>161</v>
      </c>
      <c r="I1" s="12" t="s">
        <v>162</v>
      </c>
      <c r="J1" s="12" t="s">
        <v>136</v>
      </c>
      <c r="K1" s="19" t="s">
        <v>165</v>
      </c>
      <c r="L1" s="19" t="s">
        <v>166</v>
      </c>
      <c r="M1" s="19" t="s">
        <v>167</v>
      </c>
      <c r="N1" s="19" t="s">
        <v>168</v>
      </c>
      <c r="O1" s="19" t="s">
        <v>169</v>
      </c>
      <c r="P1" s="19" t="s">
        <v>170</v>
      </c>
      <c r="Q1" s="19" t="s">
        <v>171</v>
      </c>
      <c r="R1" s="19" t="s">
        <v>172</v>
      </c>
      <c r="S1" s="23" t="s">
        <v>6</v>
      </c>
      <c r="T1" s="23" t="s">
        <v>7</v>
      </c>
      <c r="U1" s="23" t="s">
        <v>8</v>
      </c>
      <c r="V1" s="23" t="s">
        <v>9</v>
      </c>
      <c r="W1" s="23" t="s">
        <v>175</v>
      </c>
      <c r="X1" s="24" t="s">
        <v>174</v>
      </c>
      <c r="Y1" s="24" t="s">
        <v>176</v>
      </c>
      <c r="Z1" s="24" t="s">
        <v>173</v>
      </c>
    </row>
    <row r="2" spans="1:26" ht="15" thickBot="1" x14ac:dyDescent="0.35">
      <c r="A2" s="5" t="s">
        <v>13</v>
      </c>
      <c r="B2" s="13" t="s">
        <v>66</v>
      </c>
      <c r="C2" s="6">
        <v>51</v>
      </c>
      <c r="D2" s="6">
        <v>11</v>
      </c>
      <c r="E2" s="6">
        <v>26</v>
      </c>
      <c r="F2" s="6">
        <v>152</v>
      </c>
      <c r="G2" s="6">
        <f>SUM(H2:I2)</f>
        <v>601</v>
      </c>
      <c r="H2" s="6">
        <v>318</v>
      </c>
      <c r="I2" s="6">
        <v>283</v>
      </c>
      <c r="J2" s="6">
        <v>841</v>
      </c>
      <c r="K2" s="6">
        <v>298368</v>
      </c>
      <c r="L2" s="6">
        <v>664279</v>
      </c>
      <c r="M2" s="6">
        <v>1076302</v>
      </c>
      <c r="N2" s="6">
        <v>2569637</v>
      </c>
      <c r="O2" s="6">
        <f>SUM(P2:Q2)</f>
        <v>1051129</v>
      </c>
      <c r="P2" s="6">
        <v>811720</v>
      </c>
      <c r="Q2" s="6">
        <v>239409</v>
      </c>
      <c r="R2" s="6">
        <v>5659715</v>
      </c>
      <c r="S2">
        <f t="shared" ref="S2:Z2" si="0">C2/K2*100000</f>
        <v>17.092985842985843</v>
      </c>
      <c r="T2">
        <f t="shared" si="0"/>
        <v>1.6559307158588485</v>
      </c>
      <c r="U2">
        <f t="shared" si="0"/>
        <v>2.4156788708002028</v>
      </c>
      <c r="V2">
        <f t="shared" si="0"/>
        <v>5.9152323849633239</v>
      </c>
      <c r="W2">
        <f t="shared" si="0"/>
        <v>57.176616761596343</v>
      </c>
      <c r="X2">
        <f t="shared" si="0"/>
        <v>39.176070566205091</v>
      </c>
      <c r="Y2">
        <f t="shared" si="0"/>
        <v>118.20775325906712</v>
      </c>
      <c r="Z2">
        <f t="shared" si="0"/>
        <v>14.859405464762803</v>
      </c>
    </row>
    <row r="3" spans="1:26" ht="15" thickBot="1" x14ac:dyDescent="0.35">
      <c r="A3" s="5" t="s">
        <v>13</v>
      </c>
      <c r="B3" s="13" t="s">
        <v>67</v>
      </c>
      <c r="C3" s="6">
        <v>52</v>
      </c>
      <c r="D3" s="6">
        <v>19</v>
      </c>
      <c r="E3" s="6">
        <v>19</v>
      </c>
      <c r="F3" s="6">
        <v>179</v>
      </c>
      <c r="G3" s="6">
        <f t="shared" ref="G3:G66" si="1">SUM(H3:I3)</f>
        <v>645</v>
      </c>
      <c r="H3" s="6">
        <v>271</v>
      </c>
      <c r="I3" s="6">
        <v>374</v>
      </c>
      <c r="J3" s="6">
        <v>914</v>
      </c>
      <c r="K3" s="6">
        <v>298368</v>
      </c>
      <c r="L3" s="6">
        <v>664279</v>
      </c>
      <c r="M3" s="6">
        <v>1076302</v>
      </c>
      <c r="N3" s="6">
        <v>2569637</v>
      </c>
      <c r="O3" s="6">
        <f t="shared" ref="O3:O66" si="2">SUM(P3:Q3)</f>
        <v>1051129</v>
      </c>
      <c r="P3" s="6">
        <v>811720</v>
      </c>
      <c r="Q3" s="6">
        <v>239409</v>
      </c>
      <c r="R3" s="6">
        <v>5659715</v>
      </c>
      <c r="S3">
        <f t="shared" ref="S3:S66" si="3">C3/K3*100000</f>
        <v>17.428142428142429</v>
      </c>
      <c r="T3">
        <f t="shared" ref="T3:T66" si="4">D3/L3*100000</f>
        <v>2.8602439637561927</v>
      </c>
      <c r="U3">
        <f t="shared" ref="U3:U66" si="5">E3/M3*100000</f>
        <v>1.7653037902001483</v>
      </c>
      <c r="V3">
        <f t="shared" ref="V3:V66" si="6">F3/N3*100000</f>
        <v>6.9659644533449665</v>
      </c>
      <c r="W3">
        <f t="shared" ref="W3:W66" si="7">G3/O3*100000</f>
        <v>61.36259203199608</v>
      </c>
      <c r="X3">
        <f t="shared" ref="X3:X66" si="8">H3/P3*100000</f>
        <v>33.385896614596163</v>
      </c>
      <c r="Y3">
        <f t="shared" ref="Y3:Y66" si="9">I3/Q3*100000</f>
        <v>156.21802020809577</v>
      </c>
      <c r="Z3">
        <f t="shared" ref="Z3:Z66" si="10">J3/R3*100000</f>
        <v>16.149223061585257</v>
      </c>
    </row>
    <row r="4" spans="1:26" ht="15" thickBot="1" x14ac:dyDescent="0.35">
      <c r="A4" s="5" t="s">
        <v>13</v>
      </c>
      <c r="B4" s="13" t="s">
        <v>68</v>
      </c>
      <c r="C4" s="6">
        <v>35</v>
      </c>
      <c r="D4" s="6">
        <v>27</v>
      </c>
      <c r="E4" s="6">
        <v>30</v>
      </c>
      <c r="F4" s="6">
        <v>168</v>
      </c>
      <c r="G4" s="6">
        <f t="shared" si="1"/>
        <v>633</v>
      </c>
      <c r="H4" s="6">
        <v>295</v>
      </c>
      <c r="I4" s="6">
        <v>338</v>
      </c>
      <c r="J4" s="6">
        <v>893</v>
      </c>
      <c r="K4" s="6">
        <v>298368</v>
      </c>
      <c r="L4" s="6">
        <v>664279</v>
      </c>
      <c r="M4" s="6">
        <v>1076302</v>
      </c>
      <c r="N4" s="6">
        <v>2569637</v>
      </c>
      <c r="O4" s="6">
        <f t="shared" si="2"/>
        <v>1051129</v>
      </c>
      <c r="P4" s="6">
        <v>811720</v>
      </c>
      <c r="Q4" s="6">
        <v>239409</v>
      </c>
      <c r="R4" s="6">
        <v>5659715</v>
      </c>
      <c r="S4">
        <f t="shared" si="3"/>
        <v>11.73048048048048</v>
      </c>
      <c r="T4">
        <f t="shared" si="4"/>
        <v>4.0645572116535371</v>
      </c>
      <c r="U4">
        <f t="shared" si="5"/>
        <v>2.7873217740002341</v>
      </c>
      <c r="V4">
        <f t="shared" si="6"/>
        <v>6.5378884254857779</v>
      </c>
      <c r="W4">
        <f t="shared" si="7"/>
        <v>60.220962412796148</v>
      </c>
      <c r="X4">
        <f t="shared" si="8"/>
        <v>36.342581185630515</v>
      </c>
      <c r="Y4">
        <f t="shared" si="9"/>
        <v>141.18099152496356</v>
      </c>
      <c r="Z4">
        <f t="shared" si="10"/>
        <v>15.778179643321263</v>
      </c>
    </row>
    <row r="5" spans="1:26" ht="15" thickBot="1" x14ac:dyDescent="0.35">
      <c r="A5" s="5" t="s">
        <v>13</v>
      </c>
      <c r="B5" s="13" t="s">
        <v>69</v>
      </c>
      <c r="C5" s="6">
        <v>52</v>
      </c>
      <c r="D5" s="6">
        <v>13</v>
      </c>
      <c r="E5" s="6">
        <v>15</v>
      </c>
      <c r="F5" s="6">
        <v>177</v>
      </c>
      <c r="G5" s="6">
        <f t="shared" si="1"/>
        <v>536</v>
      </c>
      <c r="H5" s="6">
        <v>254</v>
      </c>
      <c r="I5" s="6">
        <v>282</v>
      </c>
      <c r="J5" s="6">
        <v>793</v>
      </c>
      <c r="K5" s="6">
        <v>298368</v>
      </c>
      <c r="L5" s="6">
        <v>664279</v>
      </c>
      <c r="M5" s="6">
        <v>1076302</v>
      </c>
      <c r="N5" s="6">
        <v>2569637</v>
      </c>
      <c r="O5" s="6">
        <f t="shared" si="2"/>
        <v>1051129</v>
      </c>
      <c r="P5" s="6">
        <v>811720</v>
      </c>
      <c r="Q5" s="6">
        <v>239409</v>
      </c>
      <c r="R5" s="6">
        <v>5659715</v>
      </c>
      <c r="S5">
        <f t="shared" si="3"/>
        <v>17.428142428142429</v>
      </c>
      <c r="T5">
        <f t="shared" si="4"/>
        <v>1.9570090278331844</v>
      </c>
      <c r="U5">
        <f t="shared" si="5"/>
        <v>1.393660887000117</v>
      </c>
      <c r="V5">
        <f t="shared" si="6"/>
        <v>6.8881324482796593</v>
      </c>
      <c r="W5">
        <f t="shared" si="7"/>
        <v>50.992789657596738</v>
      </c>
      <c r="X5">
        <f t="shared" si="8"/>
        <v>31.291578376780173</v>
      </c>
      <c r="Y5">
        <f t="shared" si="9"/>
        <v>117.790058017869</v>
      </c>
      <c r="Z5">
        <f t="shared" si="10"/>
        <v>14.011306223016531</v>
      </c>
    </row>
    <row r="6" spans="1:26" ht="15" thickBot="1" x14ac:dyDescent="0.35">
      <c r="A6" s="5" t="s">
        <v>13</v>
      </c>
      <c r="B6" s="13" t="s">
        <v>70</v>
      </c>
      <c r="C6" s="6">
        <v>34</v>
      </c>
      <c r="D6" s="6">
        <v>9</v>
      </c>
      <c r="E6" s="6">
        <v>21</v>
      </c>
      <c r="F6" s="6">
        <v>169</v>
      </c>
      <c r="G6" s="6">
        <f t="shared" si="1"/>
        <v>549</v>
      </c>
      <c r="H6" s="6">
        <v>264</v>
      </c>
      <c r="I6" s="6">
        <v>285</v>
      </c>
      <c r="J6" s="6">
        <v>782</v>
      </c>
      <c r="K6" s="6">
        <v>298368</v>
      </c>
      <c r="L6" s="6">
        <v>664279</v>
      </c>
      <c r="M6" s="6">
        <v>1076302</v>
      </c>
      <c r="N6" s="6">
        <v>2569637</v>
      </c>
      <c r="O6" s="6">
        <f t="shared" si="2"/>
        <v>1051129</v>
      </c>
      <c r="P6" s="6">
        <v>811720</v>
      </c>
      <c r="Q6" s="6">
        <v>239409</v>
      </c>
      <c r="R6" s="6">
        <v>5659715</v>
      </c>
      <c r="S6">
        <f t="shared" si="3"/>
        <v>11.395323895323894</v>
      </c>
      <c r="T6">
        <f t="shared" si="4"/>
        <v>1.3548524038845124</v>
      </c>
      <c r="U6">
        <f t="shared" si="5"/>
        <v>1.9511252418001639</v>
      </c>
      <c r="V6">
        <f t="shared" si="6"/>
        <v>6.5768044280184323</v>
      </c>
      <c r="W6">
        <f t="shared" si="7"/>
        <v>52.229555078396658</v>
      </c>
      <c r="X6">
        <f t="shared" si="8"/>
        <v>32.523530281377816</v>
      </c>
      <c r="Y6">
        <f t="shared" si="9"/>
        <v>119.04314374146337</v>
      </c>
      <c r="Z6">
        <f t="shared" si="10"/>
        <v>13.816950146783009</v>
      </c>
    </row>
    <row r="7" spans="1:26" ht="15" thickBot="1" x14ac:dyDescent="0.35">
      <c r="A7" s="5" t="s">
        <v>13</v>
      </c>
      <c r="B7" s="13" t="s">
        <v>71</v>
      </c>
      <c r="C7" s="6">
        <v>56</v>
      </c>
      <c r="D7" s="6">
        <v>12</v>
      </c>
      <c r="E7" s="6">
        <v>25</v>
      </c>
      <c r="F7" s="6">
        <v>172</v>
      </c>
      <c r="G7" s="6">
        <f t="shared" si="1"/>
        <v>536</v>
      </c>
      <c r="H7" s="6">
        <v>247</v>
      </c>
      <c r="I7" s="6">
        <v>289</v>
      </c>
      <c r="J7" s="6">
        <v>801</v>
      </c>
      <c r="K7" s="6">
        <v>298368</v>
      </c>
      <c r="L7" s="6">
        <v>664279</v>
      </c>
      <c r="M7" s="6">
        <v>1076302</v>
      </c>
      <c r="N7" s="6">
        <v>2569637</v>
      </c>
      <c r="O7" s="6">
        <f t="shared" si="2"/>
        <v>1051129</v>
      </c>
      <c r="P7" s="6">
        <v>811720</v>
      </c>
      <c r="Q7" s="6">
        <v>239409</v>
      </c>
      <c r="R7" s="6">
        <v>5659715</v>
      </c>
      <c r="S7">
        <f t="shared" si="3"/>
        <v>18.768768768768769</v>
      </c>
      <c r="T7">
        <f t="shared" si="4"/>
        <v>1.8064698718460164</v>
      </c>
      <c r="U7">
        <f t="shared" si="5"/>
        <v>2.3227681450001949</v>
      </c>
      <c r="V7">
        <f t="shared" si="6"/>
        <v>6.6935524356163922</v>
      </c>
      <c r="W7">
        <f t="shared" si="7"/>
        <v>50.992789657596738</v>
      </c>
      <c r="X7">
        <f t="shared" si="8"/>
        <v>30.429212043561819</v>
      </c>
      <c r="Y7">
        <f t="shared" si="9"/>
        <v>120.71392470625582</v>
      </c>
      <c r="Z7">
        <f t="shared" si="10"/>
        <v>14.152656096640909</v>
      </c>
    </row>
    <row r="8" spans="1:26" ht="15" thickBot="1" x14ac:dyDescent="0.35">
      <c r="A8" s="5" t="s">
        <v>13</v>
      </c>
      <c r="B8" s="13" t="s">
        <v>72</v>
      </c>
      <c r="C8" s="6">
        <v>38</v>
      </c>
      <c r="D8" s="6">
        <v>13</v>
      </c>
      <c r="E8" s="6">
        <v>19</v>
      </c>
      <c r="F8" s="6">
        <v>178</v>
      </c>
      <c r="G8" s="6">
        <f t="shared" si="1"/>
        <v>543</v>
      </c>
      <c r="H8" s="6">
        <v>249</v>
      </c>
      <c r="I8" s="6">
        <v>294</v>
      </c>
      <c r="J8" s="6">
        <v>791</v>
      </c>
      <c r="K8" s="6">
        <v>298368</v>
      </c>
      <c r="L8" s="6">
        <v>664279</v>
      </c>
      <c r="M8" s="6">
        <v>1076302</v>
      </c>
      <c r="N8" s="6">
        <v>2569637</v>
      </c>
      <c r="O8" s="6">
        <f t="shared" si="2"/>
        <v>1051129</v>
      </c>
      <c r="P8" s="6">
        <v>811720</v>
      </c>
      <c r="Q8" s="6">
        <v>239409</v>
      </c>
      <c r="R8" s="6">
        <v>5659715</v>
      </c>
      <c r="S8">
        <f t="shared" si="3"/>
        <v>12.735950235950236</v>
      </c>
      <c r="T8">
        <f t="shared" si="4"/>
        <v>1.9570090278331844</v>
      </c>
      <c r="U8">
        <f t="shared" si="5"/>
        <v>1.7653037902001483</v>
      </c>
      <c r="V8">
        <f t="shared" si="6"/>
        <v>6.9270484508123138</v>
      </c>
      <c r="W8">
        <f t="shared" si="7"/>
        <v>51.658740268796691</v>
      </c>
      <c r="X8">
        <f t="shared" si="8"/>
        <v>30.675602424481351</v>
      </c>
      <c r="Y8">
        <f t="shared" si="9"/>
        <v>122.80240091224641</v>
      </c>
      <c r="Z8">
        <f t="shared" si="10"/>
        <v>13.975968754610435</v>
      </c>
    </row>
    <row r="9" spans="1:26" ht="15" thickBot="1" x14ac:dyDescent="0.35">
      <c r="A9" s="5" t="s">
        <v>13</v>
      </c>
      <c r="B9" s="13" t="s">
        <v>73</v>
      </c>
      <c r="C9" s="6">
        <v>48</v>
      </c>
      <c r="D9" s="6">
        <v>11</v>
      </c>
      <c r="E9" s="6">
        <v>28</v>
      </c>
      <c r="F9" s="6">
        <v>190</v>
      </c>
      <c r="G9" s="6">
        <f t="shared" si="1"/>
        <v>569</v>
      </c>
      <c r="H9" s="6">
        <v>278</v>
      </c>
      <c r="I9" s="6">
        <v>291</v>
      </c>
      <c r="J9" s="6">
        <v>846</v>
      </c>
      <c r="K9" s="6">
        <v>298368</v>
      </c>
      <c r="L9" s="6">
        <v>664279</v>
      </c>
      <c r="M9" s="6">
        <v>1076302</v>
      </c>
      <c r="N9" s="6">
        <v>2569637</v>
      </c>
      <c r="O9" s="6">
        <f t="shared" si="2"/>
        <v>1051129</v>
      </c>
      <c r="P9" s="6">
        <v>811720</v>
      </c>
      <c r="Q9" s="6">
        <v>239409</v>
      </c>
      <c r="R9" s="6">
        <v>5659715</v>
      </c>
      <c r="S9">
        <f t="shared" si="3"/>
        <v>16.087516087516086</v>
      </c>
      <c r="T9">
        <f t="shared" si="4"/>
        <v>1.6559307158588485</v>
      </c>
      <c r="U9">
        <f t="shared" si="5"/>
        <v>2.6015003224002187</v>
      </c>
      <c r="V9">
        <f t="shared" si="6"/>
        <v>7.3940404812041542</v>
      </c>
      <c r="W9">
        <f t="shared" si="7"/>
        <v>54.13227111039653</v>
      </c>
      <c r="X9">
        <f t="shared" si="8"/>
        <v>34.248262947814517</v>
      </c>
      <c r="Y9">
        <f t="shared" si="9"/>
        <v>121.54931518865205</v>
      </c>
      <c r="Z9">
        <f t="shared" si="10"/>
        <v>14.947749135778038</v>
      </c>
    </row>
    <row r="10" spans="1:26" ht="15" thickBot="1" x14ac:dyDescent="0.35">
      <c r="A10" s="5" t="s">
        <v>13</v>
      </c>
      <c r="B10" s="13" t="s">
        <v>74</v>
      </c>
      <c r="C10" s="6">
        <v>38</v>
      </c>
      <c r="D10" s="6">
        <v>13</v>
      </c>
      <c r="E10" s="6">
        <v>24</v>
      </c>
      <c r="F10" s="6">
        <v>157</v>
      </c>
      <c r="G10" s="6">
        <f t="shared" si="1"/>
        <v>575</v>
      </c>
      <c r="H10" s="6">
        <v>267</v>
      </c>
      <c r="I10" s="6">
        <v>308</v>
      </c>
      <c r="J10" s="6">
        <v>807</v>
      </c>
      <c r="K10" s="6">
        <v>298368</v>
      </c>
      <c r="L10" s="6">
        <v>664279</v>
      </c>
      <c r="M10" s="6">
        <v>1076302</v>
      </c>
      <c r="N10" s="6">
        <v>2569637</v>
      </c>
      <c r="O10" s="6">
        <f t="shared" si="2"/>
        <v>1051129</v>
      </c>
      <c r="P10" s="6">
        <v>811720</v>
      </c>
      <c r="Q10" s="6">
        <v>239409</v>
      </c>
      <c r="R10" s="6">
        <v>5659715</v>
      </c>
      <c r="S10">
        <f t="shared" si="3"/>
        <v>12.735950235950236</v>
      </c>
      <c r="T10">
        <f t="shared" si="4"/>
        <v>1.9570090278331844</v>
      </c>
      <c r="U10">
        <f t="shared" si="5"/>
        <v>2.2298574192001874</v>
      </c>
      <c r="V10">
        <f t="shared" si="6"/>
        <v>6.1098123976265901</v>
      </c>
      <c r="W10">
        <f t="shared" si="7"/>
        <v>54.703085919996497</v>
      </c>
      <c r="X10">
        <f t="shared" si="8"/>
        <v>32.893115852757106</v>
      </c>
      <c r="Y10">
        <f t="shared" si="9"/>
        <v>128.65013428902003</v>
      </c>
      <c r="Z10">
        <f t="shared" si="10"/>
        <v>14.258668501859193</v>
      </c>
    </row>
    <row r="11" spans="1:26" ht="15" thickBot="1" x14ac:dyDescent="0.35">
      <c r="A11" s="5" t="s">
        <v>13</v>
      </c>
      <c r="B11" s="13" t="s">
        <v>75</v>
      </c>
      <c r="C11" s="6">
        <v>60</v>
      </c>
      <c r="D11" s="6">
        <v>13</v>
      </c>
      <c r="E11" s="6">
        <v>18</v>
      </c>
      <c r="F11" s="6">
        <v>163</v>
      </c>
      <c r="G11" s="6">
        <f t="shared" si="1"/>
        <v>611</v>
      </c>
      <c r="H11" s="6">
        <v>269</v>
      </c>
      <c r="I11" s="6">
        <v>342</v>
      </c>
      <c r="J11" s="6">
        <v>865</v>
      </c>
      <c r="K11" s="6">
        <v>298368</v>
      </c>
      <c r="L11" s="6">
        <v>664279</v>
      </c>
      <c r="M11" s="6">
        <v>1076302</v>
      </c>
      <c r="N11" s="6">
        <v>2569637</v>
      </c>
      <c r="O11" s="6">
        <f t="shared" si="2"/>
        <v>1051129</v>
      </c>
      <c r="P11" s="6">
        <v>811720</v>
      </c>
      <c r="Q11" s="6">
        <v>239409</v>
      </c>
      <c r="R11" s="6">
        <v>5659715</v>
      </c>
      <c r="S11">
        <f t="shared" si="3"/>
        <v>20.109395109395109</v>
      </c>
      <c r="T11">
        <f t="shared" si="4"/>
        <v>1.9570090278331844</v>
      </c>
      <c r="U11">
        <f t="shared" si="5"/>
        <v>1.6723930644001406</v>
      </c>
      <c r="V11">
        <f t="shared" si="6"/>
        <v>6.3433084128225108</v>
      </c>
      <c r="W11">
        <f t="shared" si="7"/>
        <v>58.127974777596279</v>
      </c>
      <c r="X11">
        <f t="shared" si="8"/>
        <v>33.139506233676642</v>
      </c>
      <c r="Y11">
        <f t="shared" si="9"/>
        <v>142.85177248975603</v>
      </c>
      <c r="Z11">
        <f t="shared" si="10"/>
        <v>15.283455085635937</v>
      </c>
    </row>
    <row r="12" spans="1:26" ht="15" thickBot="1" x14ac:dyDescent="0.35">
      <c r="A12" s="5" t="s">
        <v>13</v>
      </c>
      <c r="B12" s="13" t="s">
        <v>76</v>
      </c>
      <c r="C12" s="6">
        <v>62</v>
      </c>
      <c r="D12" s="6">
        <v>11</v>
      </c>
      <c r="E12" s="6">
        <v>23</v>
      </c>
      <c r="F12" s="6">
        <v>159</v>
      </c>
      <c r="G12" s="6">
        <f t="shared" si="1"/>
        <v>571</v>
      </c>
      <c r="H12" s="6">
        <v>266</v>
      </c>
      <c r="I12" s="6">
        <v>305</v>
      </c>
      <c r="J12" s="6">
        <v>826</v>
      </c>
      <c r="K12" s="6">
        <v>298368</v>
      </c>
      <c r="L12" s="6">
        <v>664279</v>
      </c>
      <c r="M12" s="6">
        <v>1076302</v>
      </c>
      <c r="N12" s="6">
        <v>2569637</v>
      </c>
      <c r="O12" s="6">
        <f t="shared" si="2"/>
        <v>1051129</v>
      </c>
      <c r="P12" s="6">
        <v>811720</v>
      </c>
      <c r="Q12" s="6">
        <v>239409</v>
      </c>
      <c r="R12" s="6">
        <v>5659715</v>
      </c>
      <c r="S12">
        <f t="shared" si="3"/>
        <v>20.779708279708281</v>
      </c>
      <c r="T12">
        <f t="shared" si="4"/>
        <v>1.6559307158588485</v>
      </c>
      <c r="U12">
        <f t="shared" si="5"/>
        <v>2.1369466934001795</v>
      </c>
      <c r="V12">
        <f t="shared" si="6"/>
        <v>6.1876444026918982</v>
      </c>
      <c r="W12">
        <f t="shared" si="7"/>
        <v>54.322542713596519</v>
      </c>
      <c r="X12">
        <f t="shared" si="8"/>
        <v>32.769920662297345</v>
      </c>
      <c r="Y12">
        <f t="shared" si="9"/>
        <v>127.39704856542569</v>
      </c>
      <c r="Z12">
        <f t="shared" si="10"/>
        <v>14.594374451717092</v>
      </c>
    </row>
    <row r="13" spans="1:26" ht="15" thickBot="1" x14ac:dyDescent="0.35">
      <c r="A13" s="5" t="s">
        <v>13</v>
      </c>
      <c r="B13" s="13" t="s">
        <v>77</v>
      </c>
      <c r="C13" s="6">
        <v>93</v>
      </c>
      <c r="D13" s="6">
        <v>10</v>
      </c>
      <c r="E13" s="6">
        <v>24</v>
      </c>
      <c r="F13" s="6">
        <v>207</v>
      </c>
      <c r="G13" s="6">
        <f t="shared" si="1"/>
        <v>754</v>
      </c>
      <c r="H13" s="6">
        <v>339</v>
      </c>
      <c r="I13" s="6">
        <v>415</v>
      </c>
      <c r="J13" s="6">
        <v>1088</v>
      </c>
      <c r="K13" s="6">
        <v>298368</v>
      </c>
      <c r="L13" s="6">
        <v>664279</v>
      </c>
      <c r="M13" s="6">
        <v>1076302</v>
      </c>
      <c r="N13" s="6">
        <v>2569637</v>
      </c>
      <c r="O13" s="6">
        <f t="shared" si="2"/>
        <v>1051129</v>
      </c>
      <c r="P13" s="6">
        <v>811720</v>
      </c>
      <c r="Q13" s="6">
        <v>239409</v>
      </c>
      <c r="R13" s="6">
        <v>5659715</v>
      </c>
      <c r="S13">
        <f t="shared" si="3"/>
        <v>31.169562419562418</v>
      </c>
      <c r="T13">
        <f t="shared" si="4"/>
        <v>1.5053915598716805</v>
      </c>
      <c r="U13">
        <f t="shared" si="5"/>
        <v>2.2298574192001874</v>
      </c>
      <c r="V13">
        <f t="shared" si="6"/>
        <v>8.0556125242592636</v>
      </c>
      <c r="W13">
        <f t="shared" si="7"/>
        <v>71.732394406395414</v>
      </c>
      <c r="X13">
        <f t="shared" si="8"/>
        <v>41.763169565860146</v>
      </c>
      <c r="Y13">
        <f t="shared" si="9"/>
        <v>173.34352509721856</v>
      </c>
      <c r="Z13">
        <f t="shared" si="10"/>
        <v>19.223582812915492</v>
      </c>
    </row>
    <row r="14" spans="1:26" ht="15" thickBot="1" x14ac:dyDescent="0.35">
      <c r="A14" s="5" t="s">
        <v>13</v>
      </c>
      <c r="B14" s="13" t="s">
        <v>78</v>
      </c>
      <c r="C14" s="6">
        <v>96</v>
      </c>
      <c r="D14" s="6">
        <v>9</v>
      </c>
      <c r="E14" s="6">
        <v>28</v>
      </c>
      <c r="F14" s="6">
        <v>179</v>
      </c>
      <c r="G14" s="6">
        <f t="shared" si="1"/>
        <v>792</v>
      </c>
      <c r="H14" s="6">
        <v>366</v>
      </c>
      <c r="I14" s="6">
        <v>426</v>
      </c>
      <c r="J14" s="6">
        <v>1104</v>
      </c>
      <c r="K14" s="6">
        <v>298368</v>
      </c>
      <c r="L14" s="6">
        <v>664279</v>
      </c>
      <c r="M14" s="6">
        <v>1076302</v>
      </c>
      <c r="N14" s="6">
        <v>2569637</v>
      </c>
      <c r="O14" s="6">
        <f t="shared" si="2"/>
        <v>1051129</v>
      </c>
      <c r="P14" s="6">
        <v>811720</v>
      </c>
      <c r="Q14" s="6">
        <v>239409</v>
      </c>
      <c r="R14" s="6">
        <v>5659715</v>
      </c>
      <c r="S14">
        <f t="shared" si="3"/>
        <v>32.175032175032172</v>
      </c>
      <c r="T14">
        <f t="shared" si="4"/>
        <v>1.3548524038845124</v>
      </c>
      <c r="U14">
        <f t="shared" si="5"/>
        <v>2.6015003224002187</v>
      </c>
      <c r="V14">
        <f t="shared" si="6"/>
        <v>6.9659644533449665</v>
      </c>
      <c r="W14">
        <f t="shared" si="7"/>
        <v>75.347554867195186</v>
      </c>
      <c r="X14">
        <f t="shared" si="8"/>
        <v>45.089439708273794</v>
      </c>
      <c r="Y14">
        <f t="shared" si="9"/>
        <v>177.93817275039785</v>
      </c>
      <c r="Z14">
        <f t="shared" si="10"/>
        <v>19.506282560164248</v>
      </c>
    </row>
    <row r="15" spans="1:26" ht="15" thickBot="1" x14ac:dyDescent="0.35">
      <c r="A15" s="5" t="s">
        <v>13</v>
      </c>
      <c r="B15" s="13" t="s">
        <v>79</v>
      </c>
      <c r="C15" s="6">
        <v>85</v>
      </c>
      <c r="D15" s="6">
        <v>5</v>
      </c>
      <c r="E15" s="6">
        <v>17</v>
      </c>
      <c r="F15" s="6">
        <v>215</v>
      </c>
      <c r="G15" s="6">
        <f t="shared" si="1"/>
        <v>891</v>
      </c>
      <c r="H15" s="6">
        <v>371</v>
      </c>
      <c r="I15" s="6">
        <v>520</v>
      </c>
      <c r="J15" s="6">
        <v>1213</v>
      </c>
      <c r="K15" s="6">
        <v>302428</v>
      </c>
      <c r="L15" s="6">
        <v>629165</v>
      </c>
      <c r="M15" s="6">
        <v>1136677</v>
      </c>
      <c r="N15" s="6">
        <v>2674281</v>
      </c>
      <c r="O15" s="6">
        <f t="shared" si="2"/>
        <v>1250183</v>
      </c>
      <c r="P15" s="6">
        <v>910846</v>
      </c>
      <c r="Q15" s="6">
        <v>339337</v>
      </c>
      <c r="R15" s="6">
        <v>5992734</v>
      </c>
      <c r="S15">
        <f t="shared" si="3"/>
        <v>28.105863213723598</v>
      </c>
      <c r="T15">
        <f t="shared" si="4"/>
        <v>0.79470409193136937</v>
      </c>
      <c r="U15">
        <f t="shared" si="5"/>
        <v>1.4955875767698299</v>
      </c>
      <c r="V15">
        <f t="shared" si="6"/>
        <v>8.0395440868031454</v>
      </c>
      <c r="W15">
        <f t="shared" si="7"/>
        <v>71.269566135517763</v>
      </c>
      <c r="X15">
        <f t="shared" si="8"/>
        <v>40.731364028606372</v>
      </c>
      <c r="Y15">
        <f t="shared" si="9"/>
        <v>153.23999445978481</v>
      </c>
      <c r="Z15">
        <f t="shared" si="10"/>
        <v>20.241178734113678</v>
      </c>
    </row>
    <row r="16" spans="1:26" ht="15" thickBot="1" x14ac:dyDescent="0.35">
      <c r="A16" s="5" t="s">
        <v>13</v>
      </c>
      <c r="B16" s="13" t="s">
        <v>80</v>
      </c>
      <c r="C16" s="6">
        <v>64</v>
      </c>
      <c r="D16" s="6">
        <v>8</v>
      </c>
      <c r="E16" s="6">
        <v>23</v>
      </c>
      <c r="F16" s="6">
        <v>206</v>
      </c>
      <c r="G16" s="6">
        <f t="shared" si="1"/>
        <v>741</v>
      </c>
      <c r="H16" s="6">
        <v>349</v>
      </c>
      <c r="I16" s="6">
        <v>392</v>
      </c>
      <c r="J16" s="6">
        <v>1042</v>
      </c>
      <c r="K16" s="6">
        <v>302428</v>
      </c>
      <c r="L16" s="6">
        <v>629165</v>
      </c>
      <c r="M16" s="6">
        <v>1136677</v>
      </c>
      <c r="N16" s="6">
        <v>2674281</v>
      </c>
      <c r="O16" s="6">
        <f t="shared" si="2"/>
        <v>1250183</v>
      </c>
      <c r="P16" s="6">
        <v>910846</v>
      </c>
      <c r="Q16" s="6">
        <v>339337</v>
      </c>
      <c r="R16" s="6">
        <v>5992734</v>
      </c>
      <c r="S16">
        <f t="shared" si="3"/>
        <v>21.162061713862471</v>
      </c>
      <c r="T16">
        <f t="shared" si="4"/>
        <v>1.2715265470901911</v>
      </c>
      <c r="U16">
        <f t="shared" si="5"/>
        <v>2.0234420156297701</v>
      </c>
      <c r="V16">
        <f t="shared" si="6"/>
        <v>7.7030050320067343</v>
      </c>
      <c r="W16">
        <f t="shared" si="7"/>
        <v>59.271322678359887</v>
      </c>
      <c r="X16">
        <f t="shared" si="8"/>
        <v>38.316027078122978</v>
      </c>
      <c r="Y16">
        <f t="shared" si="9"/>
        <v>115.51938043891469</v>
      </c>
      <c r="Z16">
        <f t="shared" si="10"/>
        <v>17.387723199461213</v>
      </c>
    </row>
    <row r="17" spans="1:26" ht="15" thickBot="1" x14ac:dyDescent="0.35">
      <c r="A17" s="5" t="s">
        <v>13</v>
      </c>
      <c r="B17" s="13" t="s">
        <v>81</v>
      </c>
      <c r="C17" s="6">
        <v>124</v>
      </c>
      <c r="D17" s="6">
        <v>11</v>
      </c>
      <c r="E17" s="6">
        <v>19</v>
      </c>
      <c r="F17" s="6">
        <v>201</v>
      </c>
      <c r="G17" s="6">
        <f t="shared" si="1"/>
        <v>564</v>
      </c>
      <c r="H17" s="6">
        <v>267</v>
      </c>
      <c r="I17" s="6">
        <v>297</v>
      </c>
      <c r="J17" s="6">
        <v>919</v>
      </c>
      <c r="K17" s="6">
        <v>302428</v>
      </c>
      <c r="L17" s="6">
        <v>629165</v>
      </c>
      <c r="M17" s="6">
        <v>1136677</v>
      </c>
      <c r="N17" s="6">
        <v>2674281</v>
      </c>
      <c r="O17" s="6">
        <f t="shared" si="2"/>
        <v>1250183</v>
      </c>
      <c r="P17" s="6">
        <v>910846</v>
      </c>
      <c r="Q17" s="6">
        <v>339337</v>
      </c>
      <c r="R17" s="6">
        <v>5992734</v>
      </c>
      <c r="S17">
        <f t="shared" si="3"/>
        <v>41.001494570608543</v>
      </c>
      <c r="T17">
        <f t="shared" si="4"/>
        <v>1.7483490022490127</v>
      </c>
      <c r="U17">
        <f t="shared" si="5"/>
        <v>1.6715390563898098</v>
      </c>
      <c r="V17">
        <f t="shared" si="6"/>
        <v>7.5160388904531725</v>
      </c>
      <c r="W17">
        <f t="shared" si="7"/>
        <v>45.113395398913603</v>
      </c>
      <c r="X17">
        <f t="shared" si="8"/>
        <v>29.313407535412136</v>
      </c>
      <c r="Y17">
        <f t="shared" si="9"/>
        <v>87.52361222030018</v>
      </c>
      <c r="Z17">
        <f t="shared" si="10"/>
        <v>15.335237639448039</v>
      </c>
    </row>
    <row r="18" spans="1:26" ht="15" thickBot="1" x14ac:dyDescent="0.35">
      <c r="A18" s="5" t="s">
        <v>13</v>
      </c>
      <c r="B18" s="13" t="s">
        <v>82</v>
      </c>
      <c r="C18" s="6">
        <v>143</v>
      </c>
      <c r="D18" s="6">
        <v>14</v>
      </c>
      <c r="E18" s="6">
        <v>26</v>
      </c>
      <c r="F18" s="6">
        <v>197</v>
      </c>
      <c r="G18" s="6">
        <f t="shared" si="1"/>
        <v>688</v>
      </c>
      <c r="H18" s="6">
        <v>320</v>
      </c>
      <c r="I18" s="6">
        <v>368</v>
      </c>
      <c r="J18" s="6">
        <v>1068</v>
      </c>
      <c r="K18" s="6">
        <v>302428</v>
      </c>
      <c r="L18" s="6">
        <v>629165</v>
      </c>
      <c r="M18" s="6">
        <v>1136677</v>
      </c>
      <c r="N18" s="6">
        <v>2674281</v>
      </c>
      <c r="O18" s="6">
        <f t="shared" si="2"/>
        <v>1250183</v>
      </c>
      <c r="P18" s="6">
        <v>910846</v>
      </c>
      <c r="Q18" s="6">
        <v>339337</v>
      </c>
      <c r="R18" s="6">
        <v>5992734</v>
      </c>
      <c r="S18">
        <f t="shared" si="3"/>
        <v>47.28398164191146</v>
      </c>
      <c r="T18">
        <f t="shared" si="4"/>
        <v>2.2251714574078343</v>
      </c>
      <c r="U18">
        <f t="shared" si="5"/>
        <v>2.2873692350597397</v>
      </c>
      <c r="V18">
        <f t="shared" si="6"/>
        <v>7.3664659772103231</v>
      </c>
      <c r="W18">
        <f t="shared" si="7"/>
        <v>55.031943323497444</v>
      </c>
      <c r="X18">
        <f t="shared" si="8"/>
        <v>35.132173825213044</v>
      </c>
      <c r="Y18">
        <f t="shared" si="9"/>
        <v>108.44676531000157</v>
      </c>
      <c r="Z18">
        <f t="shared" si="10"/>
        <v>17.821581935724161</v>
      </c>
    </row>
    <row r="19" spans="1:26" ht="15" thickBot="1" x14ac:dyDescent="0.35">
      <c r="A19" s="5" t="s">
        <v>13</v>
      </c>
      <c r="B19" s="13" t="s">
        <v>83</v>
      </c>
      <c r="C19" s="6">
        <v>160</v>
      </c>
      <c r="D19" s="6">
        <v>17</v>
      </c>
      <c r="E19" s="6">
        <v>24</v>
      </c>
      <c r="F19" s="6">
        <v>209</v>
      </c>
      <c r="G19" s="6">
        <f t="shared" si="1"/>
        <v>721</v>
      </c>
      <c r="H19" s="6">
        <v>345</v>
      </c>
      <c r="I19" s="6">
        <v>376</v>
      </c>
      <c r="J19" s="6">
        <v>1131</v>
      </c>
      <c r="K19" s="6">
        <v>302428</v>
      </c>
      <c r="L19" s="6">
        <v>629165</v>
      </c>
      <c r="M19" s="6">
        <v>1136677</v>
      </c>
      <c r="N19" s="6">
        <v>2674281</v>
      </c>
      <c r="O19" s="6">
        <f t="shared" si="2"/>
        <v>1250183</v>
      </c>
      <c r="P19" s="6">
        <v>910846</v>
      </c>
      <c r="Q19" s="6">
        <v>339337</v>
      </c>
      <c r="R19" s="6">
        <v>5992734</v>
      </c>
      <c r="S19">
        <f t="shared" si="3"/>
        <v>52.905154284656184</v>
      </c>
      <c r="T19">
        <f t="shared" si="4"/>
        <v>2.7019939125666559</v>
      </c>
      <c r="U19">
        <f t="shared" si="5"/>
        <v>2.11141775543976</v>
      </c>
      <c r="V19">
        <f t="shared" si="6"/>
        <v>7.8151847169388704</v>
      </c>
      <c r="W19">
        <f t="shared" si="7"/>
        <v>57.671556884072167</v>
      </c>
      <c r="X19">
        <f t="shared" si="8"/>
        <v>37.876874905307808</v>
      </c>
      <c r="Y19">
        <f t="shared" si="9"/>
        <v>110.80430368630594</v>
      </c>
      <c r="Z19">
        <f t="shared" si="10"/>
        <v>18.872855027438227</v>
      </c>
    </row>
    <row r="20" spans="1:26" ht="15" thickBot="1" x14ac:dyDescent="0.35">
      <c r="A20" s="5" t="s">
        <v>13</v>
      </c>
      <c r="B20" s="13" t="s">
        <v>84</v>
      </c>
      <c r="C20" s="6">
        <v>125</v>
      </c>
      <c r="D20" s="6">
        <v>18</v>
      </c>
      <c r="E20" s="6">
        <v>33</v>
      </c>
      <c r="F20" s="6">
        <v>244</v>
      </c>
      <c r="G20" s="6">
        <f t="shared" si="1"/>
        <v>782</v>
      </c>
      <c r="H20" s="6">
        <v>389</v>
      </c>
      <c r="I20" s="6">
        <v>393</v>
      </c>
      <c r="J20" s="6">
        <v>1202</v>
      </c>
      <c r="K20" s="6">
        <v>302428</v>
      </c>
      <c r="L20" s="6">
        <v>629165</v>
      </c>
      <c r="M20" s="6">
        <v>1136677</v>
      </c>
      <c r="N20" s="6">
        <v>2674281</v>
      </c>
      <c r="O20" s="6">
        <f t="shared" si="2"/>
        <v>1250183</v>
      </c>
      <c r="P20" s="6">
        <v>910846</v>
      </c>
      <c r="Q20" s="6">
        <v>339337</v>
      </c>
      <c r="R20" s="6">
        <v>5992734</v>
      </c>
      <c r="S20">
        <f t="shared" si="3"/>
        <v>41.332151784887643</v>
      </c>
      <c r="T20">
        <f t="shared" si="4"/>
        <v>2.8609347309529296</v>
      </c>
      <c r="U20">
        <f t="shared" si="5"/>
        <v>2.9031994137296699</v>
      </c>
      <c r="V20">
        <f t="shared" si="6"/>
        <v>9.1239477078137998</v>
      </c>
      <c r="W20">
        <f t="shared" si="7"/>
        <v>62.550842556649705</v>
      </c>
      <c r="X20">
        <f t="shared" si="8"/>
        <v>42.707548806274602</v>
      </c>
      <c r="Y20">
        <f t="shared" si="9"/>
        <v>115.81407273595276</v>
      </c>
      <c r="Z20">
        <f t="shared" si="10"/>
        <v>20.057623114925509</v>
      </c>
    </row>
    <row r="21" spans="1:26" ht="15" thickBot="1" x14ac:dyDescent="0.35">
      <c r="A21" s="5" t="s">
        <v>13</v>
      </c>
      <c r="B21" s="13" t="s">
        <v>85</v>
      </c>
      <c r="C21" s="6">
        <v>132</v>
      </c>
      <c r="D21" s="6">
        <v>18</v>
      </c>
      <c r="E21" s="6">
        <v>30</v>
      </c>
      <c r="F21" s="6">
        <v>292</v>
      </c>
      <c r="G21" s="6">
        <f t="shared" si="1"/>
        <v>840</v>
      </c>
      <c r="H21" s="6">
        <v>421</v>
      </c>
      <c r="I21" s="6">
        <v>419</v>
      </c>
      <c r="J21" s="6">
        <v>1312</v>
      </c>
      <c r="K21" s="6">
        <v>302428</v>
      </c>
      <c r="L21" s="6">
        <v>629165</v>
      </c>
      <c r="M21" s="6">
        <v>1136677</v>
      </c>
      <c r="N21" s="6">
        <v>2674281</v>
      </c>
      <c r="O21" s="6">
        <f t="shared" si="2"/>
        <v>1250183</v>
      </c>
      <c r="P21" s="6">
        <v>910846</v>
      </c>
      <c r="Q21" s="6">
        <v>339337</v>
      </c>
      <c r="R21" s="6">
        <v>5992734</v>
      </c>
      <c r="S21">
        <f t="shared" si="3"/>
        <v>43.646752284841348</v>
      </c>
      <c r="T21">
        <f t="shared" si="4"/>
        <v>2.8609347309529296</v>
      </c>
      <c r="U21">
        <f t="shared" si="5"/>
        <v>2.6392721942996999</v>
      </c>
      <c r="V21">
        <f t="shared" si="6"/>
        <v>10.918822666727992</v>
      </c>
      <c r="W21">
        <f t="shared" si="7"/>
        <v>67.190163360084085</v>
      </c>
      <c r="X21">
        <f t="shared" si="8"/>
        <v>46.220766188795913</v>
      </c>
      <c r="Y21">
        <f t="shared" si="9"/>
        <v>123.476072458942</v>
      </c>
      <c r="Z21">
        <f t="shared" si="10"/>
        <v>21.893179306807209</v>
      </c>
    </row>
    <row r="22" spans="1:26" ht="15" thickBot="1" x14ac:dyDescent="0.35">
      <c r="A22" s="5" t="s">
        <v>13</v>
      </c>
      <c r="B22" s="13" t="s">
        <v>86</v>
      </c>
      <c r="C22" s="6">
        <v>123</v>
      </c>
      <c r="D22" s="6">
        <v>19</v>
      </c>
      <c r="E22" s="6">
        <v>38</v>
      </c>
      <c r="F22" s="6">
        <v>312</v>
      </c>
      <c r="G22" s="6">
        <f t="shared" si="1"/>
        <v>963</v>
      </c>
      <c r="H22" s="6">
        <v>472</v>
      </c>
      <c r="I22" s="6">
        <v>491</v>
      </c>
      <c r="J22" s="6">
        <v>1455</v>
      </c>
      <c r="K22" s="6">
        <v>302428</v>
      </c>
      <c r="L22" s="6">
        <v>629165</v>
      </c>
      <c r="M22" s="6">
        <v>1136677</v>
      </c>
      <c r="N22" s="6">
        <v>2674281</v>
      </c>
      <c r="O22" s="6">
        <f t="shared" si="2"/>
        <v>1250183</v>
      </c>
      <c r="P22" s="6">
        <v>910846</v>
      </c>
      <c r="Q22" s="6">
        <v>339337</v>
      </c>
      <c r="R22" s="6">
        <v>5992734</v>
      </c>
      <c r="S22">
        <f t="shared" si="3"/>
        <v>40.670837356329443</v>
      </c>
      <c r="T22">
        <f t="shared" si="4"/>
        <v>3.0198755493392038</v>
      </c>
      <c r="U22">
        <f t="shared" si="5"/>
        <v>3.3430781127796196</v>
      </c>
      <c r="V22">
        <f t="shared" si="6"/>
        <v>11.666687232942238</v>
      </c>
      <c r="W22">
        <f t="shared" si="7"/>
        <v>77.02872299495354</v>
      </c>
      <c r="X22">
        <f t="shared" si="8"/>
        <v>51.819956392189233</v>
      </c>
      <c r="Y22">
        <f t="shared" si="9"/>
        <v>144.69391784568143</v>
      </c>
      <c r="Z22">
        <f t="shared" si="10"/>
        <v>24.279402356253424</v>
      </c>
    </row>
    <row r="23" spans="1:26" ht="15" thickBot="1" x14ac:dyDescent="0.35">
      <c r="A23" s="5" t="s">
        <v>13</v>
      </c>
      <c r="B23" s="13" t="s">
        <v>87</v>
      </c>
      <c r="C23" s="6">
        <v>140</v>
      </c>
      <c r="D23" s="6">
        <v>23</v>
      </c>
      <c r="E23" s="6">
        <v>33</v>
      </c>
      <c r="F23" s="6">
        <v>266</v>
      </c>
      <c r="G23" s="6">
        <f t="shared" si="1"/>
        <v>941</v>
      </c>
      <c r="H23" s="6">
        <v>434</v>
      </c>
      <c r="I23" s="6">
        <v>507</v>
      </c>
      <c r="J23" s="6">
        <v>1403</v>
      </c>
      <c r="K23" s="6">
        <v>302428</v>
      </c>
      <c r="L23" s="6">
        <v>629165</v>
      </c>
      <c r="M23" s="6">
        <v>1136677</v>
      </c>
      <c r="N23" s="6">
        <v>2674281</v>
      </c>
      <c r="O23" s="6">
        <f t="shared" si="2"/>
        <v>1250183</v>
      </c>
      <c r="P23" s="6">
        <v>910846</v>
      </c>
      <c r="Q23" s="6">
        <v>339337</v>
      </c>
      <c r="R23" s="6">
        <v>5992734</v>
      </c>
      <c r="S23">
        <f t="shared" si="3"/>
        <v>46.29200999907416</v>
      </c>
      <c r="T23">
        <f t="shared" si="4"/>
        <v>3.6556388228842986</v>
      </c>
      <c r="U23">
        <f t="shared" si="5"/>
        <v>2.9031994137296699</v>
      </c>
      <c r="V23">
        <f t="shared" si="6"/>
        <v>9.9465987306494714</v>
      </c>
      <c r="W23">
        <f t="shared" si="7"/>
        <v>75.268980621237048</v>
      </c>
      <c r="X23">
        <f t="shared" si="8"/>
        <v>47.648010750445188</v>
      </c>
      <c r="Y23">
        <f t="shared" si="9"/>
        <v>149.40899459829018</v>
      </c>
      <c r="Z23">
        <f t="shared" si="10"/>
        <v>23.411684883727528</v>
      </c>
    </row>
    <row r="24" spans="1:26" ht="15" thickBot="1" x14ac:dyDescent="0.35">
      <c r="A24" s="5" t="s">
        <v>13</v>
      </c>
      <c r="B24" s="13" t="s">
        <v>88</v>
      </c>
      <c r="C24" s="6">
        <v>113</v>
      </c>
      <c r="D24" s="6">
        <v>11</v>
      </c>
      <c r="E24" s="6">
        <v>40</v>
      </c>
      <c r="F24" s="6">
        <v>287</v>
      </c>
      <c r="G24" s="6">
        <f t="shared" si="1"/>
        <v>937</v>
      </c>
      <c r="H24" s="6">
        <v>464</v>
      </c>
      <c r="I24" s="6">
        <v>473</v>
      </c>
      <c r="J24" s="6">
        <v>1388</v>
      </c>
      <c r="K24" s="6">
        <v>302428</v>
      </c>
      <c r="L24" s="6">
        <v>629165</v>
      </c>
      <c r="M24" s="6">
        <v>1136677</v>
      </c>
      <c r="N24" s="6">
        <v>2674281</v>
      </c>
      <c r="O24" s="6">
        <f t="shared" si="2"/>
        <v>1250183</v>
      </c>
      <c r="P24" s="6">
        <v>910846</v>
      </c>
      <c r="Q24" s="6">
        <v>339337</v>
      </c>
      <c r="R24" s="6">
        <v>5992734</v>
      </c>
      <c r="S24">
        <f t="shared" si="3"/>
        <v>37.364265213538431</v>
      </c>
      <c r="T24">
        <f t="shared" si="4"/>
        <v>1.7483490022490127</v>
      </c>
      <c r="U24">
        <f t="shared" si="5"/>
        <v>3.5190295923996002</v>
      </c>
      <c r="V24">
        <f t="shared" si="6"/>
        <v>10.731856525174431</v>
      </c>
      <c r="W24">
        <f t="shared" si="7"/>
        <v>74.949027462379505</v>
      </c>
      <c r="X24">
        <f t="shared" si="8"/>
        <v>50.941652046558907</v>
      </c>
      <c r="Y24">
        <f t="shared" si="9"/>
        <v>139.38945649899657</v>
      </c>
      <c r="Z24">
        <f t="shared" si="10"/>
        <v>23.161381766652752</v>
      </c>
    </row>
    <row r="25" spans="1:26" ht="15" thickBot="1" x14ac:dyDescent="0.35">
      <c r="A25" s="5" t="s">
        <v>13</v>
      </c>
      <c r="B25" s="13" t="s">
        <v>89</v>
      </c>
      <c r="C25" s="6">
        <v>99</v>
      </c>
      <c r="D25" s="6">
        <v>10</v>
      </c>
      <c r="E25" s="6">
        <v>20</v>
      </c>
      <c r="F25" s="6">
        <v>265</v>
      </c>
      <c r="G25" s="6">
        <f t="shared" si="1"/>
        <v>781</v>
      </c>
      <c r="H25" s="6">
        <v>357</v>
      </c>
      <c r="I25" s="6">
        <v>424</v>
      </c>
      <c r="J25" s="6">
        <v>1175</v>
      </c>
      <c r="K25" s="6">
        <v>302428</v>
      </c>
      <c r="L25" s="6">
        <v>629165</v>
      </c>
      <c r="M25" s="6">
        <v>1136677</v>
      </c>
      <c r="N25" s="6">
        <v>2674281</v>
      </c>
      <c r="O25" s="6">
        <f t="shared" si="2"/>
        <v>1250183</v>
      </c>
      <c r="P25" s="6">
        <v>910846</v>
      </c>
      <c r="Q25" s="6">
        <v>339337</v>
      </c>
      <c r="R25" s="6">
        <v>5992734</v>
      </c>
      <c r="S25">
        <f t="shared" si="3"/>
        <v>32.735064213631013</v>
      </c>
      <c r="T25">
        <f t="shared" si="4"/>
        <v>1.5894081838627387</v>
      </c>
      <c r="U25">
        <f t="shared" si="5"/>
        <v>1.7595147961998001</v>
      </c>
      <c r="V25">
        <f t="shared" si="6"/>
        <v>9.9092055023387591</v>
      </c>
      <c r="W25">
        <f t="shared" si="7"/>
        <v>62.470854266935319</v>
      </c>
      <c r="X25">
        <f t="shared" si="8"/>
        <v>39.194331423753304</v>
      </c>
      <c r="Y25">
        <f t="shared" si="9"/>
        <v>124.94953394413223</v>
      </c>
      <c r="Z25">
        <f t="shared" si="10"/>
        <v>19.607077504190908</v>
      </c>
    </row>
    <row r="26" spans="1:26" ht="15" thickBot="1" x14ac:dyDescent="0.35">
      <c r="A26" s="5" t="s">
        <v>13</v>
      </c>
      <c r="B26" s="13" t="s">
        <v>90</v>
      </c>
      <c r="C26" s="6">
        <v>73</v>
      </c>
      <c r="D26" s="6">
        <v>18</v>
      </c>
      <c r="E26" s="6">
        <v>18</v>
      </c>
      <c r="F26" s="6">
        <v>230</v>
      </c>
      <c r="G26" s="6">
        <f t="shared" si="1"/>
        <v>757</v>
      </c>
      <c r="H26" s="6">
        <v>378</v>
      </c>
      <c r="I26" s="6">
        <v>379</v>
      </c>
      <c r="J26" s="6">
        <v>1096</v>
      </c>
      <c r="K26" s="6">
        <v>302428</v>
      </c>
      <c r="L26" s="6">
        <v>629165</v>
      </c>
      <c r="M26" s="6">
        <v>1136677</v>
      </c>
      <c r="N26" s="6">
        <v>2674281</v>
      </c>
      <c r="O26" s="6">
        <f t="shared" si="2"/>
        <v>1250183</v>
      </c>
      <c r="P26" s="6">
        <v>910846</v>
      </c>
      <c r="Q26" s="6">
        <v>339337</v>
      </c>
      <c r="R26" s="6">
        <v>5992734</v>
      </c>
      <c r="S26">
        <f t="shared" si="3"/>
        <v>24.137976642374383</v>
      </c>
      <c r="T26">
        <f t="shared" si="4"/>
        <v>2.8609347309529296</v>
      </c>
      <c r="U26">
        <f t="shared" si="5"/>
        <v>1.58356331657982</v>
      </c>
      <c r="V26">
        <f t="shared" si="6"/>
        <v>8.6004425114638288</v>
      </c>
      <c r="W26">
        <f t="shared" si="7"/>
        <v>60.551135313790063</v>
      </c>
      <c r="X26">
        <f t="shared" si="8"/>
        <v>41.499880331032912</v>
      </c>
      <c r="Y26">
        <f t="shared" si="9"/>
        <v>111.68838057742008</v>
      </c>
      <c r="Z26">
        <f t="shared" si="10"/>
        <v>18.288814420930414</v>
      </c>
    </row>
    <row r="27" spans="1:26" ht="15" thickBot="1" x14ac:dyDescent="0.35">
      <c r="A27" s="5" t="s">
        <v>13</v>
      </c>
      <c r="B27" s="13" t="s">
        <v>91</v>
      </c>
      <c r="C27" s="6">
        <v>66</v>
      </c>
      <c r="D27" s="6">
        <v>8</v>
      </c>
      <c r="E27" s="6">
        <v>29</v>
      </c>
      <c r="F27" s="6">
        <v>235</v>
      </c>
      <c r="G27" s="6">
        <f t="shared" si="1"/>
        <v>772</v>
      </c>
      <c r="H27" s="6">
        <v>344</v>
      </c>
      <c r="I27" s="6">
        <v>428</v>
      </c>
      <c r="J27" s="6">
        <v>1110</v>
      </c>
      <c r="K27" s="6">
        <v>302428</v>
      </c>
      <c r="L27" s="6">
        <v>629165</v>
      </c>
      <c r="M27" s="6">
        <v>1136677</v>
      </c>
      <c r="N27" s="6">
        <v>2674281</v>
      </c>
      <c r="O27" s="6">
        <f t="shared" si="2"/>
        <v>1250183</v>
      </c>
      <c r="P27" s="6">
        <v>910846</v>
      </c>
      <c r="Q27" s="6">
        <v>339337</v>
      </c>
      <c r="R27" s="6">
        <v>5992734</v>
      </c>
      <c r="S27">
        <f t="shared" si="3"/>
        <v>21.823376142420674</v>
      </c>
      <c r="T27">
        <f t="shared" si="4"/>
        <v>1.2715265470901911</v>
      </c>
      <c r="U27">
        <f t="shared" si="5"/>
        <v>2.5512964544897101</v>
      </c>
      <c r="V27">
        <f t="shared" si="6"/>
        <v>8.7874086530173905</v>
      </c>
      <c r="W27">
        <f t="shared" si="7"/>
        <v>61.750959659505845</v>
      </c>
      <c r="X27">
        <f t="shared" si="8"/>
        <v>37.767086862104023</v>
      </c>
      <c r="Y27">
        <f t="shared" si="9"/>
        <v>126.12830313228443</v>
      </c>
      <c r="Z27">
        <f t="shared" si="10"/>
        <v>18.522430663533541</v>
      </c>
    </row>
    <row r="28" spans="1:26" ht="15" thickBot="1" x14ac:dyDescent="0.35">
      <c r="A28" s="5" t="s">
        <v>13</v>
      </c>
      <c r="B28" s="13" t="s">
        <v>92</v>
      </c>
      <c r="C28" s="6">
        <v>55</v>
      </c>
      <c r="D28" s="6">
        <v>11</v>
      </c>
      <c r="E28" s="6">
        <v>15</v>
      </c>
      <c r="F28" s="6">
        <v>181</v>
      </c>
      <c r="G28" s="6">
        <f t="shared" si="1"/>
        <v>629</v>
      </c>
      <c r="H28" s="6">
        <v>316</v>
      </c>
      <c r="I28" s="6">
        <v>313</v>
      </c>
      <c r="J28" s="6">
        <v>891</v>
      </c>
      <c r="K28" s="6">
        <v>302428</v>
      </c>
      <c r="L28" s="6">
        <v>629165</v>
      </c>
      <c r="M28" s="6">
        <v>1136677</v>
      </c>
      <c r="N28" s="6">
        <v>2674281</v>
      </c>
      <c r="O28" s="6">
        <f t="shared" si="2"/>
        <v>1250183</v>
      </c>
      <c r="P28" s="6">
        <v>910846</v>
      </c>
      <c r="Q28" s="6">
        <v>339337</v>
      </c>
      <c r="R28" s="6">
        <v>5992734</v>
      </c>
      <c r="S28">
        <f t="shared" si="3"/>
        <v>18.186146785350562</v>
      </c>
      <c r="T28">
        <f t="shared" si="4"/>
        <v>1.7483490022490127</v>
      </c>
      <c r="U28">
        <f t="shared" si="5"/>
        <v>1.31963609714985</v>
      </c>
      <c r="V28">
        <f t="shared" si="6"/>
        <v>6.7681743242389265</v>
      </c>
      <c r="W28">
        <f t="shared" si="7"/>
        <v>50.312634230348678</v>
      </c>
      <c r="X28">
        <f t="shared" si="8"/>
        <v>34.693021652397881</v>
      </c>
      <c r="Y28">
        <f t="shared" si="9"/>
        <v>92.238688972908946</v>
      </c>
      <c r="Z28">
        <f t="shared" si="10"/>
        <v>14.868005154241787</v>
      </c>
    </row>
    <row r="29" spans="1:26" ht="15" thickBot="1" x14ac:dyDescent="0.35">
      <c r="A29" s="5" t="s">
        <v>13</v>
      </c>
      <c r="B29" s="13" t="s">
        <v>93</v>
      </c>
      <c r="C29" s="6">
        <v>47</v>
      </c>
      <c r="D29" s="6">
        <v>13</v>
      </c>
      <c r="E29" s="6">
        <v>20</v>
      </c>
      <c r="F29" s="6">
        <v>166</v>
      </c>
      <c r="G29" s="6">
        <f t="shared" si="1"/>
        <v>624</v>
      </c>
      <c r="H29" s="6">
        <v>282</v>
      </c>
      <c r="I29" s="6">
        <v>342</v>
      </c>
      <c r="J29" s="6">
        <v>870</v>
      </c>
      <c r="K29" s="6">
        <v>302428</v>
      </c>
      <c r="L29" s="6">
        <v>629165</v>
      </c>
      <c r="M29" s="6">
        <v>1136677</v>
      </c>
      <c r="N29" s="6">
        <v>2674281</v>
      </c>
      <c r="O29" s="6">
        <f t="shared" si="2"/>
        <v>1250183</v>
      </c>
      <c r="P29" s="6">
        <v>910846</v>
      </c>
      <c r="Q29" s="6">
        <v>339337</v>
      </c>
      <c r="R29" s="6">
        <v>5992734</v>
      </c>
      <c r="S29">
        <f t="shared" si="3"/>
        <v>15.540889071117753</v>
      </c>
      <c r="T29">
        <f t="shared" si="4"/>
        <v>2.0662306390215606</v>
      </c>
      <c r="U29">
        <f t="shared" si="5"/>
        <v>1.7595147961998001</v>
      </c>
      <c r="V29">
        <f t="shared" si="6"/>
        <v>6.2072758995782413</v>
      </c>
      <c r="W29">
        <f t="shared" si="7"/>
        <v>49.912692781776748</v>
      </c>
      <c r="X29">
        <f t="shared" si="8"/>
        <v>30.960228183468995</v>
      </c>
      <c r="Y29">
        <f t="shared" si="9"/>
        <v>100.78476558701233</v>
      </c>
      <c r="Z29">
        <f t="shared" si="10"/>
        <v>14.517580790337098</v>
      </c>
    </row>
    <row r="30" spans="1:26" ht="15" thickBot="1" x14ac:dyDescent="0.35">
      <c r="A30" s="5" t="s">
        <v>13</v>
      </c>
      <c r="B30" s="13" t="s">
        <v>94</v>
      </c>
      <c r="C30" s="6">
        <v>37</v>
      </c>
      <c r="D30" s="6">
        <v>5</v>
      </c>
      <c r="E30" s="6">
        <v>15</v>
      </c>
      <c r="F30" s="6">
        <v>120</v>
      </c>
      <c r="G30" s="6">
        <f t="shared" si="1"/>
        <v>607</v>
      </c>
      <c r="H30" s="6">
        <v>286</v>
      </c>
      <c r="I30" s="6">
        <v>321</v>
      </c>
      <c r="J30" s="6">
        <v>784</v>
      </c>
      <c r="K30" s="6">
        <v>302428</v>
      </c>
      <c r="L30" s="6">
        <v>629165</v>
      </c>
      <c r="M30" s="6">
        <v>1136677</v>
      </c>
      <c r="N30" s="6">
        <v>2674281</v>
      </c>
      <c r="O30" s="6">
        <f t="shared" si="2"/>
        <v>1250183</v>
      </c>
      <c r="P30" s="6">
        <v>910846</v>
      </c>
      <c r="Q30" s="6">
        <v>339337</v>
      </c>
      <c r="R30" s="6">
        <v>5992734</v>
      </c>
      <c r="S30">
        <f t="shared" si="3"/>
        <v>12.234316928326743</v>
      </c>
      <c r="T30">
        <f t="shared" si="4"/>
        <v>0.79470409193136937</v>
      </c>
      <c r="U30">
        <f t="shared" si="5"/>
        <v>1.31963609714985</v>
      </c>
      <c r="V30">
        <f t="shared" si="6"/>
        <v>4.4871873972854761</v>
      </c>
      <c r="W30">
        <f t="shared" si="7"/>
        <v>48.552891856632193</v>
      </c>
      <c r="X30">
        <f t="shared" si="8"/>
        <v>31.399380356284158</v>
      </c>
      <c r="Y30">
        <f t="shared" si="9"/>
        <v>94.596227349213322</v>
      </c>
      <c r="Z30">
        <f t="shared" si="10"/>
        <v>13.082509585775039</v>
      </c>
    </row>
    <row r="31" spans="1:26" ht="15" thickBot="1" x14ac:dyDescent="0.35">
      <c r="A31" s="5" t="s">
        <v>13</v>
      </c>
      <c r="B31" s="13" t="s">
        <v>95</v>
      </c>
      <c r="C31" s="6">
        <v>31</v>
      </c>
      <c r="D31" s="6">
        <v>4</v>
      </c>
      <c r="E31" s="6">
        <v>9</v>
      </c>
      <c r="F31" s="6">
        <v>109</v>
      </c>
      <c r="G31" s="6">
        <f t="shared" si="1"/>
        <v>550</v>
      </c>
      <c r="H31" s="6">
        <v>250</v>
      </c>
      <c r="I31" s="6">
        <v>300</v>
      </c>
      <c r="J31" s="6">
        <v>703</v>
      </c>
      <c r="K31" s="6">
        <v>302428</v>
      </c>
      <c r="L31" s="6">
        <v>629165</v>
      </c>
      <c r="M31" s="6">
        <v>1136677</v>
      </c>
      <c r="N31" s="6">
        <v>2674281</v>
      </c>
      <c r="O31" s="6">
        <f t="shared" si="2"/>
        <v>1250183</v>
      </c>
      <c r="P31" s="6">
        <v>910846</v>
      </c>
      <c r="Q31" s="6">
        <v>339337</v>
      </c>
      <c r="R31" s="6">
        <v>5992734</v>
      </c>
      <c r="S31">
        <f t="shared" si="3"/>
        <v>10.250373642652136</v>
      </c>
      <c r="T31">
        <f t="shared" si="4"/>
        <v>0.63576327354509554</v>
      </c>
      <c r="U31">
        <f t="shared" si="5"/>
        <v>0.79178165828990998</v>
      </c>
      <c r="V31">
        <f t="shared" si="6"/>
        <v>4.0758618858676403</v>
      </c>
      <c r="W31">
        <f t="shared" si="7"/>
        <v>43.993559342912199</v>
      </c>
      <c r="X31">
        <f t="shared" si="8"/>
        <v>27.447010800947691</v>
      </c>
      <c r="Y31">
        <f t="shared" si="9"/>
        <v>88.407689111414328</v>
      </c>
      <c r="Z31">
        <f t="shared" si="10"/>
        <v>11.730872753571241</v>
      </c>
    </row>
    <row r="32" spans="1:26" ht="15" thickBot="1" x14ac:dyDescent="0.35">
      <c r="A32" s="5" t="s">
        <v>13</v>
      </c>
      <c r="B32" s="13" t="s">
        <v>96</v>
      </c>
      <c r="C32" s="6">
        <v>25</v>
      </c>
      <c r="D32" s="6">
        <v>5</v>
      </c>
      <c r="E32" s="6">
        <v>12</v>
      </c>
      <c r="F32" s="6">
        <v>103</v>
      </c>
      <c r="G32" s="6">
        <f t="shared" si="1"/>
        <v>561</v>
      </c>
      <c r="H32" s="6">
        <v>255</v>
      </c>
      <c r="I32" s="6">
        <v>306</v>
      </c>
      <c r="J32" s="6">
        <v>706</v>
      </c>
      <c r="K32" s="6">
        <v>302428</v>
      </c>
      <c r="L32" s="6">
        <v>629165</v>
      </c>
      <c r="M32" s="6">
        <v>1136677</v>
      </c>
      <c r="N32" s="6">
        <v>2674281</v>
      </c>
      <c r="O32" s="6">
        <f t="shared" si="2"/>
        <v>1250183</v>
      </c>
      <c r="P32" s="6">
        <v>910846</v>
      </c>
      <c r="Q32" s="6">
        <v>339337</v>
      </c>
      <c r="R32" s="6">
        <v>5992734</v>
      </c>
      <c r="S32">
        <f t="shared" si="3"/>
        <v>8.2664303569775281</v>
      </c>
      <c r="T32">
        <f t="shared" si="4"/>
        <v>0.79470409193136937</v>
      </c>
      <c r="U32">
        <f t="shared" si="5"/>
        <v>1.05570887771988</v>
      </c>
      <c r="V32">
        <f t="shared" si="6"/>
        <v>3.8515025160033671</v>
      </c>
      <c r="W32">
        <f t="shared" si="7"/>
        <v>44.873430529770445</v>
      </c>
      <c r="X32">
        <f t="shared" si="8"/>
        <v>27.995951016966643</v>
      </c>
      <c r="Y32">
        <f t="shared" si="9"/>
        <v>90.175842893642596</v>
      </c>
      <c r="Z32">
        <f t="shared" si="10"/>
        <v>11.780933376986196</v>
      </c>
    </row>
    <row r="33" spans="1:26" ht="15" thickBot="1" x14ac:dyDescent="0.35">
      <c r="A33" s="5" t="s">
        <v>13</v>
      </c>
      <c r="B33" s="13" t="s">
        <v>97</v>
      </c>
      <c r="C33" s="6">
        <v>44</v>
      </c>
      <c r="D33" s="6">
        <v>5</v>
      </c>
      <c r="E33" s="6">
        <v>12</v>
      </c>
      <c r="F33" s="6">
        <v>129</v>
      </c>
      <c r="G33" s="6">
        <f t="shared" si="1"/>
        <v>496</v>
      </c>
      <c r="H33" s="6">
        <v>216</v>
      </c>
      <c r="I33" s="6">
        <v>280</v>
      </c>
      <c r="J33" s="6">
        <v>686</v>
      </c>
      <c r="K33" s="6">
        <v>302428</v>
      </c>
      <c r="L33" s="6">
        <v>629165</v>
      </c>
      <c r="M33" s="6">
        <v>1136677</v>
      </c>
      <c r="N33" s="6">
        <v>2674281</v>
      </c>
      <c r="O33" s="6">
        <f t="shared" si="2"/>
        <v>1250183</v>
      </c>
      <c r="P33" s="6">
        <v>910846</v>
      </c>
      <c r="Q33" s="6">
        <v>339337</v>
      </c>
      <c r="R33" s="6">
        <v>5992734</v>
      </c>
      <c r="S33">
        <f t="shared" si="3"/>
        <v>14.548917428280451</v>
      </c>
      <c r="T33">
        <f t="shared" si="4"/>
        <v>0.79470409193136937</v>
      </c>
      <c r="U33">
        <f t="shared" si="5"/>
        <v>1.05570887771988</v>
      </c>
      <c r="V33">
        <f t="shared" si="6"/>
        <v>4.8237264520818872</v>
      </c>
      <c r="W33">
        <f t="shared" si="7"/>
        <v>39.674191698335363</v>
      </c>
      <c r="X33">
        <f t="shared" si="8"/>
        <v>23.714217332018805</v>
      </c>
      <c r="Y33">
        <f t="shared" si="9"/>
        <v>82.513843170653359</v>
      </c>
      <c r="Z33">
        <f t="shared" si="10"/>
        <v>11.447195887553161</v>
      </c>
    </row>
    <row r="34" spans="1:26" ht="15" thickBot="1" x14ac:dyDescent="0.35">
      <c r="A34" s="5" t="s">
        <v>13</v>
      </c>
      <c r="B34" s="13" t="s">
        <v>98</v>
      </c>
      <c r="C34" s="6">
        <v>32</v>
      </c>
      <c r="D34" s="6">
        <v>4</v>
      </c>
      <c r="E34" s="6">
        <v>8</v>
      </c>
      <c r="F34" s="6">
        <v>121</v>
      </c>
      <c r="G34" s="6">
        <f t="shared" si="1"/>
        <v>468</v>
      </c>
      <c r="H34" s="6">
        <v>226</v>
      </c>
      <c r="I34" s="6">
        <v>242</v>
      </c>
      <c r="J34" s="6">
        <v>633</v>
      </c>
      <c r="K34" s="6">
        <v>302428</v>
      </c>
      <c r="L34" s="6">
        <v>629165</v>
      </c>
      <c r="M34" s="6">
        <v>1136677</v>
      </c>
      <c r="N34" s="6">
        <v>2674281</v>
      </c>
      <c r="O34" s="6">
        <f t="shared" si="2"/>
        <v>1250183</v>
      </c>
      <c r="P34" s="6">
        <v>910846</v>
      </c>
      <c r="Q34" s="6">
        <v>339337</v>
      </c>
      <c r="R34" s="6">
        <v>5992734</v>
      </c>
      <c r="S34">
        <f t="shared" si="3"/>
        <v>10.581030856931235</v>
      </c>
      <c r="T34">
        <f t="shared" si="4"/>
        <v>0.63576327354509554</v>
      </c>
      <c r="U34">
        <f t="shared" si="5"/>
        <v>0.70380591847992002</v>
      </c>
      <c r="V34">
        <f t="shared" si="6"/>
        <v>4.5245806255961885</v>
      </c>
      <c r="W34">
        <f t="shared" si="7"/>
        <v>37.434519586332563</v>
      </c>
      <c r="X34">
        <f t="shared" si="8"/>
        <v>24.812097764056713</v>
      </c>
      <c r="Y34">
        <f t="shared" si="9"/>
        <v>71.315535883207559</v>
      </c>
      <c r="Z34">
        <f t="shared" si="10"/>
        <v>10.562791540555612</v>
      </c>
    </row>
    <row r="35" spans="1:26" ht="15" thickBot="1" x14ac:dyDescent="0.35">
      <c r="A35" s="5" t="s">
        <v>13</v>
      </c>
      <c r="B35" s="13" t="s">
        <v>99</v>
      </c>
      <c r="C35" s="6">
        <v>31</v>
      </c>
      <c r="D35" s="6">
        <v>3</v>
      </c>
      <c r="E35" s="6">
        <v>11</v>
      </c>
      <c r="F35" s="6">
        <v>118</v>
      </c>
      <c r="G35" s="6">
        <f t="shared" si="1"/>
        <v>506</v>
      </c>
      <c r="H35" s="6">
        <v>223</v>
      </c>
      <c r="I35" s="6">
        <v>283</v>
      </c>
      <c r="J35" s="6">
        <v>669</v>
      </c>
      <c r="K35" s="6">
        <v>302428</v>
      </c>
      <c r="L35" s="6">
        <v>629165</v>
      </c>
      <c r="M35" s="6">
        <v>1136677</v>
      </c>
      <c r="N35" s="6">
        <v>2674281</v>
      </c>
      <c r="O35" s="6">
        <f t="shared" si="2"/>
        <v>1250183</v>
      </c>
      <c r="P35" s="6">
        <v>910846</v>
      </c>
      <c r="Q35" s="6">
        <v>339337</v>
      </c>
      <c r="R35" s="6">
        <v>5992734</v>
      </c>
      <c r="S35">
        <f t="shared" si="3"/>
        <v>10.250373642652136</v>
      </c>
      <c r="T35">
        <f t="shared" si="4"/>
        <v>0.4768224551588216</v>
      </c>
      <c r="U35">
        <f t="shared" si="5"/>
        <v>0.96773313790989002</v>
      </c>
      <c r="V35">
        <f t="shared" si="6"/>
        <v>4.4124009406640514</v>
      </c>
      <c r="W35">
        <f t="shared" si="7"/>
        <v>40.474074595479223</v>
      </c>
      <c r="X35">
        <f t="shared" si="8"/>
        <v>24.482733634445342</v>
      </c>
      <c r="Y35">
        <f t="shared" si="9"/>
        <v>83.397920061767508</v>
      </c>
      <c r="Z35">
        <f t="shared" si="10"/>
        <v>11.163519021535079</v>
      </c>
    </row>
    <row r="36" spans="1:26" ht="15" thickBot="1" x14ac:dyDescent="0.35">
      <c r="A36" s="5" t="s">
        <v>13</v>
      </c>
      <c r="B36" s="13" t="s">
        <v>100</v>
      </c>
      <c r="C36" s="6">
        <v>29</v>
      </c>
      <c r="D36" s="6">
        <v>3</v>
      </c>
      <c r="E36" s="6">
        <v>7</v>
      </c>
      <c r="F36" s="6">
        <v>95</v>
      </c>
      <c r="G36" s="6">
        <f t="shared" si="1"/>
        <v>518</v>
      </c>
      <c r="H36" s="6">
        <v>257</v>
      </c>
      <c r="I36" s="6">
        <v>261</v>
      </c>
      <c r="J36" s="6">
        <v>652</v>
      </c>
      <c r="K36" s="6">
        <v>302428</v>
      </c>
      <c r="L36" s="6">
        <v>629165</v>
      </c>
      <c r="M36" s="6">
        <v>1136677</v>
      </c>
      <c r="N36" s="6">
        <v>2674281</v>
      </c>
      <c r="O36" s="6">
        <f t="shared" si="2"/>
        <v>1250183</v>
      </c>
      <c r="P36" s="6">
        <v>910846</v>
      </c>
      <c r="Q36" s="6">
        <v>339337</v>
      </c>
      <c r="R36" s="6">
        <v>5992734</v>
      </c>
      <c r="S36">
        <f t="shared" si="3"/>
        <v>9.5890592140939326</v>
      </c>
      <c r="T36">
        <f t="shared" si="4"/>
        <v>0.4768224551588216</v>
      </c>
      <c r="U36">
        <f t="shared" si="5"/>
        <v>0.61583017866992995</v>
      </c>
      <c r="V36">
        <f t="shared" si="6"/>
        <v>3.5523566895176688</v>
      </c>
      <c r="W36">
        <f t="shared" si="7"/>
        <v>41.433934072051855</v>
      </c>
      <c r="X36">
        <f t="shared" si="8"/>
        <v>28.215527103374225</v>
      </c>
      <c r="Y36">
        <f t="shared" si="9"/>
        <v>76.914689526930445</v>
      </c>
      <c r="Z36">
        <f t="shared" si="10"/>
        <v>10.879842155516997</v>
      </c>
    </row>
    <row r="37" spans="1:26" ht="15" thickBot="1" x14ac:dyDescent="0.35">
      <c r="A37" s="5" t="s">
        <v>13</v>
      </c>
      <c r="B37" s="13" t="s">
        <v>101</v>
      </c>
      <c r="C37" s="6">
        <v>24</v>
      </c>
      <c r="D37" s="6">
        <v>5</v>
      </c>
      <c r="E37" s="6">
        <v>7</v>
      </c>
      <c r="F37" s="6">
        <v>119</v>
      </c>
      <c r="G37" s="6">
        <f t="shared" si="1"/>
        <v>510</v>
      </c>
      <c r="H37" s="6">
        <v>224</v>
      </c>
      <c r="I37" s="6">
        <v>286</v>
      </c>
      <c r="J37" s="6">
        <v>665</v>
      </c>
      <c r="K37" s="6">
        <v>302428</v>
      </c>
      <c r="L37" s="6">
        <v>629165</v>
      </c>
      <c r="M37" s="6">
        <v>1136677</v>
      </c>
      <c r="N37" s="6">
        <v>2674281</v>
      </c>
      <c r="O37" s="6">
        <f t="shared" si="2"/>
        <v>1250183</v>
      </c>
      <c r="P37" s="6">
        <v>910846</v>
      </c>
      <c r="Q37" s="6">
        <v>339337</v>
      </c>
      <c r="R37" s="6">
        <v>5992734</v>
      </c>
      <c r="S37">
        <f t="shared" si="3"/>
        <v>7.9357731426984284</v>
      </c>
      <c r="T37">
        <f t="shared" si="4"/>
        <v>0.79470409193136937</v>
      </c>
      <c r="U37">
        <f t="shared" si="5"/>
        <v>0.61583017866992995</v>
      </c>
      <c r="V37">
        <f t="shared" si="6"/>
        <v>4.4497941689747638</v>
      </c>
      <c r="W37">
        <f t="shared" si="7"/>
        <v>40.794027754336767</v>
      </c>
      <c r="X37">
        <f t="shared" si="8"/>
        <v>24.592521677649131</v>
      </c>
      <c r="Y37">
        <f t="shared" si="9"/>
        <v>84.281996952881642</v>
      </c>
      <c r="Z37">
        <f t="shared" si="10"/>
        <v>11.096771523648471</v>
      </c>
    </row>
    <row r="38" spans="1:26" ht="15" thickBot="1" x14ac:dyDescent="0.35">
      <c r="A38" s="5" t="s">
        <v>13</v>
      </c>
      <c r="B38" s="13" t="s">
        <v>102</v>
      </c>
      <c r="C38" s="6">
        <v>25</v>
      </c>
      <c r="D38" s="6">
        <v>4</v>
      </c>
      <c r="E38" s="6">
        <v>6</v>
      </c>
      <c r="F38" s="6">
        <v>114</v>
      </c>
      <c r="G38" s="6">
        <f t="shared" si="1"/>
        <v>515</v>
      </c>
      <c r="H38" s="6">
        <v>245</v>
      </c>
      <c r="I38" s="6">
        <v>270</v>
      </c>
      <c r="J38" s="6">
        <v>664</v>
      </c>
      <c r="K38" s="6">
        <v>302428</v>
      </c>
      <c r="L38" s="6">
        <v>629165</v>
      </c>
      <c r="M38" s="6">
        <v>1136677</v>
      </c>
      <c r="N38" s="6">
        <v>2674281</v>
      </c>
      <c r="O38" s="6">
        <f t="shared" si="2"/>
        <v>1250183</v>
      </c>
      <c r="P38" s="6">
        <v>910846</v>
      </c>
      <c r="Q38" s="6">
        <v>339337</v>
      </c>
      <c r="R38" s="6">
        <v>5992734</v>
      </c>
      <c r="S38">
        <f t="shared" si="3"/>
        <v>8.2664303569775281</v>
      </c>
      <c r="T38">
        <f t="shared" si="4"/>
        <v>0.63576327354509554</v>
      </c>
      <c r="U38">
        <f t="shared" si="5"/>
        <v>0.52785443885993999</v>
      </c>
      <c r="V38">
        <f t="shared" si="6"/>
        <v>4.262828027421202</v>
      </c>
      <c r="W38">
        <f t="shared" si="7"/>
        <v>41.19396920290869</v>
      </c>
      <c r="X38">
        <f t="shared" si="8"/>
        <v>26.898070584928739</v>
      </c>
      <c r="Y38">
        <f t="shared" si="9"/>
        <v>79.566920200272875</v>
      </c>
      <c r="Z38">
        <f t="shared" si="10"/>
        <v>11.08008464917682</v>
      </c>
    </row>
    <row r="39" spans="1:26" ht="15" thickBot="1" x14ac:dyDescent="0.35">
      <c r="A39" s="5" t="s">
        <v>13</v>
      </c>
      <c r="B39" s="13" t="s">
        <v>103</v>
      </c>
      <c r="C39" s="6">
        <v>43</v>
      </c>
      <c r="D39" s="6">
        <v>3</v>
      </c>
      <c r="E39" s="6">
        <v>6</v>
      </c>
      <c r="F39" s="6">
        <v>98</v>
      </c>
      <c r="G39" s="6">
        <f t="shared" si="1"/>
        <v>430</v>
      </c>
      <c r="H39" s="6">
        <v>204</v>
      </c>
      <c r="I39" s="6">
        <v>226</v>
      </c>
      <c r="J39" s="6">
        <v>580</v>
      </c>
      <c r="K39" s="6">
        <v>302428</v>
      </c>
      <c r="L39" s="6">
        <v>629165</v>
      </c>
      <c r="M39" s="6">
        <v>1136677</v>
      </c>
      <c r="N39" s="6">
        <v>2674281</v>
      </c>
      <c r="O39" s="6">
        <f t="shared" si="2"/>
        <v>1250183</v>
      </c>
      <c r="P39" s="6">
        <v>910846</v>
      </c>
      <c r="Q39" s="6">
        <v>339337</v>
      </c>
      <c r="R39" s="6">
        <v>5992734</v>
      </c>
      <c r="S39">
        <f t="shared" si="3"/>
        <v>14.218260214001349</v>
      </c>
      <c r="T39">
        <f t="shared" si="4"/>
        <v>0.4768224551588216</v>
      </c>
      <c r="U39">
        <f t="shared" si="5"/>
        <v>0.52785443885993999</v>
      </c>
      <c r="V39">
        <f t="shared" si="6"/>
        <v>3.6645363744498054</v>
      </c>
      <c r="W39">
        <f t="shared" si="7"/>
        <v>34.394964577185902</v>
      </c>
      <c r="X39">
        <f t="shared" si="8"/>
        <v>22.396760813573316</v>
      </c>
      <c r="Y39">
        <f t="shared" si="9"/>
        <v>66.600459130598793</v>
      </c>
      <c r="Z39">
        <f t="shared" si="10"/>
        <v>9.6783871935580663</v>
      </c>
    </row>
    <row r="40" spans="1:26" ht="15" thickBot="1" x14ac:dyDescent="0.35">
      <c r="A40" s="5" t="s">
        <v>13</v>
      </c>
      <c r="B40" s="13" t="s">
        <v>104</v>
      </c>
      <c r="C40" s="6">
        <v>24</v>
      </c>
      <c r="D40" s="6">
        <v>5</v>
      </c>
      <c r="E40" s="6">
        <v>9</v>
      </c>
      <c r="F40" s="6">
        <v>99</v>
      </c>
      <c r="G40" s="6">
        <f t="shared" si="1"/>
        <v>461</v>
      </c>
      <c r="H40" s="6">
        <v>219</v>
      </c>
      <c r="I40" s="6">
        <v>242</v>
      </c>
      <c r="J40" s="6">
        <v>598</v>
      </c>
      <c r="K40" s="6">
        <v>302428</v>
      </c>
      <c r="L40" s="6">
        <v>629165</v>
      </c>
      <c r="M40" s="6">
        <v>1136677</v>
      </c>
      <c r="N40" s="6">
        <v>2674281</v>
      </c>
      <c r="O40" s="6">
        <f t="shared" si="2"/>
        <v>1250183</v>
      </c>
      <c r="P40" s="6">
        <v>910846</v>
      </c>
      <c r="Q40" s="6">
        <v>339337</v>
      </c>
      <c r="R40" s="6">
        <v>5992734</v>
      </c>
      <c r="S40">
        <f t="shared" si="3"/>
        <v>7.9357731426984284</v>
      </c>
      <c r="T40">
        <f t="shared" si="4"/>
        <v>0.79470409193136937</v>
      </c>
      <c r="U40">
        <f t="shared" si="5"/>
        <v>0.79178165828990998</v>
      </c>
      <c r="V40">
        <f t="shared" si="6"/>
        <v>3.7019296027605177</v>
      </c>
      <c r="W40">
        <f t="shared" si="7"/>
        <v>36.874601558331861</v>
      </c>
      <c r="X40">
        <f t="shared" si="8"/>
        <v>24.043581461630176</v>
      </c>
      <c r="Y40">
        <f t="shared" si="9"/>
        <v>71.315535883207559</v>
      </c>
      <c r="Z40">
        <f t="shared" si="10"/>
        <v>9.9787509340477989</v>
      </c>
    </row>
    <row r="41" spans="1:26" ht="15" thickBot="1" x14ac:dyDescent="0.35">
      <c r="A41" s="5" t="s">
        <v>13</v>
      </c>
      <c r="B41" s="13" t="s">
        <v>105</v>
      </c>
      <c r="C41" s="6">
        <v>20</v>
      </c>
      <c r="D41" s="6">
        <v>1</v>
      </c>
      <c r="E41" s="6">
        <v>11</v>
      </c>
      <c r="F41" s="6">
        <v>93</v>
      </c>
      <c r="G41" s="6">
        <f t="shared" si="1"/>
        <v>441</v>
      </c>
      <c r="H41" s="6">
        <v>196</v>
      </c>
      <c r="I41" s="6">
        <v>245</v>
      </c>
      <c r="J41" s="6">
        <v>566</v>
      </c>
      <c r="K41" s="6">
        <v>302428</v>
      </c>
      <c r="L41" s="6">
        <v>629165</v>
      </c>
      <c r="M41" s="6">
        <v>1136677</v>
      </c>
      <c r="N41" s="6">
        <v>2674281</v>
      </c>
      <c r="O41" s="6">
        <f t="shared" si="2"/>
        <v>1250183</v>
      </c>
      <c r="P41" s="6">
        <v>910846</v>
      </c>
      <c r="Q41" s="6">
        <v>339337</v>
      </c>
      <c r="R41" s="6">
        <v>5992734</v>
      </c>
      <c r="S41">
        <f t="shared" si="3"/>
        <v>6.6131442855820231</v>
      </c>
      <c r="T41">
        <f t="shared" si="4"/>
        <v>0.15894081838627389</v>
      </c>
      <c r="U41">
        <f t="shared" si="5"/>
        <v>0.96773313790989002</v>
      </c>
      <c r="V41">
        <f t="shared" si="6"/>
        <v>3.4775702328962441</v>
      </c>
      <c r="W41">
        <f t="shared" si="7"/>
        <v>35.274835764044148</v>
      </c>
      <c r="X41">
        <f t="shared" si="8"/>
        <v>21.51845646794299</v>
      </c>
      <c r="Y41">
        <f t="shared" si="9"/>
        <v>72.199612774321693</v>
      </c>
      <c r="Z41">
        <f t="shared" si="10"/>
        <v>9.4447709509549398</v>
      </c>
    </row>
    <row r="42" spans="1:26" ht="15" thickBot="1" x14ac:dyDescent="0.35">
      <c r="A42" s="5" t="s">
        <v>13</v>
      </c>
      <c r="B42" s="13" t="s">
        <v>106</v>
      </c>
      <c r="C42" s="6">
        <v>15</v>
      </c>
      <c r="D42" s="6">
        <v>1</v>
      </c>
      <c r="E42" s="6">
        <v>4</v>
      </c>
      <c r="F42" s="6">
        <v>100</v>
      </c>
      <c r="G42" s="6">
        <f t="shared" si="1"/>
        <v>433</v>
      </c>
      <c r="H42" s="6">
        <v>197</v>
      </c>
      <c r="I42" s="6">
        <v>236</v>
      </c>
      <c r="J42" s="6">
        <v>553</v>
      </c>
      <c r="K42" s="6">
        <v>302428</v>
      </c>
      <c r="L42" s="6">
        <v>629165</v>
      </c>
      <c r="M42" s="6">
        <v>1136677</v>
      </c>
      <c r="N42" s="6">
        <v>2674281</v>
      </c>
      <c r="O42" s="6">
        <f t="shared" si="2"/>
        <v>1250183</v>
      </c>
      <c r="P42" s="6">
        <v>910846</v>
      </c>
      <c r="Q42" s="6">
        <v>339337</v>
      </c>
      <c r="R42" s="6">
        <v>5992734</v>
      </c>
      <c r="S42">
        <f t="shared" si="3"/>
        <v>4.9598582141865171</v>
      </c>
      <c r="T42">
        <f t="shared" si="4"/>
        <v>0.15894081838627389</v>
      </c>
      <c r="U42">
        <f t="shared" si="5"/>
        <v>0.35190295923996001</v>
      </c>
      <c r="V42">
        <f t="shared" si="6"/>
        <v>3.7393228310712301</v>
      </c>
      <c r="W42">
        <f t="shared" si="7"/>
        <v>34.63492944632906</v>
      </c>
      <c r="X42">
        <f t="shared" si="8"/>
        <v>21.628244511146779</v>
      </c>
      <c r="Y42">
        <f t="shared" si="9"/>
        <v>69.547382100979263</v>
      </c>
      <c r="Z42">
        <f t="shared" si="10"/>
        <v>9.2278415828234657</v>
      </c>
    </row>
    <row r="43" spans="1:26" ht="15" thickBot="1" x14ac:dyDescent="0.35">
      <c r="A43" s="5" t="s">
        <v>13</v>
      </c>
      <c r="B43" s="13" t="s">
        <v>107</v>
      </c>
      <c r="C43" s="6">
        <v>9</v>
      </c>
      <c r="D43" s="6">
        <v>5</v>
      </c>
      <c r="E43" s="6">
        <v>9</v>
      </c>
      <c r="F43" s="6">
        <v>95</v>
      </c>
      <c r="G43" s="6">
        <f t="shared" si="1"/>
        <v>459</v>
      </c>
      <c r="H43" s="6">
        <v>216</v>
      </c>
      <c r="I43" s="6">
        <v>243</v>
      </c>
      <c r="J43" s="6">
        <v>577</v>
      </c>
      <c r="K43" s="6">
        <v>302428</v>
      </c>
      <c r="L43" s="6">
        <v>629165</v>
      </c>
      <c r="M43" s="6">
        <v>1136677</v>
      </c>
      <c r="N43" s="6">
        <v>2674281</v>
      </c>
      <c r="O43" s="6">
        <f t="shared" si="2"/>
        <v>1250183</v>
      </c>
      <c r="P43" s="6">
        <v>910846</v>
      </c>
      <c r="Q43" s="6">
        <v>339337</v>
      </c>
      <c r="R43" s="6">
        <v>5992734</v>
      </c>
      <c r="S43">
        <f t="shared" si="3"/>
        <v>2.97591492851191</v>
      </c>
      <c r="T43">
        <f t="shared" si="4"/>
        <v>0.79470409193136937</v>
      </c>
      <c r="U43">
        <f t="shared" si="5"/>
        <v>0.79178165828990998</v>
      </c>
      <c r="V43">
        <f t="shared" si="6"/>
        <v>3.5523566895176688</v>
      </c>
      <c r="W43">
        <f t="shared" si="7"/>
        <v>36.714624978903089</v>
      </c>
      <c r="X43">
        <f t="shared" si="8"/>
        <v>23.714217332018805</v>
      </c>
      <c r="Y43">
        <f t="shared" si="9"/>
        <v>71.610228180245599</v>
      </c>
      <c r="Z43">
        <f t="shared" si="10"/>
        <v>9.6283265701431091</v>
      </c>
    </row>
    <row r="44" spans="1:26" ht="15" thickBot="1" x14ac:dyDescent="0.35">
      <c r="A44" s="5" t="s">
        <v>13</v>
      </c>
      <c r="B44" s="13" t="s">
        <v>108</v>
      </c>
      <c r="C44" s="6">
        <v>14</v>
      </c>
      <c r="D44" s="6">
        <v>2</v>
      </c>
      <c r="E44" s="6">
        <v>9</v>
      </c>
      <c r="F44" s="6">
        <v>90</v>
      </c>
      <c r="G44" s="6">
        <f t="shared" si="1"/>
        <v>401</v>
      </c>
      <c r="H44" s="6">
        <v>173</v>
      </c>
      <c r="I44" s="6">
        <v>228</v>
      </c>
      <c r="J44" s="6">
        <v>516</v>
      </c>
      <c r="K44" s="6">
        <v>302428</v>
      </c>
      <c r="L44" s="6">
        <v>629165</v>
      </c>
      <c r="M44" s="6">
        <v>1136677</v>
      </c>
      <c r="N44" s="6">
        <v>2674281</v>
      </c>
      <c r="O44" s="6">
        <f t="shared" si="2"/>
        <v>1250183</v>
      </c>
      <c r="P44" s="6">
        <v>910846</v>
      </c>
      <c r="Q44" s="6">
        <v>339337</v>
      </c>
      <c r="R44" s="6">
        <v>5992734</v>
      </c>
      <c r="S44">
        <f t="shared" si="3"/>
        <v>4.6292009999074164</v>
      </c>
      <c r="T44">
        <f t="shared" si="4"/>
        <v>0.31788163677254777</v>
      </c>
      <c r="U44">
        <f t="shared" si="5"/>
        <v>0.79178165828990998</v>
      </c>
      <c r="V44">
        <f t="shared" si="6"/>
        <v>3.3653905479641066</v>
      </c>
      <c r="W44">
        <f t="shared" si="7"/>
        <v>32.075304175468709</v>
      </c>
      <c r="X44">
        <f t="shared" si="8"/>
        <v>18.9933314742558</v>
      </c>
      <c r="Y44">
        <f t="shared" si="9"/>
        <v>67.189843724674873</v>
      </c>
      <c r="Z44">
        <f t="shared" si="10"/>
        <v>8.6104272273723481</v>
      </c>
    </row>
    <row r="45" spans="1:26" ht="15" thickBot="1" x14ac:dyDescent="0.35">
      <c r="A45" s="5" t="s">
        <v>13</v>
      </c>
      <c r="B45" s="13" t="s">
        <v>109</v>
      </c>
      <c r="C45" s="6">
        <v>9</v>
      </c>
      <c r="D45" s="6">
        <v>2</v>
      </c>
      <c r="E45" s="6">
        <v>5</v>
      </c>
      <c r="F45" s="6">
        <v>77</v>
      </c>
      <c r="G45" s="6">
        <f t="shared" si="1"/>
        <v>404</v>
      </c>
      <c r="H45" s="6">
        <v>175</v>
      </c>
      <c r="I45" s="6">
        <v>229</v>
      </c>
      <c r="J45" s="6">
        <v>497</v>
      </c>
      <c r="K45" s="6">
        <v>302428</v>
      </c>
      <c r="L45" s="6">
        <v>629165</v>
      </c>
      <c r="M45" s="6">
        <v>1136677</v>
      </c>
      <c r="N45" s="6">
        <v>2674281</v>
      </c>
      <c r="O45" s="6">
        <f t="shared" si="2"/>
        <v>1250183</v>
      </c>
      <c r="P45" s="6">
        <v>910846</v>
      </c>
      <c r="Q45" s="6">
        <v>339337</v>
      </c>
      <c r="R45" s="6">
        <v>5992734</v>
      </c>
      <c r="S45">
        <f t="shared" si="3"/>
        <v>2.97591492851191</v>
      </c>
      <c r="T45">
        <f t="shared" si="4"/>
        <v>0.31788163677254777</v>
      </c>
      <c r="U45">
        <f t="shared" si="5"/>
        <v>0.43987869904995003</v>
      </c>
      <c r="V45">
        <f t="shared" si="6"/>
        <v>2.879278579924847</v>
      </c>
      <c r="W45">
        <f t="shared" si="7"/>
        <v>32.315269044611867</v>
      </c>
      <c r="X45">
        <f t="shared" si="8"/>
        <v>19.212907560663382</v>
      </c>
      <c r="Y45">
        <f t="shared" si="9"/>
        <v>67.484536021712927</v>
      </c>
      <c r="Z45">
        <f t="shared" si="10"/>
        <v>8.2933766124109631</v>
      </c>
    </row>
    <row r="46" spans="1:26" ht="15" thickBot="1" x14ac:dyDescent="0.35">
      <c r="A46" s="5" t="s">
        <v>13</v>
      </c>
      <c r="B46" s="13" t="s">
        <v>110</v>
      </c>
      <c r="C46" s="6">
        <v>23</v>
      </c>
      <c r="D46" s="6">
        <v>2</v>
      </c>
      <c r="E46" s="6">
        <v>7</v>
      </c>
      <c r="F46" s="6">
        <v>89</v>
      </c>
      <c r="G46" s="6">
        <f t="shared" si="1"/>
        <v>394</v>
      </c>
      <c r="H46" s="6">
        <v>193</v>
      </c>
      <c r="I46" s="6">
        <v>201</v>
      </c>
      <c r="J46" s="6">
        <v>515</v>
      </c>
      <c r="K46" s="6">
        <v>302428</v>
      </c>
      <c r="L46" s="6">
        <v>629165</v>
      </c>
      <c r="M46" s="6">
        <v>1136677</v>
      </c>
      <c r="N46" s="6">
        <v>2674281</v>
      </c>
      <c r="O46" s="6">
        <f t="shared" si="2"/>
        <v>1250183</v>
      </c>
      <c r="P46" s="6">
        <v>910846</v>
      </c>
      <c r="Q46" s="6">
        <v>339337</v>
      </c>
      <c r="R46" s="6">
        <v>5992734</v>
      </c>
      <c r="S46">
        <f t="shared" si="3"/>
        <v>7.6051159284193268</v>
      </c>
      <c r="T46">
        <f t="shared" si="4"/>
        <v>0.31788163677254777</v>
      </c>
      <c r="U46">
        <f t="shared" si="5"/>
        <v>0.61583017866992995</v>
      </c>
      <c r="V46">
        <f t="shared" si="6"/>
        <v>3.3279973196533943</v>
      </c>
      <c r="W46">
        <f t="shared" si="7"/>
        <v>31.515386147468011</v>
      </c>
      <c r="X46">
        <f t="shared" si="8"/>
        <v>21.189092338331616</v>
      </c>
      <c r="Y46">
        <f t="shared" si="9"/>
        <v>59.233151704647589</v>
      </c>
      <c r="Z46">
        <f t="shared" si="10"/>
        <v>8.5937403529006957</v>
      </c>
    </row>
    <row r="47" spans="1:26" ht="15" thickBot="1" x14ac:dyDescent="0.35">
      <c r="A47" s="5" t="s">
        <v>13</v>
      </c>
      <c r="B47" s="13" t="s">
        <v>111</v>
      </c>
      <c r="C47" s="6">
        <v>34</v>
      </c>
      <c r="D47" s="6">
        <v>1</v>
      </c>
      <c r="E47" s="6">
        <v>11</v>
      </c>
      <c r="F47" s="6">
        <v>105</v>
      </c>
      <c r="G47" s="6">
        <f t="shared" si="1"/>
        <v>433</v>
      </c>
      <c r="H47" s="6">
        <v>192</v>
      </c>
      <c r="I47" s="6">
        <v>241</v>
      </c>
      <c r="J47" s="6">
        <v>584</v>
      </c>
      <c r="K47" s="6">
        <v>302428</v>
      </c>
      <c r="L47" s="6">
        <v>629165</v>
      </c>
      <c r="M47" s="6">
        <v>1136677</v>
      </c>
      <c r="N47" s="6">
        <v>2674281</v>
      </c>
      <c r="O47" s="6">
        <f t="shared" si="2"/>
        <v>1250183</v>
      </c>
      <c r="P47" s="6">
        <v>910846</v>
      </c>
      <c r="Q47" s="6">
        <v>339337</v>
      </c>
      <c r="R47" s="6">
        <v>5992734</v>
      </c>
      <c r="S47">
        <f t="shared" si="3"/>
        <v>11.242345285489439</v>
      </c>
      <c r="T47">
        <f t="shared" si="4"/>
        <v>0.15894081838627389</v>
      </c>
      <c r="U47">
        <f t="shared" si="5"/>
        <v>0.96773313790989002</v>
      </c>
      <c r="V47">
        <f t="shared" si="6"/>
        <v>3.9262889726247914</v>
      </c>
      <c r="W47">
        <f t="shared" si="7"/>
        <v>34.63492944632906</v>
      </c>
      <c r="X47">
        <f t="shared" si="8"/>
        <v>21.079304295127827</v>
      </c>
      <c r="Y47">
        <f t="shared" si="9"/>
        <v>71.020843586169491</v>
      </c>
      <c r="Z47">
        <f t="shared" si="10"/>
        <v>9.7451346914446724</v>
      </c>
    </row>
    <row r="48" spans="1:26" ht="15" thickBot="1" x14ac:dyDescent="0.35">
      <c r="A48" s="5" t="s">
        <v>13</v>
      </c>
      <c r="B48" s="13" t="s">
        <v>112</v>
      </c>
      <c r="C48" s="6">
        <v>25</v>
      </c>
      <c r="D48" s="6">
        <v>1</v>
      </c>
      <c r="E48" s="6">
        <v>7</v>
      </c>
      <c r="F48" s="6">
        <v>98</v>
      </c>
      <c r="G48" s="6">
        <f t="shared" si="1"/>
        <v>436</v>
      </c>
      <c r="H48" s="6">
        <v>216</v>
      </c>
      <c r="I48" s="6">
        <v>220</v>
      </c>
      <c r="J48" s="6">
        <v>567</v>
      </c>
      <c r="K48" s="6">
        <v>302428</v>
      </c>
      <c r="L48" s="6">
        <v>629165</v>
      </c>
      <c r="M48" s="6">
        <v>1136677</v>
      </c>
      <c r="N48" s="6">
        <v>2674281</v>
      </c>
      <c r="O48" s="6">
        <f t="shared" si="2"/>
        <v>1250183</v>
      </c>
      <c r="P48" s="6">
        <v>910846</v>
      </c>
      <c r="Q48" s="6">
        <v>339337</v>
      </c>
      <c r="R48" s="6">
        <v>5992734</v>
      </c>
      <c r="S48">
        <f t="shared" si="3"/>
        <v>8.2664303569775281</v>
      </c>
      <c r="T48">
        <f t="shared" si="4"/>
        <v>0.15894081838627389</v>
      </c>
      <c r="U48">
        <f t="shared" si="5"/>
        <v>0.61583017866992995</v>
      </c>
      <c r="V48">
        <f t="shared" si="6"/>
        <v>3.6645363744498054</v>
      </c>
      <c r="W48">
        <f t="shared" si="7"/>
        <v>34.874894315472211</v>
      </c>
      <c r="X48">
        <f t="shared" si="8"/>
        <v>23.714217332018805</v>
      </c>
      <c r="Y48">
        <f t="shared" si="9"/>
        <v>64.832305348370497</v>
      </c>
      <c r="Z48">
        <f t="shared" si="10"/>
        <v>9.4614578254265922</v>
      </c>
    </row>
    <row r="49" spans="1:26" ht="15" thickBot="1" x14ac:dyDescent="0.35">
      <c r="A49" s="5" t="s">
        <v>13</v>
      </c>
      <c r="B49" s="13" t="s">
        <v>113</v>
      </c>
      <c r="C49" s="6">
        <v>40</v>
      </c>
      <c r="D49" s="6">
        <v>8</v>
      </c>
      <c r="E49" s="6">
        <v>9</v>
      </c>
      <c r="F49" s="6">
        <v>114</v>
      </c>
      <c r="G49" s="6">
        <f t="shared" si="1"/>
        <v>481</v>
      </c>
      <c r="H49" s="6">
        <v>236</v>
      </c>
      <c r="I49" s="6">
        <v>245</v>
      </c>
      <c r="J49" s="6">
        <v>652</v>
      </c>
      <c r="K49" s="6">
        <v>302428</v>
      </c>
      <c r="L49" s="6">
        <v>629165</v>
      </c>
      <c r="M49" s="6">
        <v>1136677</v>
      </c>
      <c r="N49" s="6">
        <v>2674281</v>
      </c>
      <c r="O49" s="6">
        <f t="shared" si="2"/>
        <v>1250183</v>
      </c>
      <c r="P49" s="6">
        <v>910846</v>
      </c>
      <c r="Q49" s="6">
        <v>339337</v>
      </c>
      <c r="R49" s="6">
        <v>5992734</v>
      </c>
      <c r="S49">
        <f t="shared" si="3"/>
        <v>13.226288571164046</v>
      </c>
      <c r="T49">
        <f t="shared" si="4"/>
        <v>1.2715265470901911</v>
      </c>
      <c r="U49">
        <f t="shared" si="5"/>
        <v>0.79178165828990998</v>
      </c>
      <c r="V49">
        <f t="shared" si="6"/>
        <v>4.262828027421202</v>
      </c>
      <c r="W49">
        <f t="shared" si="7"/>
        <v>38.474367352619574</v>
      </c>
      <c r="X49">
        <f t="shared" si="8"/>
        <v>25.909978196094617</v>
      </c>
      <c r="Y49">
        <f t="shared" si="9"/>
        <v>72.199612774321693</v>
      </c>
      <c r="Z49">
        <f t="shared" si="10"/>
        <v>10.879842155516997</v>
      </c>
    </row>
    <row r="50" spans="1:26" ht="15" thickBot="1" x14ac:dyDescent="0.35">
      <c r="A50" s="5" t="s">
        <v>13</v>
      </c>
      <c r="B50" s="13" t="s">
        <v>114</v>
      </c>
      <c r="C50" s="6">
        <v>30</v>
      </c>
      <c r="D50" s="6">
        <v>8</v>
      </c>
      <c r="E50" s="6">
        <v>10</v>
      </c>
      <c r="F50" s="6">
        <v>103</v>
      </c>
      <c r="G50" s="6">
        <f t="shared" si="1"/>
        <v>469</v>
      </c>
      <c r="H50" s="6">
        <v>215</v>
      </c>
      <c r="I50" s="6">
        <v>254</v>
      </c>
      <c r="J50" s="6">
        <v>620</v>
      </c>
      <c r="K50" s="6">
        <v>302428</v>
      </c>
      <c r="L50" s="6">
        <v>629165</v>
      </c>
      <c r="M50" s="6">
        <v>1136677</v>
      </c>
      <c r="N50" s="6">
        <v>2674281</v>
      </c>
      <c r="O50" s="6">
        <f t="shared" si="2"/>
        <v>1250183</v>
      </c>
      <c r="P50" s="6">
        <v>910846</v>
      </c>
      <c r="Q50" s="6">
        <v>339337</v>
      </c>
      <c r="R50" s="6">
        <v>5992734</v>
      </c>
      <c r="S50">
        <f t="shared" si="3"/>
        <v>9.9197164283730341</v>
      </c>
      <c r="T50">
        <f t="shared" si="4"/>
        <v>1.2715265470901911</v>
      </c>
      <c r="U50">
        <f t="shared" si="5"/>
        <v>0.87975739809990006</v>
      </c>
      <c r="V50">
        <f t="shared" si="6"/>
        <v>3.8515025160033671</v>
      </c>
      <c r="W50">
        <f t="shared" si="7"/>
        <v>37.514507876046949</v>
      </c>
      <c r="X50">
        <f t="shared" si="8"/>
        <v>23.604429288815012</v>
      </c>
      <c r="Y50">
        <f t="shared" si="9"/>
        <v>74.851843447664123</v>
      </c>
      <c r="Z50">
        <f t="shared" si="10"/>
        <v>10.345862172424139</v>
      </c>
    </row>
    <row r="51" spans="1:26" ht="15" thickBot="1" x14ac:dyDescent="0.35">
      <c r="A51" s="5" t="s">
        <v>13</v>
      </c>
      <c r="B51" s="13" t="s">
        <v>115</v>
      </c>
      <c r="C51" s="6">
        <v>31</v>
      </c>
      <c r="D51" s="6">
        <v>3</v>
      </c>
      <c r="E51" s="6">
        <v>8</v>
      </c>
      <c r="F51" s="6">
        <v>117</v>
      </c>
      <c r="G51" s="6">
        <f t="shared" si="1"/>
        <v>458</v>
      </c>
      <c r="H51" s="6">
        <v>229</v>
      </c>
      <c r="I51" s="6">
        <v>229</v>
      </c>
      <c r="J51" s="6">
        <v>617</v>
      </c>
      <c r="K51" s="6">
        <v>302428</v>
      </c>
      <c r="L51" s="6">
        <v>629165</v>
      </c>
      <c r="M51" s="6">
        <v>1136677</v>
      </c>
      <c r="N51" s="6">
        <v>2674281</v>
      </c>
      <c r="O51" s="6">
        <f t="shared" si="2"/>
        <v>1250183</v>
      </c>
      <c r="P51" s="6">
        <v>910846</v>
      </c>
      <c r="Q51" s="6">
        <v>339337</v>
      </c>
      <c r="R51" s="6">
        <v>5992734</v>
      </c>
      <c r="S51">
        <f t="shared" si="3"/>
        <v>10.250373642652136</v>
      </c>
      <c r="T51">
        <f t="shared" si="4"/>
        <v>0.4768224551588216</v>
      </c>
      <c r="U51">
        <f t="shared" si="5"/>
        <v>0.70380591847992002</v>
      </c>
      <c r="V51">
        <f t="shared" si="6"/>
        <v>4.3750077123533391</v>
      </c>
      <c r="W51">
        <f t="shared" si="7"/>
        <v>36.634636689188703</v>
      </c>
      <c r="X51">
        <f t="shared" si="8"/>
        <v>25.141461893668087</v>
      </c>
      <c r="Y51">
        <f t="shared" si="9"/>
        <v>67.484536021712927</v>
      </c>
      <c r="Z51">
        <f t="shared" si="10"/>
        <v>10.295801549009184</v>
      </c>
    </row>
    <row r="52" spans="1:26" ht="15" thickBot="1" x14ac:dyDescent="0.35">
      <c r="A52" s="5" t="s">
        <v>13</v>
      </c>
      <c r="B52" s="13" t="s">
        <v>116</v>
      </c>
      <c r="C52" s="6">
        <v>27</v>
      </c>
      <c r="D52" s="6">
        <v>3</v>
      </c>
      <c r="E52" s="6">
        <v>6</v>
      </c>
      <c r="F52" s="6">
        <v>98</v>
      </c>
      <c r="G52" s="6">
        <f t="shared" si="1"/>
        <v>489</v>
      </c>
      <c r="H52" s="6">
        <v>217</v>
      </c>
      <c r="I52" s="6">
        <v>272</v>
      </c>
      <c r="J52" s="6">
        <v>623</v>
      </c>
      <c r="K52" s="6">
        <v>302428</v>
      </c>
      <c r="L52" s="6">
        <v>629165</v>
      </c>
      <c r="M52" s="6">
        <v>1136677</v>
      </c>
      <c r="N52" s="6">
        <v>2674281</v>
      </c>
      <c r="O52" s="6">
        <f t="shared" si="2"/>
        <v>1250183</v>
      </c>
      <c r="P52" s="6">
        <v>910846</v>
      </c>
      <c r="Q52" s="6">
        <v>339337</v>
      </c>
      <c r="R52" s="6">
        <v>5992734</v>
      </c>
      <c r="S52">
        <f t="shared" si="3"/>
        <v>8.9277447855357313</v>
      </c>
      <c r="T52">
        <f t="shared" si="4"/>
        <v>0.4768224551588216</v>
      </c>
      <c r="U52">
        <f t="shared" si="5"/>
        <v>0.52785443885993999</v>
      </c>
      <c r="V52">
        <f t="shared" si="6"/>
        <v>3.6645363744498054</v>
      </c>
      <c r="W52">
        <f t="shared" si="7"/>
        <v>39.114273670334661</v>
      </c>
      <c r="X52">
        <f t="shared" si="8"/>
        <v>23.824005375222594</v>
      </c>
      <c r="Y52">
        <f t="shared" si="9"/>
        <v>80.156304794348983</v>
      </c>
      <c r="Z52">
        <f t="shared" si="10"/>
        <v>10.395922795839095</v>
      </c>
    </row>
    <row r="53" spans="1:26" ht="15" thickBot="1" x14ac:dyDescent="0.35">
      <c r="A53" s="5" t="s">
        <v>13</v>
      </c>
      <c r="B53" s="13" t="s">
        <v>117</v>
      </c>
      <c r="C53" s="6">
        <v>30</v>
      </c>
      <c r="D53" s="6">
        <v>4</v>
      </c>
      <c r="E53" s="6">
        <v>9</v>
      </c>
      <c r="F53" s="6">
        <v>120</v>
      </c>
      <c r="G53" s="6">
        <f t="shared" si="1"/>
        <v>455</v>
      </c>
      <c r="H53" s="6">
        <v>204</v>
      </c>
      <c r="I53" s="6">
        <v>251</v>
      </c>
      <c r="J53" s="6">
        <v>618</v>
      </c>
      <c r="K53" s="6">
        <v>302428</v>
      </c>
      <c r="L53" s="6">
        <v>629165</v>
      </c>
      <c r="M53" s="6">
        <v>1136677</v>
      </c>
      <c r="N53" s="6">
        <v>2674281</v>
      </c>
      <c r="O53" s="6">
        <f t="shared" si="2"/>
        <v>1250183</v>
      </c>
      <c r="P53" s="6">
        <v>910846</v>
      </c>
      <c r="Q53" s="6">
        <v>339337</v>
      </c>
      <c r="R53" s="6">
        <v>5992734</v>
      </c>
      <c r="S53">
        <f t="shared" si="3"/>
        <v>9.9197164283730341</v>
      </c>
      <c r="T53">
        <f t="shared" si="4"/>
        <v>0.63576327354509554</v>
      </c>
      <c r="U53">
        <f t="shared" si="5"/>
        <v>0.79178165828990998</v>
      </c>
      <c r="V53">
        <f t="shared" si="6"/>
        <v>4.4871873972854761</v>
      </c>
      <c r="W53">
        <f t="shared" si="7"/>
        <v>36.394671820045545</v>
      </c>
      <c r="X53">
        <f t="shared" si="8"/>
        <v>22.396760813573316</v>
      </c>
      <c r="Y53">
        <f t="shared" si="9"/>
        <v>73.967766556549975</v>
      </c>
      <c r="Z53">
        <f t="shared" si="10"/>
        <v>10.312488423480834</v>
      </c>
    </row>
    <row r="54" spans="1:26" ht="15" thickBot="1" x14ac:dyDescent="0.35">
      <c r="A54" s="5" t="s">
        <v>13</v>
      </c>
      <c r="B54" s="13" t="s">
        <v>118</v>
      </c>
      <c r="C54" s="6">
        <v>24</v>
      </c>
      <c r="D54" s="6">
        <v>4</v>
      </c>
      <c r="E54" s="6">
        <v>13</v>
      </c>
      <c r="F54" s="6">
        <v>107</v>
      </c>
      <c r="G54" s="6">
        <f t="shared" si="1"/>
        <v>480</v>
      </c>
      <c r="H54" s="6">
        <v>228</v>
      </c>
      <c r="I54" s="6">
        <v>252</v>
      </c>
      <c r="J54" s="6">
        <v>628</v>
      </c>
      <c r="K54" s="6">
        <v>302428</v>
      </c>
      <c r="L54" s="6">
        <v>629165</v>
      </c>
      <c r="M54" s="6">
        <v>1136677</v>
      </c>
      <c r="N54" s="6">
        <v>2674281</v>
      </c>
      <c r="O54" s="6">
        <f t="shared" si="2"/>
        <v>1250183</v>
      </c>
      <c r="P54" s="6">
        <v>910846</v>
      </c>
      <c r="Q54" s="6">
        <v>339337</v>
      </c>
      <c r="R54" s="6">
        <v>5992734</v>
      </c>
      <c r="S54">
        <f t="shared" si="3"/>
        <v>7.9357731426984284</v>
      </c>
      <c r="T54">
        <f t="shared" si="4"/>
        <v>0.63576327354509554</v>
      </c>
      <c r="U54">
        <f t="shared" si="5"/>
        <v>1.1436846175298698</v>
      </c>
      <c r="V54">
        <f t="shared" si="6"/>
        <v>4.0010754292462165</v>
      </c>
      <c r="W54">
        <f t="shared" si="7"/>
        <v>38.394379062905188</v>
      </c>
      <c r="X54">
        <f t="shared" si="8"/>
        <v>25.031673850464294</v>
      </c>
      <c r="Y54">
        <f t="shared" si="9"/>
        <v>74.262458853588029</v>
      </c>
      <c r="Z54">
        <f t="shared" si="10"/>
        <v>10.479357168197353</v>
      </c>
    </row>
    <row r="55" spans="1:26" ht="15" thickBot="1" x14ac:dyDescent="0.35">
      <c r="A55" s="5" t="s">
        <v>13</v>
      </c>
      <c r="B55" s="13" t="s">
        <v>119</v>
      </c>
      <c r="C55" s="6">
        <v>27</v>
      </c>
      <c r="D55" s="6">
        <v>3</v>
      </c>
      <c r="E55" s="6">
        <v>15</v>
      </c>
      <c r="F55" s="6">
        <v>114</v>
      </c>
      <c r="G55" s="6">
        <f t="shared" si="1"/>
        <v>491</v>
      </c>
      <c r="H55" s="6">
        <v>220</v>
      </c>
      <c r="I55" s="6">
        <v>271</v>
      </c>
      <c r="J55" s="6">
        <v>650</v>
      </c>
      <c r="K55" s="6">
        <v>302428</v>
      </c>
      <c r="L55" s="6">
        <v>629165</v>
      </c>
      <c r="M55" s="6">
        <v>1136677</v>
      </c>
      <c r="N55" s="6">
        <v>2674281</v>
      </c>
      <c r="O55" s="6">
        <f t="shared" si="2"/>
        <v>1250183</v>
      </c>
      <c r="P55" s="6">
        <v>910846</v>
      </c>
      <c r="Q55" s="6">
        <v>339337</v>
      </c>
      <c r="R55" s="6">
        <v>5992734</v>
      </c>
      <c r="S55">
        <f t="shared" si="3"/>
        <v>8.9277447855357313</v>
      </c>
      <c r="T55">
        <f t="shared" si="4"/>
        <v>0.4768224551588216</v>
      </c>
      <c r="U55">
        <f t="shared" si="5"/>
        <v>1.31963609714985</v>
      </c>
      <c r="V55">
        <f t="shared" si="6"/>
        <v>4.262828027421202</v>
      </c>
      <c r="W55">
        <f t="shared" si="7"/>
        <v>39.274250249763433</v>
      </c>
      <c r="X55">
        <f t="shared" si="8"/>
        <v>24.153369504833968</v>
      </c>
      <c r="Y55">
        <f t="shared" si="9"/>
        <v>79.861612497310944</v>
      </c>
      <c r="Z55">
        <f t="shared" si="10"/>
        <v>10.846468406573694</v>
      </c>
    </row>
    <row r="56" spans="1:26" ht="15" thickBot="1" x14ac:dyDescent="0.35">
      <c r="A56" s="5" t="s">
        <v>13</v>
      </c>
      <c r="B56" s="13" t="s">
        <v>120</v>
      </c>
      <c r="C56" s="6">
        <v>22</v>
      </c>
      <c r="D56" s="6">
        <v>7</v>
      </c>
      <c r="E56" s="6">
        <v>7</v>
      </c>
      <c r="F56" s="6">
        <v>106</v>
      </c>
      <c r="G56" s="6">
        <f t="shared" si="1"/>
        <v>510</v>
      </c>
      <c r="H56" s="6">
        <v>223</v>
      </c>
      <c r="I56" s="6">
        <v>287</v>
      </c>
      <c r="J56" s="6">
        <v>652</v>
      </c>
      <c r="K56" s="6">
        <v>302428</v>
      </c>
      <c r="L56" s="6">
        <v>629165</v>
      </c>
      <c r="M56" s="6">
        <v>1136677</v>
      </c>
      <c r="N56" s="6">
        <v>2674281</v>
      </c>
      <c r="O56" s="6">
        <f t="shared" si="2"/>
        <v>1250183</v>
      </c>
      <c r="P56" s="6">
        <v>910846</v>
      </c>
      <c r="Q56" s="6">
        <v>339337</v>
      </c>
      <c r="R56" s="6">
        <v>5992734</v>
      </c>
      <c r="S56">
        <f t="shared" si="3"/>
        <v>7.2744587141402253</v>
      </c>
      <c r="T56">
        <f t="shared" si="4"/>
        <v>1.1125857287039171</v>
      </c>
      <c r="U56">
        <f t="shared" si="5"/>
        <v>0.61583017866992995</v>
      </c>
      <c r="V56">
        <f t="shared" si="6"/>
        <v>3.9636822009355037</v>
      </c>
      <c r="W56">
        <f t="shared" si="7"/>
        <v>40.794027754336767</v>
      </c>
      <c r="X56">
        <f t="shared" si="8"/>
        <v>24.482733634445342</v>
      </c>
      <c r="Y56">
        <f t="shared" si="9"/>
        <v>84.576689249919696</v>
      </c>
      <c r="Z56">
        <f t="shared" si="10"/>
        <v>10.879842155516997</v>
      </c>
    </row>
    <row r="57" spans="1:26" ht="15" thickBot="1" x14ac:dyDescent="0.35">
      <c r="A57" s="5" t="s">
        <v>13</v>
      </c>
      <c r="B57" s="13" t="s">
        <v>121</v>
      </c>
      <c r="C57" s="6">
        <v>28</v>
      </c>
      <c r="D57" s="6">
        <v>7</v>
      </c>
      <c r="E57" s="6">
        <v>6</v>
      </c>
      <c r="F57" s="6">
        <v>114</v>
      </c>
      <c r="G57" s="6">
        <f t="shared" si="1"/>
        <v>502</v>
      </c>
      <c r="H57" s="6">
        <v>241</v>
      </c>
      <c r="I57" s="6">
        <v>261</v>
      </c>
      <c r="J57" s="6">
        <v>657</v>
      </c>
      <c r="K57" s="6">
        <v>302428</v>
      </c>
      <c r="L57" s="6">
        <v>629165</v>
      </c>
      <c r="M57" s="6">
        <v>1136677</v>
      </c>
      <c r="N57" s="6">
        <v>2674281</v>
      </c>
      <c r="O57" s="6">
        <f t="shared" si="2"/>
        <v>1250183</v>
      </c>
      <c r="P57" s="6">
        <v>910846</v>
      </c>
      <c r="Q57" s="6">
        <v>339337</v>
      </c>
      <c r="R57" s="6">
        <v>5992734</v>
      </c>
      <c r="S57">
        <f t="shared" si="3"/>
        <v>9.2584019998148328</v>
      </c>
      <c r="T57">
        <f t="shared" si="4"/>
        <v>1.1125857287039171</v>
      </c>
      <c r="U57">
        <f t="shared" si="5"/>
        <v>0.52785443885993999</v>
      </c>
      <c r="V57">
        <f t="shared" si="6"/>
        <v>4.262828027421202</v>
      </c>
      <c r="W57">
        <f t="shared" si="7"/>
        <v>40.154121436621679</v>
      </c>
      <c r="X57">
        <f t="shared" si="8"/>
        <v>26.458918412113572</v>
      </c>
      <c r="Y57">
        <f t="shared" si="9"/>
        <v>76.914689526930445</v>
      </c>
      <c r="Z57">
        <f t="shared" si="10"/>
        <v>10.963276527875257</v>
      </c>
    </row>
    <row r="58" spans="1:26" ht="15" thickBot="1" x14ac:dyDescent="0.35">
      <c r="A58" s="5" t="s">
        <v>13</v>
      </c>
      <c r="B58" s="13" t="s">
        <v>122</v>
      </c>
      <c r="C58" s="6">
        <v>37</v>
      </c>
      <c r="D58" s="6">
        <v>4</v>
      </c>
      <c r="E58" s="6">
        <v>8</v>
      </c>
      <c r="F58" s="6">
        <v>119</v>
      </c>
      <c r="G58" s="6">
        <f t="shared" si="1"/>
        <v>476</v>
      </c>
      <c r="H58" s="6">
        <v>192</v>
      </c>
      <c r="I58" s="6">
        <v>284</v>
      </c>
      <c r="J58" s="6">
        <v>644</v>
      </c>
      <c r="K58" s="6">
        <v>302428</v>
      </c>
      <c r="L58" s="6">
        <v>629165</v>
      </c>
      <c r="M58" s="6">
        <v>1136677</v>
      </c>
      <c r="N58" s="6">
        <v>2674281</v>
      </c>
      <c r="O58" s="6">
        <f t="shared" si="2"/>
        <v>1250183</v>
      </c>
      <c r="P58" s="6">
        <v>910846</v>
      </c>
      <c r="Q58" s="6">
        <v>339337</v>
      </c>
      <c r="R58" s="6">
        <v>5992734</v>
      </c>
      <c r="S58">
        <f t="shared" si="3"/>
        <v>12.234316928326743</v>
      </c>
      <c r="T58">
        <f t="shared" si="4"/>
        <v>0.63576327354509554</v>
      </c>
      <c r="U58">
        <f t="shared" si="5"/>
        <v>0.70380591847992002</v>
      </c>
      <c r="V58">
        <f t="shared" si="6"/>
        <v>4.4497941689747638</v>
      </c>
      <c r="W58">
        <f t="shared" si="7"/>
        <v>38.074425904047651</v>
      </c>
      <c r="X58">
        <f t="shared" si="8"/>
        <v>21.079304295127827</v>
      </c>
      <c r="Y58">
        <f t="shared" si="9"/>
        <v>83.692612358805562</v>
      </c>
      <c r="Z58">
        <f t="shared" si="10"/>
        <v>10.746347159743783</v>
      </c>
    </row>
    <row r="59" spans="1:26" ht="15" thickBot="1" x14ac:dyDescent="0.35">
      <c r="A59" s="5" t="s">
        <v>13</v>
      </c>
      <c r="B59" s="13" t="s">
        <v>123</v>
      </c>
      <c r="C59" s="6">
        <v>30</v>
      </c>
      <c r="D59" s="6">
        <v>5</v>
      </c>
      <c r="E59" s="6">
        <v>13</v>
      </c>
      <c r="F59" s="6">
        <v>121</v>
      </c>
      <c r="G59" s="6">
        <f t="shared" si="1"/>
        <v>477</v>
      </c>
      <c r="H59" s="6">
        <v>196</v>
      </c>
      <c r="I59" s="6">
        <v>281</v>
      </c>
      <c r="J59" s="6">
        <v>646</v>
      </c>
      <c r="K59" s="6">
        <v>302428</v>
      </c>
      <c r="L59" s="6">
        <v>629165</v>
      </c>
      <c r="M59" s="6">
        <v>1136677</v>
      </c>
      <c r="N59" s="6">
        <v>2674281</v>
      </c>
      <c r="O59" s="6">
        <f t="shared" si="2"/>
        <v>1250183</v>
      </c>
      <c r="P59" s="6">
        <v>910846</v>
      </c>
      <c r="Q59" s="6">
        <v>339337</v>
      </c>
      <c r="R59" s="6">
        <v>5992734</v>
      </c>
      <c r="S59">
        <f t="shared" si="3"/>
        <v>9.9197164283730341</v>
      </c>
      <c r="T59">
        <f t="shared" si="4"/>
        <v>0.79470409193136937</v>
      </c>
      <c r="U59">
        <f t="shared" si="5"/>
        <v>1.1436846175298698</v>
      </c>
      <c r="V59">
        <f t="shared" si="6"/>
        <v>4.5245806255961885</v>
      </c>
      <c r="W59">
        <f t="shared" si="7"/>
        <v>38.154414193762037</v>
      </c>
      <c r="X59">
        <f t="shared" si="8"/>
        <v>21.51845646794299</v>
      </c>
      <c r="Y59">
        <f t="shared" si="9"/>
        <v>82.808535467691414</v>
      </c>
      <c r="Z59">
        <f t="shared" si="10"/>
        <v>10.779720908687086</v>
      </c>
    </row>
    <row r="60" spans="1:26" ht="15" thickBot="1" x14ac:dyDescent="0.35">
      <c r="A60" s="5" t="s">
        <v>13</v>
      </c>
      <c r="B60" s="13" t="s">
        <v>124</v>
      </c>
      <c r="C60" s="6">
        <v>41</v>
      </c>
      <c r="D60" s="6">
        <v>7</v>
      </c>
      <c r="E60" s="6">
        <v>9</v>
      </c>
      <c r="F60" s="6">
        <v>108</v>
      </c>
      <c r="G60" s="6">
        <f t="shared" si="1"/>
        <v>478</v>
      </c>
      <c r="H60" s="6">
        <v>208</v>
      </c>
      <c r="I60" s="6">
        <v>270</v>
      </c>
      <c r="J60" s="6">
        <v>643</v>
      </c>
      <c r="K60" s="6">
        <v>302428</v>
      </c>
      <c r="L60" s="6">
        <v>629165</v>
      </c>
      <c r="M60" s="6">
        <v>1136677</v>
      </c>
      <c r="N60" s="6">
        <v>2674281</v>
      </c>
      <c r="O60" s="6">
        <f t="shared" si="2"/>
        <v>1250183</v>
      </c>
      <c r="P60" s="6">
        <v>910846</v>
      </c>
      <c r="Q60" s="6">
        <v>339337</v>
      </c>
      <c r="R60" s="6">
        <v>5992734</v>
      </c>
      <c r="S60">
        <f t="shared" si="3"/>
        <v>13.556945785443146</v>
      </c>
      <c r="T60">
        <f t="shared" si="4"/>
        <v>1.1125857287039171</v>
      </c>
      <c r="U60">
        <f t="shared" si="5"/>
        <v>0.79178165828990998</v>
      </c>
      <c r="V60">
        <f t="shared" si="6"/>
        <v>4.038468657556928</v>
      </c>
      <c r="W60">
        <f t="shared" si="7"/>
        <v>38.234402483476423</v>
      </c>
      <c r="X60">
        <f t="shared" si="8"/>
        <v>22.835912986388479</v>
      </c>
      <c r="Y60">
        <f t="shared" si="9"/>
        <v>79.566920200272875</v>
      </c>
      <c r="Z60">
        <f t="shared" si="10"/>
        <v>10.729660285272132</v>
      </c>
    </row>
    <row r="61" spans="1:26" ht="15" thickBot="1" x14ac:dyDescent="0.35">
      <c r="A61" s="5" t="s">
        <v>13</v>
      </c>
      <c r="B61" s="13" t="s">
        <v>125</v>
      </c>
      <c r="C61" s="6">
        <v>28</v>
      </c>
      <c r="D61" s="6">
        <v>7</v>
      </c>
      <c r="E61" s="6">
        <v>13</v>
      </c>
      <c r="F61" s="6">
        <v>100</v>
      </c>
      <c r="G61" s="6">
        <f t="shared" si="1"/>
        <v>489</v>
      </c>
      <c r="H61" s="6">
        <v>234</v>
      </c>
      <c r="I61" s="6">
        <v>255</v>
      </c>
      <c r="J61" s="6">
        <v>637</v>
      </c>
      <c r="K61" s="6">
        <v>302428</v>
      </c>
      <c r="L61" s="6">
        <v>629165</v>
      </c>
      <c r="M61" s="6">
        <v>1136677</v>
      </c>
      <c r="N61" s="6">
        <v>2674281</v>
      </c>
      <c r="O61" s="6">
        <f t="shared" si="2"/>
        <v>1250183</v>
      </c>
      <c r="P61" s="6">
        <v>910846</v>
      </c>
      <c r="Q61" s="6">
        <v>339337</v>
      </c>
      <c r="R61" s="6">
        <v>5992734</v>
      </c>
      <c r="S61">
        <f t="shared" si="3"/>
        <v>9.2584019998148328</v>
      </c>
      <c r="T61">
        <f t="shared" si="4"/>
        <v>1.1125857287039171</v>
      </c>
      <c r="U61">
        <f t="shared" si="5"/>
        <v>1.1436846175298698</v>
      </c>
      <c r="V61">
        <f t="shared" si="6"/>
        <v>3.7393228310712301</v>
      </c>
      <c r="W61">
        <f t="shared" si="7"/>
        <v>39.114273670334661</v>
      </c>
      <c r="X61">
        <f t="shared" si="8"/>
        <v>25.690402109687035</v>
      </c>
      <c r="Y61">
        <f t="shared" si="9"/>
        <v>75.146535744702177</v>
      </c>
      <c r="Z61">
        <f t="shared" si="10"/>
        <v>10.629539038442219</v>
      </c>
    </row>
    <row r="62" spans="1:26" ht="15" thickBot="1" x14ac:dyDescent="0.35">
      <c r="A62" s="5" t="s">
        <v>13</v>
      </c>
      <c r="B62" s="13" t="s">
        <v>126</v>
      </c>
      <c r="C62" s="6">
        <v>36</v>
      </c>
      <c r="D62" s="6">
        <v>11</v>
      </c>
      <c r="E62" s="6">
        <v>11</v>
      </c>
      <c r="F62" s="6">
        <v>134</v>
      </c>
      <c r="G62" s="6">
        <f t="shared" si="1"/>
        <v>558</v>
      </c>
      <c r="H62" s="6">
        <v>230</v>
      </c>
      <c r="I62" s="6">
        <v>328</v>
      </c>
      <c r="J62" s="6">
        <v>750</v>
      </c>
      <c r="K62" s="6">
        <v>302428</v>
      </c>
      <c r="L62" s="6">
        <v>629165</v>
      </c>
      <c r="M62" s="6">
        <v>1136677</v>
      </c>
      <c r="N62" s="6">
        <v>2674281</v>
      </c>
      <c r="O62" s="6">
        <f t="shared" si="2"/>
        <v>1250183</v>
      </c>
      <c r="P62" s="6">
        <v>910846</v>
      </c>
      <c r="Q62" s="6">
        <v>339337</v>
      </c>
      <c r="R62" s="6">
        <v>5992734</v>
      </c>
      <c r="S62">
        <f t="shared" si="3"/>
        <v>11.90365971404764</v>
      </c>
      <c r="T62">
        <f t="shared" si="4"/>
        <v>1.7483490022490127</v>
      </c>
      <c r="U62">
        <f t="shared" si="5"/>
        <v>0.96773313790989002</v>
      </c>
      <c r="V62">
        <f t="shared" si="6"/>
        <v>5.0106925936354481</v>
      </c>
      <c r="W62">
        <f t="shared" si="7"/>
        <v>44.63346566062728</v>
      </c>
      <c r="X62">
        <f t="shared" si="8"/>
        <v>25.251249936871879</v>
      </c>
      <c r="Y62">
        <f t="shared" si="9"/>
        <v>96.659073428479658</v>
      </c>
      <c r="Z62">
        <f t="shared" si="10"/>
        <v>12.515155853738879</v>
      </c>
    </row>
    <row r="63" spans="1:26" ht="15" thickBot="1" x14ac:dyDescent="0.35">
      <c r="A63" s="5" t="s">
        <v>13</v>
      </c>
      <c r="B63" s="13" t="s">
        <v>127</v>
      </c>
      <c r="C63" s="6">
        <v>42</v>
      </c>
      <c r="D63" s="6">
        <v>15</v>
      </c>
      <c r="E63" s="6">
        <v>10</v>
      </c>
      <c r="F63" s="6">
        <v>133</v>
      </c>
      <c r="G63" s="6">
        <f t="shared" si="1"/>
        <v>580</v>
      </c>
      <c r="H63" s="6">
        <v>268</v>
      </c>
      <c r="I63" s="6">
        <v>312</v>
      </c>
      <c r="J63" s="6">
        <v>780</v>
      </c>
      <c r="K63" s="6">
        <v>302428</v>
      </c>
      <c r="L63" s="6">
        <v>629165</v>
      </c>
      <c r="M63" s="6">
        <v>1136677</v>
      </c>
      <c r="N63" s="6">
        <v>2674281</v>
      </c>
      <c r="O63" s="6">
        <f t="shared" si="2"/>
        <v>1250183</v>
      </c>
      <c r="P63" s="6">
        <v>910846</v>
      </c>
      <c r="Q63" s="6">
        <v>339337</v>
      </c>
      <c r="R63" s="6">
        <v>5992734</v>
      </c>
      <c r="S63">
        <f t="shared" si="3"/>
        <v>13.887602999722247</v>
      </c>
      <c r="T63">
        <f t="shared" si="4"/>
        <v>2.384112275794108</v>
      </c>
      <c r="U63">
        <f t="shared" si="5"/>
        <v>0.87975739809990006</v>
      </c>
      <c r="V63">
        <f t="shared" si="6"/>
        <v>4.9732993653247357</v>
      </c>
      <c r="W63">
        <f t="shared" si="7"/>
        <v>46.393208034343772</v>
      </c>
      <c r="X63">
        <f t="shared" si="8"/>
        <v>29.423195578615925</v>
      </c>
      <c r="Y63">
        <f t="shared" si="9"/>
        <v>91.943996675870892</v>
      </c>
      <c r="Z63">
        <f t="shared" si="10"/>
        <v>13.015762087888433</v>
      </c>
    </row>
    <row r="64" spans="1:26" ht="15" thickBot="1" x14ac:dyDescent="0.35">
      <c r="A64" s="5" t="s">
        <v>13</v>
      </c>
      <c r="B64" s="13" t="s">
        <v>128</v>
      </c>
      <c r="C64" s="6">
        <v>59</v>
      </c>
      <c r="D64" s="6">
        <v>10</v>
      </c>
      <c r="E64" s="6">
        <v>20</v>
      </c>
      <c r="F64" s="6">
        <v>129</v>
      </c>
      <c r="G64" s="6">
        <f t="shared" si="1"/>
        <v>665</v>
      </c>
      <c r="H64" s="6">
        <v>305</v>
      </c>
      <c r="I64" s="6">
        <v>360</v>
      </c>
      <c r="J64" s="6">
        <v>883</v>
      </c>
      <c r="K64" s="6">
        <v>302428</v>
      </c>
      <c r="L64" s="6">
        <v>629165</v>
      </c>
      <c r="M64" s="6">
        <v>1136677</v>
      </c>
      <c r="N64" s="6">
        <v>2674281</v>
      </c>
      <c r="O64" s="6">
        <f t="shared" si="2"/>
        <v>1250183</v>
      </c>
      <c r="P64" s="6">
        <v>910846</v>
      </c>
      <c r="Q64" s="6">
        <v>339337</v>
      </c>
      <c r="R64" s="6">
        <v>5992734</v>
      </c>
      <c r="S64">
        <f t="shared" si="3"/>
        <v>19.508775642466968</v>
      </c>
      <c r="T64">
        <f t="shared" si="4"/>
        <v>1.5894081838627387</v>
      </c>
      <c r="U64">
        <f t="shared" si="5"/>
        <v>1.7595147961998001</v>
      </c>
      <c r="V64">
        <f t="shared" si="6"/>
        <v>4.8237264520818872</v>
      </c>
      <c r="W64">
        <f t="shared" si="7"/>
        <v>53.192212660066573</v>
      </c>
      <c r="X64">
        <f t="shared" si="8"/>
        <v>33.485353177156185</v>
      </c>
      <c r="Y64">
        <f t="shared" si="9"/>
        <v>106.08922693369719</v>
      </c>
      <c r="Z64">
        <f t="shared" si="10"/>
        <v>14.734510158468572</v>
      </c>
    </row>
    <row r="65" spans="1:26" ht="15" thickBot="1" x14ac:dyDescent="0.35">
      <c r="A65" s="5" t="s">
        <v>13</v>
      </c>
      <c r="B65" s="13" t="s">
        <v>129</v>
      </c>
      <c r="C65" s="6">
        <v>65</v>
      </c>
      <c r="D65" s="6">
        <v>4</v>
      </c>
      <c r="E65" s="6">
        <v>16</v>
      </c>
      <c r="F65" s="6">
        <v>147</v>
      </c>
      <c r="G65" s="6">
        <f t="shared" si="1"/>
        <v>666</v>
      </c>
      <c r="H65" s="6">
        <v>313</v>
      </c>
      <c r="I65" s="6">
        <v>353</v>
      </c>
      <c r="J65" s="6">
        <v>898</v>
      </c>
      <c r="K65" s="6">
        <v>302428</v>
      </c>
      <c r="L65" s="6">
        <v>629165</v>
      </c>
      <c r="M65" s="6">
        <v>1136677</v>
      </c>
      <c r="N65" s="6">
        <v>2674281</v>
      </c>
      <c r="O65" s="6">
        <f t="shared" si="2"/>
        <v>1250183</v>
      </c>
      <c r="P65" s="6">
        <v>910846</v>
      </c>
      <c r="Q65" s="6">
        <v>339337</v>
      </c>
      <c r="R65" s="6">
        <v>5992734</v>
      </c>
      <c r="S65">
        <f t="shared" si="3"/>
        <v>21.492718928141574</v>
      </c>
      <c r="T65">
        <f t="shared" si="4"/>
        <v>0.63576327354509554</v>
      </c>
      <c r="U65">
        <f t="shared" si="5"/>
        <v>1.40761183695984</v>
      </c>
      <c r="V65">
        <f t="shared" si="6"/>
        <v>5.4968045616747077</v>
      </c>
      <c r="W65">
        <f t="shared" si="7"/>
        <v>53.272200949780959</v>
      </c>
      <c r="X65">
        <f t="shared" si="8"/>
        <v>34.363657522786511</v>
      </c>
      <c r="Y65">
        <f t="shared" si="9"/>
        <v>104.02638085443084</v>
      </c>
      <c r="Z65">
        <f t="shared" si="10"/>
        <v>14.984813275543349</v>
      </c>
    </row>
    <row r="66" spans="1:26" ht="15" thickBot="1" x14ac:dyDescent="0.35">
      <c r="A66" s="5" t="s">
        <v>13</v>
      </c>
      <c r="B66" s="13" t="s">
        <v>130</v>
      </c>
      <c r="C66" s="6">
        <v>54</v>
      </c>
      <c r="D66" s="6">
        <v>7</v>
      </c>
      <c r="E66" s="6">
        <v>17</v>
      </c>
      <c r="F66" s="6">
        <v>134</v>
      </c>
      <c r="G66" s="6">
        <f t="shared" si="1"/>
        <v>652</v>
      </c>
      <c r="H66" s="6">
        <v>284</v>
      </c>
      <c r="I66" s="6">
        <v>368</v>
      </c>
      <c r="J66" s="6">
        <v>864</v>
      </c>
      <c r="K66" s="6">
        <v>302428</v>
      </c>
      <c r="L66" s="6">
        <v>629165</v>
      </c>
      <c r="M66" s="6">
        <v>1136677</v>
      </c>
      <c r="N66" s="6">
        <v>2674281</v>
      </c>
      <c r="O66" s="6">
        <f t="shared" si="2"/>
        <v>1250183</v>
      </c>
      <c r="P66" s="6">
        <v>910846</v>
      </c>
      <c r="Q66" s="6">
        <v>339337</v>
      </c>
      <c r="R66" s="6">
        <v>5992734</v>
      </c>
      <c r="S66">
        <f t="shared" si="3"/>
        <v>17.855489571071463</v>
      </c>
      <c r="T66">
        <f t="shared" si="4"/>
        <v>1.1125857287039171</v>
      </c>
      <c r="U66">
        <f t="shared" si="5"/>
        <v>1.4955875767698299</v>
      </c>
      <c r="V66">
        <f t="shared" si="6"/>
        <v>5.0106925936354481</v>
      </c>
      <c r="W66">
        <f t="shared" si="7"/>
        <v>52.152364893779549</v>
      </c>
      <c r="X66">
        <f t="shared" si="8"/>
        <v>31.179804269876577</v>
      </c>
      <c r="Y66">
        <f t="shared" si="9"/>
        <v>108.44676531000157</v>
      </c>
      <c r="Z66">
        <f t="shared" si="10"/>
        <v>14.417459543507187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1BFC7-A7FA-4248-9CE9-E6454C982CDC}">
  <dimension ref="A1:AA1000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S13" sqref="S13"/>
    </sheetView>
  </sheetViews>
  <sheetFormatPr defaultRowHeight="14.4" x14ac:dyDescent="0.3"/>
  <cols>
    <col min="2" max="2" width="12.109375" customWidth="1"/>
    <col min="6" max="7" width="8.88671875" customWidth="1"/>
  </cols>
  <sheetData>
    <row r="1" spans="1:27" ht="43.2" customHeight="1" thickBot="1" x14ac:dyDescent="0.35">
      <c r="A1" s="22" t="s">
        <v>4</v>
      </c>
      <c r="B1" s="20" t="s">
        <v>137</v>
      </c>
      <c r="C1" s="25" t="s">
        <v>138</v>
      </c>
      <c r="D1" s="26"/>
      <c r="E1" s="26"/>
      <c r="F1" s="26"/>
      <c r="G1" s="26"/>
      <c r="H1" s="26"/>
      <c r="I1" s="26"/>
      <c r="J1" s="27"/>
      <c r="K1" s="1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 spans="1:27" ht="29.4" thickBot="1" x14ac:dyDescent="0.35">
      <c r="A2" s="21"/>
      <c r="B2" s="21"/>
      <c r="C2" s="19" t="s">
        <v>139</v>
      </c>
      <c r="D2" s="19" t="s">
        <v>140</v>
      </c>
      <c r="E2" s="19" t="s">
        <v>141</v>
      </c>
      <c r="F2" s="19" t="s">
        <v>142</v>
      </c>
      <c r="G2" s="19" t="s">
        <v>164</v>
      </c>
      <c r="H2" s="19" t="s">
        <v>159</v>
      </c>
      <c r="I2" s="19" t="s">
        <v>160</v>
      </c>
      <c r="J2" s="19" t="s">
        <v>143</v>
      </c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</row>
    <row r="3" spans="1:27" ht="15" thickBot="1" x14ac:dyDescent="0.35">
      <c r="A3" s="5" t="s">
        <v>13</v>
      </c>
      <c r="B3" s="13" t="s">
        <v>66</v>
      </c>
      <c r="C3" s="6">
        <v>298368</v>
      </c>
      <c r="D3" s="6">
        <v>664279</v>
      </c>
      <c r="E3" s="6">
        <v>1076302</v>
      </c>
      <c r="F3" s="6">
        <v>2569637</v>
      </c>
      <c r="G3" s="6">
        <f>SUM(H3:I3)</f>
        <v>1051129</v>
      </c>
      <c r="H3" s="6">
        <v>811720</v>
      </c>
      <c r="I3" s="6">
        <v>239409</v>
      </c>
      <c r="J3" s="6">
        <v>5659715</v>
      </c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spans="1:27" ht="15" thickBot="1" x14ac:dyDescent="0.35">
      <c r="A4" s="5" t="s">
        <v>13</v>
      </c>
      <c r="B4" s="13" t="s">
        <v>67</v>
      </c>
      <c r="C4" s="6">
        <v>298368</v>
      </c>
      <c r="D4" s="6">
        <v>664279</v>
      </c>
      <c r="E4" s="6">
        <v>1076302</v>
      </c>
      <c r="F4" s="6">
        <v>2569637</v>
      </c>
      <c r="G4" s="6">
        <f t="shared" ref="G4:G67" si="0">SUM(H4:I4)</f>
        <v>1051129</v>
      </c>
      <c r="H4" s="6">
        <v>811720</v>
      </c>
      <c r="I4" s="6">
        <v>239409</v>
      </c>
      <c r="J4" s="6">
        <v>5659715</v>
      </c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 spans="1:27" ht="15" thickBot="1" x14ac:dyDescent="0.35">
      <c r="A5" s="5" t="s">
        <v>13</v>
      </c>
      <c r="B5" s="13" t="s">
        <v>68</v>
      </c>
      <c r="C5" s="6">
        <v>298368</v>
      </c>
      <c r="D5" s="6">
        <v>664279</v>
      </c>
      <c r="E5" s="6">
        <v>1076302</v>
      </c>
      <c r="F5" s="6">
        <v>2569637</v>
      </c>
      <c r="G5" s="6">
        <f t="shared" si="0"/>
        <v>1051129</v>
      </c>
      <c r="H5" s="6">
        <v>811720</v>
      </c>
      <c r="I5" s="6">
        <v>239409</v>
      </c>
      <c r="J5" s="6">
        <v>5659715</v>
      </c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 spans="1:27" ht="15" thickBot="1" x14ac:dyDescent="0.35">
      <c r="A6" s="5" t="s">
        <v>13</v>
      </c>
      <c r="B6" s="13" t="s">
        <v>69</v>
      </c>
      <c r="C6" s="6">
        <v>298368</v>
      </c>
      <c r="D6" s="6">
        <v>664279</v>
      </c>
      <c r="E6" s="6">
        <v>1076302</v>
      </c>
      <c r="F6" s="6">
        <v>2569637</v>
      </c>
      <c r="G6" s="6">
        <f t="shared" si="0"/>
        <v>1051129</v>
      </c>
      <c r="H6" s="6">
        <v>811720</v>
      </c>
      <c r="I6" s="6">
        <v>239409</v>
      </c>
      <c r="J6" s="6">
        <v>5659715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 spans="1:27" ht="15" thickBot="1" x14ac:dyDescent="0.35">
      <c r="A7" s="5" t="s">
        <v>13</v>
      </c>
      <c r="B7" s="13" t="s">
        <v>70</v>
      </c>
      <c r="C7" s="6">
        <v>298368</v>
      </c>
      <c r="D7" s="6">
        <v>664279</v>
      </c>
      <c r="E7" s="6">
        <v>1076302</v>
      </c>
      <c r="F7" s="6">
        <v>2569637</v>
      </c>
      <c r="G7" s="6">
        <f t="shared" si="0"/>
        <v>1051129</v>
      </c>
      <c r="H7" s="6">
        <v>811720</v>
      </c>
      <c r="I7" s="6">
        <v>239409</v>
      </c>
      <c r="J7" s="6">
        <v>5659715</v>
      </c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ht="15" thickBot="1" x14ac:dyDescent="0.35">
      <c r="A8" s="5" t="s">
        <v>13</v>
      </c>
      <c r="B8" s="13" t="s">
        <v>71</v>
      </c>
      <c r="C8" s="6">
        <v>298368</v>
      </c>
      <c r="D8" s="6">
        <v>664279</v>
      </c>
      <c r="E8" s="6">
        <v>1076302</v>
      </c>
      <c r="F8" s="6">
        <v>2569637</v>
      </c>
      <c r="G8" s="6">
        <f t="shared" si="0"/>
        <v>1051129</v>
      </c>
      <c r="H8" s="6">
        <v>811720</v>
      </c>
      <c r="I8" s="6">
        <v>239409</v>
      </c>
      <c r="J8" s="6">
        <v>5659715</v>
      </c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 spans="1:27" ht="15" thickBot="1" x14ac:dyDescent="0.35">
      <c r="A9" s="5" t="s">
        <v>13</v>
      </c>
      <c r="B9" s="13" t="s">
        <v>72</v>
      </c>
      <c r="C9" s="6">
        <v>298368</v>
      </c>
      <c r="D9" s="6">
        <v>664279</v>
      </c>
      <c r="E9" s="6">
        <v>1076302</v>
      </c>
      <c r="F9" s="6">
        <v>2569637</v>
      </c>
      <c r="G9" s="6">
        <f t="shared" si="0"/>
        <v>1051129</v>
      </c>
      <c r="H9" s="6">
        <v>811720</v>
      </c>
      <c r="I9" s="6">
        <v>239409</v>
      </c>
      <c r="J9" s="6">
        <v>5659715</v>
      </c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 spans="1:27" ht="15" thickBot="1" x14ac:dyDescent="0.35">
      <c r="A10" s="5" t="s">
        <v>13</v>
      </c>
      <c r="B10" s="13" t="s">
        <v>73</v>
      </c>
      <c r="C10" s="6">
        <v>298368</v>
      </c>
      <c r="D10" s="6">
        <v>664279</v>
      </c>
      <c r="E10" s="6">
        <v>1076302</v>
      </c>
      <c r="F10" s="6">
        <v>2569637</v>
      </c>
      <c r="G10" s="6">
        <f t="shared" si="0"/>
        <v>1051129</v>
      </c>
      <c r="H10" s="6">
        <v>811720</v>
      </c>
      <c r="I10" s="6">
        <v>239409</v>
      </c>
      <c r="J10" s="6">
        <v>5659715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 spans="1:27" ht="15" thickBot="1" x14ac:dyDescent="0.35">
      <c r="A11" s="5" t="s">
        <v>13</v>
      </c>
      <c r="B11" s="13" t="s">
        <v>74</v>
      </c>
      <c r="C11" s="6">
        <v>298368</v>
      </c>
      <c r="D11" s="6">
        <v>664279</v>
      </c>
      <c r="E11" s="6">
        <v>1076302</v>
      </c>
      <c r="F11" s="6">
        <v>2569637</v>
      </c>
      <c r="G11" s="6">
        <f t="shared" si="0"/>
        <v>1051129</v>
      </c>
      <c r="H11" s="6">
        <v>811720</v>
      </c>
      <c r="I11" s="6">
        <v>239409</v>
      </c>
      <c r="J11" s="6">
        <v>5659715</v>
      </c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 spans="1:27" ht="15" thickBot="1" x14ac:dyDescent="0.35">
      <c r="A12" s="5" t="s">
        <v>13</v>
      </c>
      <c r="B12" s="13" t="s">
        <v>75</v>
      </c>
      <c r="C12" s="6">
        <v>298368</v>
      </c>
      <c r="D12" s="6">
        <v>664279</v>
      </c>
      <c r="E12" s="6">
        <v>1076302</v>
      </c>
      <c r="F12" s="6">
        <v>2569637</v>
      </c>
      <c r="G12" s="6">
        <f t="shared" si="0"/>
        <v>1051129</v>
      </c>
      <c r="H12" s="6">
        <v>811720</v>
      </c>
      <c r="I12" s="6">
        <v>239409</v>
      </c>
      <c r="J12" s="6">
        <v>5659715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 spans="1:27" ht="15" thickBot="1" x14ac:dyDescent="0.35">
      <c r="A13" s="5" t="s">
        <v>13</v>
      </c>
      <c r="B13" s="13" t="s">
        <v>76</v>
      </c>
      <c r="C13" s="6">
        <v>298368</v>
      </c>
      <c r="D13" s="6">
        <v>664279</v>
      </c>
      <c r="E13" s="6">
        <v>1076302</v>
      </c>
      <c r="F13" s="6">
        <v>2569637</v>
      </c>
      <c r="G13" s="6">
        <f t="shared" si="0"/>
        <v>1051129</v>
      </c>
      <c r="H13" s="6">
        <v>811720</v>
      </c>
      <c r="I13" s="6">
        <v>239409</v>
      </c>
      <c r="J13" s="6">
        <v>5659715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 spans="1:27" ht="15" thickBot="1" x14ac:dyDescent="0.35">
      <c r="A14" s="5" t="s">
        <v>13</v>
      </c>
      <c r="B14" s="13" t="s">
        <v>77</v>
      </c>
      <c r="C14" s="6">
        <v>298368</v>
      </c>
      <c r="D14" s="6">
        <v>664279</v>
      </c>
      <c r="E14" s="6">
        <v>1076302</v>
      </c>
      <c r="F14" s="6">
        <v>2569637</v>
      </c>
      <c r="G14" s="6">
        <f t="shared" si="0"/>
        <v>1051129</v>
      </c>
      <c r="H14" s="6">
        <v>811720</v>
      </c>
      <c r="I14" s="6">
        <v>239409</v>
      </c>
      <c r="J14" s="6">
        <v>5659715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 spans="1:27" ht="15" thickBot="1" x14ac:dyDescent="0.35">
      <c r="A15" s="5" t="s">
        <v>13</v>
      </c>
      <c r="B15" s="13" t="s">
        <v>78</v>
      </c>
      <c r="C15" s="6">
        <v>298368</v>
      </c>
      <c r="D15" s="6">
        <v>664279</v>
      </c>
      <c r="E15" s="6">
        <v>1076302</v>
      </c>
      <c r="F15" s="6">
        <v>2569637</v>
      </c>
      <c r="G15" s="6">
        <f t="shared" si="0"/>
        <v>1051129</v>
      </c>
      <c r="H15" s="6">
        <v>811720</v>
      </c>
      <c r="I15" s="6">
        <v>239409</v>
      </c>
      <c r="J15" s="6">
        <v>5659715</v>
      </c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 spans="1:27" ht="15" thickBot="1" x14ac:dyDescent="0.35">
      <c r="A16" s="5" t="s">
        <v>13</v>
      </c>
      <c r="B16" s="13" t="s">
        <v>79</v>
      </c>
      <c r="C16" s="6">
        <v>302428</v>
      </c>
      <c r="D16" s="6">
        <v>629165</v>
      </c>
      <c r="E16" s="6">
        <v>1136677</v>
      </c>
      <c r="F16" s="6">
        <v>2674281</v>
      </c>
      <c r="G16" s="6">
        <f t="shared" si="0"/>
        <v>1250183</v>
      </c>
      <c r="H16" s="6">
        <v>910846</v>
      </c>
      <c r="I16" s="6">
        <v>339337</v>
      </c>
      <c r="J16" s="6">
        <v>5992734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 spans="1:27" ht="15" thickBot="1" x14ac:dyDescent="0.35">
      <c r="A17" s="5" t="s">
        <v>13</v>
      </c>
      <c r="B17" s="13" t="s">
        <v>80</v>
      </c>
      <c r="C17" s="6">
        <v>302428</v>
      </c>
      <c r="D17" s="6">
        <v>629165</v>
      </c>
      <c r="E17" s="6">
        <v>1136677</v>
      </c>
      <c r="F17" s="6">
        <v>2674281</v>
      </c>
      <c r="G17" s="6">
        <f t="shared" si="0"/>
        <v>1250183</v>
      </c>
      <c r="H17" s="6">
        <v>910846</v>
      </c>
      <c r="I17" s="6">
        <v>339337</v>
      </c>
      <c r="J17" s="6">
        <v>5992734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 spans="1:27" ht="15" thickBot="1" x14ac:dyDescent="0.35">
      <c r="A18" s="5" t="s">
        <v>13</v>
      </c>
      <c r="B18" s="13" t="s">
        <v>81</v>
      </c>
      <c r="C18" s="6">
        <v>302428</v>
      </c>
      <c r="D18" s="6">
        <v>629165</v>
      </c>
      <c r="E18" s="6">
        <v>1136677</v>
      </c>
      <c r="F18" s="6">
        <v>2674281</v>
      </c>
      <c r="G18" s="6">
        <f t="shared" si="0"/>
        <v>1250183</v>
      </c>
      <c r="H18" s="6">
        <v>910846</v>
      </c>
      <c r="I18" s="6">
        <v>339337</v>
      </c>
      <c r="J18" s="6">
        <v>5992734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 spans="1:27" ht="15" thickBot="1" x14ac:dyDescent="0.35">
      <c r="A19" s="5" t="s">
        <v>13</v>
      </c>
      <c r="B19" s="13" t="s">
        <v>82</v>
      </c>
      <c r="C19" s="6">
        <v>302428</v>
      </c>
      <c r="D19" s="6">
        <v>629165</v>
      </c>
      <c r="E19" s="6">
        <v>1136677</v>
      </c>
      <c r="F19" s="6">
        <v>2674281</v>
      </c>
      <c r="G19" s="6">
        <f t="shared" si="0"/>
        <v>1250183</v>
      </c>
      <c r="H19" s="6">
        <v>910846</v>
      </c>
      <c r="I19" s="6">
        <v>339337</v>
      </c>
      <c r="J19" s="6">
        <v>5992734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 spans="1:27" ht="15" thickBot="1" x14ac:dyDescent="0.35">
      <c r="A20" s="5" t="s">
        <v>13</v>
      </c>
      <c r="B20" s="13" t="s">
        <v>83</v>
      </c>
      <c r="C20" s="6">
        <v>302428</v>
      </c>
      <c r="D20" s="6">
        <v>629165</v>
      </c>
      <c r="E20" s="6">
        <v>1136677</v>
      </c>
      <c r="F20" s="6">
        <v>2674281</v>
      </c>
      <c r="G20" s="6">
        <f t="shared" si="0"/>
        <v>1250183</v>
      </c>
      <c r="H20" s="6">
        <v>910846</v>
      </c>
      <c r="I20" s="6">
        <v>339337</v>
      </c>
      <c r="J20" s="6">
        <v>5992734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 spans="1:27" ht="15" thickBot="1" x14ac:dyDescent="0.35">
      <c r="A21" s="5" t="s">
        <v>13</v>
      </c>
      <c r="B21" s="13" t="s">
        <v>84</v>
      </c>
      <c r="C21" s="6">
        <v>302428</v>
      </c>
      <c r="D21" s="6">
        <v>629165</v>
      </c>
      <c r="E21" s="6">
        <v>1136677</v>
      </c>
      <c r="F21" s="6">
        <v>2674281</v>
      </c>
      <c r="G21" s="6">
        <f t="shared" si="0"/>
        <v>1250183</v>
      </c>
      <c r="H21" s="6">
        <v>910846</v>
      </c>
      <c r="I21" s="6">
        <v>339337</v>
      </c>
      <c r="J21" s="6">
        <v>5992734</v>
      </c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 spans="1:27" ht="15" thickBot="1" x14ac:dyDescent="0.35">
      <c r="A22" s="5" t="s">
        <v>13</v>
      </c>
      <c r="B22" s="13" t="s">
        <v>85</v>
      </c>
      <c r="C22" s="6">
        <v>302428</v>
      </c>
      <c r="D22" s="6">
        <v>629165</v>
      </c>
      <c r="E22" s="6">
        <v>1136677</v>
      </c>
      <c r="F22" s="6">
        <v>2674281</v>
      </c>
      <c r="G22" s="6">
        <f t="shared" si="0"/>
        <v>1250183</v>
      </c>
      <c r="H22" s="6">
        <v>910846</v>
      </c>
      <c r="I22" s="6">
        <v>339337</v>
      </c>
      <c r="J22" s="6">
        <v>5992734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 spans="1:27" ht="15" thickBot="1" x14ac:dyDescent="0.35">
      <c r="A23" s="5" t="s">
        <v>13</v>
      </c>
      <c r="B23" s="13" t="s">
        <v>86</v>
      </c>
      <c r="C23" s="6">
        <v>302428</v>
      </c>
      <c r="D23" s="6">
        <v>629165</v>
      </c>
      <c r="E23" s="6">
        <v>1136677</v>
      </c>
      <c r="F23" s="6">
        <v>2674281</v>
      </c>
      <c r="G23" s="6">
        <f t="shared" si="0"/>
        <v>1250183</v>
      </c>
      <c r="H23" s="6">
        <v>910846</v>
      </c>
      <c r="I23" s="6">
        <v>339337</v>
      </c>
      <c r="J23" s="6">
        <v>5992734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 spans="1:27" ht="15" thickBot="1" x14ac:dyDescent="0.35">
      <c r="A24" s="5" t="s">
        <v>13</v>
      </c>
      <c r="B24" s="13" t="s">
        <v>87</v>
      </c>
      <c r="C24" s="6">
        <v>302428</v>
      </c>
      <c r="D24" s="6">
        <v>629165</v>
      </c>
      <c r="E24" s="6">
        <v>1136677</v>
      </c>
      <c r="F24" s="6">
        <v>2674281</v>
      </c>
      <c r="G24" s="6">
        <f t="shared" si="0"/>
        <v>1250183</v>
      </c>
      <c r="H24" s="6">
        <v>910846</v>
      </c>
      <c r="I24" s="6">
        <v>339337</v>
      </c>
      <c r="J24" s="6">
        <v>5992734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 spans="1:27" ht="15" thickBot="1" x14ac:dyDescent="0.35">
      <c r="A25" s="5" t="s">
        <v>13</v>
      </c>
      <c r="B25" s="13" t="s">
        <v>88</v>
      </c>
      <c r="C25" s="6">
        <v>302428</v>
      </c>
      <c r="D25" s="6">
        <v>629165</v>
      </c>
      <c r="E25" s="6">
        <v>1136677</v>
      </c>
      <c r="F25" s="6">
        <v>2674281</v>
      </c>
      <c r="G25" s="6">
        <f t="shared" si="0"/>
        <v>1250183</v>
      </c>
      <c r="H25" s="6">
        <v>910846</v>
      </c>
      <c r="I25" s="6">
        <v>339337</v>
      </c>
      <c r="J25" s="6">
        <v>5992734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 spans="1:27" ht="15" thickBot="1" x14ac:dyDescent="0.35">
      <c r="A26" s="5" t="s">
        <v>13</v>
      </c>
      <c r="B26" s="13" t="s">
        <v>89</v>
      </c>
      <c r="C26" s="6">
        <v>302428</v>
      </c>
      <c r="D26" s="6">
        <v>629165</v>
      </c>
      <c r="E26" s="6">
        <v>1136677</v>
      </c>
      <c r="F26" s="6">
        <v>2674281</v>
      </c>
      <c r="G26" s="6">
        <f t="shared" si="0"/>
        <v>1250183</v>
      </c>
      <c r="H26" s="6">
        <v>910846</v>
      </c>
      <c r="I26" s="6">
        <v>339337</v>
      </c>
      <c r="J26" s="6">
        <v>5992734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 spans="1:27" ht="15" thickBot="1" x14ac:dyDescent="0.35">
      <c r="A27" s="5" t="s">
        <v>13</v>
      </c>
      <c r="B27" s="13" t="s">
        <v>90</v>
      </c>
      <c r="C27" s="6">
        <v>302428</v>
      </c>
      <c r="D27" s="6">
        <v>629165</v>
      </c>
      <c r="E27" s="6">
        <v>1136677</v>
      </c>
      <c r="F27" s="6">
        <v>2674281</v>
      </c>
      <c r="G27" s="6">
        <f t="shared" si="0"/>
        <v>1250183</v>
      </c>
      <c r="H27" s="6">
        <v>910846</v>
      </c>
      <c r="I27" s="6">
        <v>339337</v>
      </c>
      <c r="J27" s="6">
        <v>5992734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 spans="1:27" ht="15" thickBot="1" x14ac:dyDescent="0.35">
      <c r="A28" s="5" t="s">
        <v>13</v>
      </c>
      <c r="B28" s="13" t="s">
        <v>91</v>
      </c>
      <c r="C28" s="6">
        <v>302428</v>
      </c>
      <c r="D28" s="6">
        <v>629165</v>
      </c>
      <c r="E28" s="6">
        <v>1136677</v>
      </c>
      <c r="F28" s="6">
        <v>2674281</v>
      </c>
      <c r="G28" s="6">
        <f t="shared" si="0"/>
        <v>1250183</v>
      </c>
      <c r="H28" s="6">
        <v>910846</v>
      </c>
      <c r="I28" s="6">
        <v>339337</v>
      </c>
      <c r="J28" s="6">
        <v>5992734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 spans="1:27" ht="15" thickBot="1" x14ac:dyDescent="0.35">
      <c r="A29" s="5" t="s">
        <v>13</v>
      </c>
      <c r="B29" s="13" t="s">
        <v>92</v>
      </c>
      <c r="C29" s="6">
        <v>302428</v>
      </c>
      <c r="D29" s="6">
        <v>629165</v>
      </c>
      <c r="E29" s="6">
        <v>1136677</v>
      </c>
      <c r="F29" s="6">
        <v>2674281</v>
      </c>
      <c r="G29" s="6">
        <f t="shared" si="0"/>
        <v>1250183</v>
      </c>
      <c r="H29" s="6">
        <v>910846</v>
      </c>
      <c r="I29" s="6">
        <v>339337</v>
      </c>
      <c r="J29" s="6">
        <v>5992734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 spans="1:27" ht="15" thickBot="1" x14ac:dyDescent="0.35">
      <c r="A30" s="5" t="s">
        <v>13</v>
      </c>
      <c r="B30" s="13" t="s">
        <v>93</v>
      </c>
      <c r="C30" s="6">
        <v>302428</v>
      </c>
      <c r="D30" s="6">
        <v>629165</v>
      </c>
      <c r="E30" s="6">
        <v>1136677</v>
      </c>
      <c r="F30" s="6">
        <v>2674281</v>
      </c>
      <c r="G30" s="6">
        <f t="shared" si="0"/>
        <v>1250183</v>
      </c>
      <c r="H30" s="6">
        <v>910846</v>
      </c>
      <c r="I30" s="6">
        <v>339337</v>
      </c>
      <c r="J30" s="6">
        <v>5992734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 spans="1:27" ht="15" thickBot="1" x14ac:dyDescent="0.35">
      <c r="A31" s="5" t="s">
        <v>13</v>
      </c>
      <c r="B31" s="13" t="s">
        <v>94</v>
      </c>
      <c r="C31" s="6">
        <v>302428</v>
      </c>
      <c r="D31" s="6">
        <v>629165</v>
      </c>
      <c r="E31" s="6">
        <v>1136677</v>
      </c>
      <c r="F31" s="6">
        <v>2674281</v>
      </c>
      <c r="G31" s="6">
        <f t="shared" si="0"/>
        <v>1250183</v>
      </c>
      <c r="H31" s="6">
        <v>910846</v>
      </c>
      <c r="I31" s="6">
        <v>339337</v>
      </c>
      <c r="J31" s="6">
        <v>5992734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 spans="1:27" ht="15" thickBot="1" x14ac:dyDescent="0.35">
      <c r="A32" s="5" t="s">
        <v>13</v>
      </c>
      <c r="B32" s="13" t="s">
        <v>95</v>
      </c>
      <c r="C32" s="6">
        <v>302428</v>
      </c>
      <c r="D32" s="6">
        <v>629165</v>
      </c>
      <c r="E32" s="6">
        <v>1136677</v>
      </c>
      <c r="F32" s="6">
        <v>2674281</v>
      </c>
      <c r="G32" s="6">
        <f t="shared" si="0"/>
        <v>1250183</v>
      </c>
      <c r="H32" s="6">
        <v>910846</v>
      </c>
      <c r="I32" s="6">
        <v>339337</v>
      </c>
      <c r="J32" s="6">
        <v>5992734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 spans="1:27" ht="15" thickBot="1" x14ac:dyDescent="0.35">
      <c r="A33" s="5" t="s">
        <v>13</v>
      </c>
      <c r="B33" s="13" t="s">
        <v>96</v>
      </c>
      <c r="C33" s="6">
        <v>302428</v>
      </c>
      <c r="D33" s="6">
        <v>629165</v>
      </c>
      <c r="E33" s="6">
        <v>1136677</v>
      </c>
      <c r="F33" s="6">
        <v>2674281</v>
      </c>
      <c r="G33" s="6">
        <f t="shared" si="0"/>
        <v>1250183</v>
      </c>
      <c r="H33" s="6">
        <v>910846</v>
      </c>
      <c r="I33" s="6">
        <v>339337</v>
      </c>
      <c r="J33" s="6">
        <v>5992734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 spans="1:27" ht="15" thickBot="1" x14ac:dyDescent="0.35">
      <c r="A34" s="5" t="s">
        <v>13</v>
      </c>
      <c r="B34" s="13" t="s">
        <v>97</v>
      </c>
      <c r="C34" s="6">
        <v>302428</v>
      </c>
      <c r="D34" s="6">
        <v>629165</v>
      </c>
      <c r="E34" s="6">
        <v>1136677</v>
      </c>
      <c r="F34" s="6">
        <v>2674281</v>
      </c>
      <c r="G34" s="6">
        <f t="shared" si="0"/>
        <v>1250183</v>
      </c>
      <c r="H34" s="6">
        <v>910846</v>
      </c>
      <c r="I34" s="6">
        <v>339337</v>
      </c>
      <c r="J34" s="6">
        <v>5992734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 spans="1:27" ht="15" thickBot="1" x14ac:dyDescent="0.35">
      <c r="A35" s="5" t="s">
        <v>13</v>
      </c>
      <c r="B35" s="13" t="s">
        <v>98</v>
      </c>
      <c r="C35" s="6">
        <v>302428</v>
      </c>
      <c r="D35" s="6">
        <v>629165</v>
      </c>
      <c r="E35" s="6">
        <v>1136677</v>
      </c>
      <c r="F35" s="6">
        <v>2674281</v>
      </c>
      <c r="G35" s="6">
        <f t="shared" si="0"/>
        <v>1250183</v>
      </c>
      <c r="H35" s="6">
        <v>910846</v>
      </c>
      <c r="I35" s="6">
        <v>339337</v>
      </c>
      <c r="J35" s="6">
        <v>5992734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 spans="1:27" ht="15" thickBot="1" x14ac:dyDescent="0.35">
      <c r="A36" s="5" t="s">
        <v>13</v>
      </c>
      <c r="B36" s="13" t="s">
        <v>99</v>
      </c>
      <c r="C36" s="6">
        <v>302428</v>
      </c>
      <c r="D36" s="6">
        <v>629165</v>
      </c>
      <c r="E36" s="6">
        <v>1136677</v>
      </c>
      <c r="F36" s="6">
        <v>2674281</v>
      </c>
      <c r="G36" s="6">
        <f t="shared" si="0"/>
        <v>1250183</v>
      </c>
      <c r="H36" s="6">
        <v>910846</v>
      </c>
      <c r="I36" s="6">
        <v>339337</v>
      </c>
      <c r="J36" s="6">
        <v>5992734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 spans="1:27" ht="15" thickBot="1" x14ac:dyDescent="0.35">
      <c r="A37" s="5" t="s">
        <v>13</v>
      </c>
      <c r="B37" s="13" t="s">
        <v>100</v>
      </c>
      <c r="C37" s="6">
        <v>302428</v>
      </c>
      <c r="D37" s="6">
        <v>629165</v>
      </c>
      <c r="E37" s="6">
        <v>1136677</v>
      </c>
      <c r="F37" s="6">
        <v>2674281</v>
      </c>
      <c r="G37" s="6">
        <f t="shared" si="0"/>
        <v>1250183</v>
      </c>
      <c r="H37" s="6">
        <v>910846</v>
      </c>
      <c r="I37" s="6">
        <v>339337</v>
      </c>
      <c r="J37" s="6">
        <v>5992734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 spans="1:27" ht="15" thickBot="1" x14ac:dyDescent="0.35">
      <c r="A38" s="5" t="s">
        <v>13</v>
      </c>
      <c r="B38" s="13" t="s">
        <v>101</v>
      </c>
      <c r="C38" s="6">
        <v>302428</v>
      </c>
      <c r="D38" s="6">
        <v>629165</v>
      </c>
      <c r="E38" s="6">
        <v>1136677</v>
      </c>
      <c r="F38" s="6">
        <v>2674281</v>
      </c>
      <c r="G38" s="6">
        <f t="shared" si="0"/>
        <v>1250183</v>
      </c>
      <c r="H38" s="6">
        <v>910846</v>
      </c>
      <c r="I38" s="6">
        <v>339337</v>
      </c>
      <c r="J38" s="6">
        <v>5992734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 spans="1:27" ht="15" thickBot="1" x14ac:dyDescent="0.35">
      <c r="A39" s="5" t="s">
        <v>13</v>
      </c>
      <c r="B39" s="13" t="s">
        <v>102</v>
      </c>
      <c r="C39" s="6">
        <v>302428</v>
      </c>
      <c r="D39" s="6">
        <v>629165</v>
      </c>
      <c r="E39" s="6">
        <v>1136677</v>
      </c>
      <c r="F39" s="6">
        <v>2674281</v>
      </c>
      <c r="G39" s="6">
        <f t="shared" si="0"/>
        <v>1250183</v>
      </c>
      <c r="H39" s="6">
        <v>910846</v>
      </c>
      <c r="I39" s="6">
        <v>339337</v>
      </c>
      <c r="J39" s="6">
        <v>5992734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 spans="1:27" ht="15" thickBot="1" x14ac:dyDescent="0.35">
      <c r="A40" s="5" t="s">
        <v>13</v>
      </c>
      <c r="B40" s="13" t="s">
        <v>103</v>
      </c>
      <c r="C40" s="6">
        <v>302428</v>
      </c>
      <c r="D40" s="6">
        <v>629165</v>
      </c>
      <c r="E40" s="6">
        <v>1136677</v>
      </c>
      <c r="F40" s="6">
        <v>2674281</v>
      </c>
      <c r="G40" s="6">
        <f t="shared" si="0"/>
        <v>1250183</v>
      </c>
      <c r="H40" s="6">
        <v>910846</v>
      </c>
      <c r="I40" s="6">
        <v>339337</v>
      </c>
      <c r="J40" s="6">
        <v>5992734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 spans="1:27" ht="15" thickBot="1" x14ac:dyDescent="0.35">
      <c r="A41" s="5" t="s">
        <v>13</v>
      </c>
      <c r="B41" s="13" t="s">
        <v>104</v>
      </c>
      <c r="C41" s="6">
        <v>302428</v>
      </c>
      <c r="D41" s="6">
        <v>629165</v>
      </c>
      <c r="E41" s="6">
        <v>1136677</v>
      </c>
      <c r="F41" s="6">
        <v>2674281</v>
      </c>
      <c r="G41" s="6">
        <f t="shared" si="0"/>
        <v>1250183</v>
      </c>
      <c r="H41" s="6">
        <v>910846</v>
      </c>
      <c r="I41" s="6">
        <v>339337</v>
      </c>
      <c r="J41" s="6">
        <v>5992734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 spans="1:27" ht="15" thickBot="1" x14ac:dyDescent="0.35">
      <c r="A42" s="5" t="s">
        <v>13</v>
      </c>
      <c r="B42" s="13" t="s">
        <v>105</v>
      </c>
      <c r="C42" s="6">
        <v>302428</v>
      </c>
      <c r="D42" s="6">
        <v>629165</v>
      </c>
      <c r="E42" s="6">
        <v>1136677</v>
      </c>
      <c r="F42" s="6">
        <v>2674281</v>
      </c>
      <c r="G42" s="6">
        <f t="shared" si="0"/>
        <v>1250183</v>
      </c>
      <c r="H42" s="6">
        <v>910846</v>
      </c>
      <c r="I42" s="6">
        <v>339337</v>
      </c>
      <c r="J42" s="6">
        <v>5992734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 spans="1:27" ht="15" thickBot="1" x14ac:dyDescent="0.35">
      <c r="A43" s="5" t="s">
        <v>13</v>
      </c>
      <c r="B43" s="13" t="s">
        <v>106</v>
      </c>
      <c r="C43" s="6">
        <v>302428</v>
      </c>
      <c r="D43" s="6">
        <v>629165</v>
      </c>
      <c r="E43" s="6">
        <v>1136677</v>
      </c>
      <c r="F43" s="6">
        <v>2674281</v>
      </c>
      <c r="G43" s="6">
        <f t="shared" si="0"/>
        <v>1250183</v>
      </c>
      <c r="H43" s="6">
        <v>910846</v>
      </c>
      <c r="I43" s="6">
        <v>339337</v>
      </c>
      <c r="J43" s="6">
        <v>5992734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 spans="1:27" ht="15" thickBot="1" x14ac:dyDescent="0.35">
      <c r="A44" s="5" t="s">
        <v>13</v>
      </c>
      <c r="B44" s="13" t="s">
        <v>107</v>
      </c>
      <c r="C44" s="6">
        <v>302428</v>
      </c>
      <c r="D44" s="6">
        <v>629165</v>
      </c>
      <c r="E44" s="6">
        <v>1136677</v>
      </c>
      <c r="F44" s="6">
        <v>2674281</v>
      </c>
      <c r="G44" s="6">
        <f t="shared" si="0"/>
        <v>1250183</v>
      </c>
      <c r="H44" s="6">
        <v>910846</v>
      </c>
      <c r="I44" s="6">
        <v>339337</v>
      </c>
      <c r="J44" s="6">
        <v>5992734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 spans="1:27" ht="15" thickBot="1" x14ac:dyDescent="0.35">
      <c r="A45" s="5" t="s">
        <v>13</v>
      </c>
      <c r="B45" s="13" t="s">
        <v>108</v>
      </c>
      <c r="C45" s="6">
        <v>302428</v>
      </c>
      <c r="D45" s="6">
        <v>629165</v>
      </c>
      <c r="E45" s="6">
        <v>1136677</v>
      </c>
      <c r="F45" s="6">
        <v>2674281</v>
      </c>
      <c r="G45" s="6">
        <f t="shared" si="0"/>
        <v>1250183</v>
      </c>
      <c r="H45" s="6">
        <v>910846</v>
      </c>
      <c r="I45" s="6">
        <v>339337</v>
      </c>
      <c r="J45" s="6">
        <v>5992734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 spans="1:27" ht="15" thickBot="1" x14ac:dyDescent="0.35">
      <c r="A46" s="5" t="s">
        <v>13</v>
      </c>
      <c r="B46" s="13" t="s">
        <v>109</v>
      </c>
      <c r="C46" s="6">
        <v>302428</v>
      </c>
      <c r="D46" s="6">
        <v>629165</v>
      </c>
      <c r="E46" s="6">
        <v>1136677</v>
      </c>
      <c r="F46" s="6">
        <v>2674281</v>
      </c>
      <c r="G46" s="6">
        <f t="shared" si="0"/>
        <v>1250183</v>
      </c>
      <c r="H46" s="6">
        <v>910846</v>
      </c>
      <c r="I46" s="6">
        <v>339337</v>
      </c>
      <c r="J46" s="6">
        <v>5992734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 spans="1:27" ht="15" thickBot="1" x14ac:dyDescent="0.35">
      <c r="A47" s="5" t="s">
        <v>13</v>
      </c>
      <c r="B47" s="13" t="s">
        <v>110</v>
      </c>
      <c r="C47" s="6">
        <v>302428</v>
      </c>
      <c r="D47" s="6">
        <v>629165</v>
      </c>
      <c r="E47" s="6">
        <v>1136677</v>
      </c>
      <c r="F47" s="6">
        <v>2674281</v>
      </c>
      <c r="G47" s="6">
        <f t="shared" si="0"/>
        <v>1250183</v>
      </c>
      <c r="H47" s="6">
        <v>910846</v>
      </c>
      <c r="I47" s="6">
        <v>339337</v>
      </c>
      <c r="J47" s="6">
        <v>5992734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 spans="1:27" ht="15" thickBot="1" x14ac:dyDescent="0.35">
      <c r="A48" s="5" t="s">
        <v>13</v>
      </c>
      <c r="B48" s="13" t="s">
        <v>111</v>
      </c>
      <c r="C48" s="6">
        <v>302428</v>
      </c>
      <c r="D48" s="6">
        <v>629165</v>
      </c>
      <c r="E48" s="6">
        <v>1136677</v>
      </c>
      <c r="F48" s="6">
        <v>2674281</v>
      </c>
      <c r="G48" s="6">
        <f t="shared" si="0"/>
        <v>1250183</v>
      </c>
      <c r="H48" s="6">
        <v>910846</v>
      </c>
      <c r="I48" s="6">
        <v>339337</v>
      </c>
      <c r="J48" s="6">
        <v>5992734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 spans="1:27" ht="15" thickBot="1" x14ac:dyDescent="0.35">
      <c r="A49" s="5" t="s">
        <v>13</v>
      </c>
      <c r="B49" s="13" t="s">
        <v>112</v>
      </c>
      <c r="C49" s="6">
        <v>302428</v>
      </c>
      <c r="D49" s="6">
        <v>629165</v>
      </c>
      <c r="E49" s="6">
        <v>1136677</v>
      </c>
      <c r="F49" s="6">
        <v>2674281</v>
      </c>
      <c r="G49" s="6">
        <f t="shared" si="0"/>
        <v>1250183</v>
      </c>
      <c r="H49" s="6">
        <v>910846</v>
      </c>
      <c r="I49" s="6">
        <v>339337</v>
      </c>
      <c r="J49" s="6">
        <v>5992734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1:27" ht="15" thickBot="1" x14ac:dyDescent="0.35">
      <c r="A50" s="5" t="s">
        <v>13</v>
      </c>
      <c r="B50" s="13" t="s">
        <v>113</v>
      </c>
      <c r="C50" s="6">
        <v>302428</v>
      </c>
      <c r="D50" s="6">
        <v>629165</v>
      </c>
      <c r="E50" s="6">
        <v>1136677</v>
      </c>
      <c r="F50" s="6">
        <v>2674281</v>
      </c>
      <c r="G50" s="6">
        <f t="shared" si="0"/>
        <v>1250183</v>
      </c>
      <c r="H50" s="6">
        <v>910846</v>
      </c>
      <c r="I50" s="6">
        <v>339337</v>
      </c>
      <c r="J50" s="6">
        <v>5992734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 spans="1:27" ht="15" thickBot="1" x14ac:dyDescent="0.35">
      <c r="A51" s="5" t="s">
        <v>13</v>
      </c>
      <c r="B51" s="13" t="s">
        <v>114</v>
      </c>
      <c r="C51" s="6">
        <v>302428</v>
      </c>
      <c r="D51" s="6">
        <v>629165</v>
      </c>
      <c r="E51" s="6">
        <v>1136677</v>
      </c>
      <c r="F51" s="6">
        <v>2674281</v>
      </c>
      <c r="G51" s="6">
        <f t="shared" si="0"/>
        <v>1250183</v>
      </c>
      <c r="H51" s="6">
        <v>910846</v>
      </c>
      <c r="I51" s="6">
        <v>339337</v>
      </c>
      <c r="J51" s="6">
        <v>5992734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 spans="1:27" ht="15" thickBot="1" x14ac:dyDescent="0.35">
      <c r="A52" s="5" t="s">
        <v>13</v>
      </c>
      <c r="B52" s="13" t="s">
        <v>115</v>
      </c>
      <c r="C52" s="6">
        <v>302428</v>
      </c>
      <c r="D52" s="6">
        <v>629165</v>
      </c>
      <c r="E52" s="6">
        <v>1136677</v>
      </c>
      <c r="F52" s="6">
        <v>2674281</v>
      </c>
      <c r="G52" s="6">
        <f t="shared" si="0"/>
        <v>1250183</v>
      </c>
      <c r="H52" s="6">
        <v>910846</v>
      </c>
      <c r="I52" s="6">
        <v>339337</v>
      </c>
      <c r="J52" s="6">
        <v>5992734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 spans="1:27" ht="15" thickBot="1" x14ac:dyDescent="0.35">
      <c r="A53" s="5" t="s">
        <v>13</v>
      </c>
      <c r="B53" s="13" t="s">
        <v>116</v>
      </c>
      <c r="C53" s="6">
        <v>302428</v>
      </c>
      <c r="D53" s="6">
        <v>629165</v>
      </c>
      <c r="E53" s="6">
        <v>1136677</v>
      </c>
      <c r="F53" s="6">
        <v>2674281</v>
      </c>
      <c r="G53" s="6">
        <f t="shared" si="0"/>
        <v>1250183</v>
      </c>
      <c r="H53" s="6">
        <v>910846</v>
      </c>
      <c r="I53" s="6">
        <v>339337</v>
      </c>
      <c r="J53" s="6">
        <v>5992734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 spans="1:27" ht="15" thickBot="1" x14ac:dyDescent="0.35">
      <c r="A54" s="5" t="s">
        <v>13</v>
      </c>
      <c r="B54" s="13" t="s">
        <v>117</v>
      </c>
      <c r="C54" s="6">
        <v>302428</v>
      </c>
      <c r="D54" s="6">
        <v>629165</v>
      </c>
      <c r="E54" s="6">
        <v>1136677</v>
      </c>
      <c r="F54" s="6">
        <v>2674281</v>
      </c>
      <c r="G54" s="6">
        <f t="shared" si="0"/>
        <v>1250183</v>
      </c>
      <c r="H54" s="6">
        <v>910846</v>
      </c>
      <c r="I54" s="6">
        <v>339337</v>
      </c>
      <c r="J54" s="6">
        <v>5992734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 spans="1:27" ht="15" thickBot="1" x14ac:dyDescent="0.35">
      <c r="A55" s="5" t="s">
        <v>13</v>
      </c>
      <c r="B55" s="13" t="s">
        <v>118</v>
      </c>
      <c r="C55" s="6">
        <v>302428</v>
      </c>
      <c r="D55" s="6">
        <v>629165</v>
      </c>
      <c r="E55" s="6">
        <v>1136677</v>
      </c>
      <c r="F55" s="6">
        <v>2674281</v>
      </c>
      <c r="G55" s="6">
        <f t="shared" si="0"/>
        <v>1250183</v>
      </c>
      <c r="H55" s="6">
        <v>910846</v>
      </c>
      <c r="I55" s="6">
        <v>339337</v>
      </c>
      <c r="J55" s="6">
        <v>5992734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 spans="1:27" ht="15" thickBot="1" x14ac:dyDescent="0.35">
      <c r="A56" s="5" t="s">
        <v>13</v>
      </c>
      <c r="B56" s="13" t="s">
        <v>119</v>
      </c>
      <c r="C56" s="6">
        <v>302428</v>
      </c>
      <c r="D56" s="6">
        <v>629165</v>
      </c>
      <c r="E56" s="6">
        <v>1136677</v>
      </c>
      <c r="F56" s="6">
        <v>2674281</v>
      </c>
      <c r="G56" s="6">
        <f t="shared" si="0"/>
        <v>1250183</v>
      </c>
      <c r="H56" s="6">
        <v>910846</v>
      </c>
      <c r="I56" s="6">
        <v>339337</v>
      </c>
      <c r="J56" s="6">
        <v>5992734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 spans="1:27" ht="15" thickBot="1" x14ac:dyDescent="0.35">
      <c r="A57" s="5" t="s">
        <v>13</v>
      </c>
      <c r="B57" s="13" t="s">
        <v>120</v>
      </c>
      <c r="C57" s="6">
        <v>302428</v>
      </c>
      <c r="D57" s="6">
        <v>629165</v>
      </c>
      <c r="E57" s="6">
        <v>1136677</v>
      </c>
      <c r="F57" s="6">
        <v>2674281</v>
      </c>
      <c r="G57" s="6">
        <f t="shared" si="0"/>
        <v>1250183</v>
      </c>
      <c r="H57" s="6">
        <v>910846</v>
      </c>
      <c r="I57" s="6">
        <v>339337</v>
      </c>
      <c r="J57" s="6">
        <v>5992734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 spans="1:27" ht="15" thickBot="1" x14ac:dyDescent="0.35">
      <c r="A58" s="5" t="s">
        <v>13</v>
      </c>
      <c r="B58" s="13" t="s">
        <v>121</v>
      </c>
      <c r="C58" s="6">
        <v>302428</v>
      </c>
      <c r="D58" s="6">
        <v>629165</v>
      </c>
      <c r="E58" s="6">
        <v>1136677</v>
      </c>
      <c r="F58" s="6">
        <v>2674281</v>
      </c>
      <c r="G58" s="6">
        <f t="shared" si="0"/>
        <v>1250183</v>
      </c>
      <c r="H58" s="6">
        <v>910846</v>
      </c>
      <c r="I58" s="6">
        <v>339337</v>
      </c>
      <c r="J58" s="6">
        <v>5992734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 spans="1:27" ht="15" thickBot="1" x14ac:dyDescent="0.35">
      <c r="A59" s="5" t="s">
        <v>13</v>
      </c>
      <c r="B59" s="13" t="s">
        <v>122</v>
      </c>
      <c r="C59" s="6">
        <v>302428</v>
      </c>
      <c r="D59" s="6">
        <v>629165</v>
      </c>
      <c r="E59" s="6">
        <v>1136677</v>
      </c>
      <c r="F59" s="6">
        <v>2674281</v>
      </c>
      <c r="G59" s="6">
        <f t="shared" si="0"/>
        <v>1250183</v>
      </c>
      <c r="H59" s="6">
        <v>910846</v>
      </c>
      <c r="I59" s="6">
        <v>339337</v>
      </c>
      <c r="J59" s="6">
        <v>5992734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 spans="1:27" ht="15" thickBot="1" x14ac:dyDescent="0.35">
      <c r="A60" s="5" t="s">
        <v>13</v>
      </c>
      <c r="B60" s="13" t="s">
        <v>123</v>
      </c>
      <c r="C60" s="6">
        <v>302428</v>
      </c>
      <c r="D60" s="6">
        <v>629165</v>
      </c>
      <c r="E60" s="6">
        <v>1136677</v>
      </c>
      <c r="F60" s="6">
        <v>2674281</v>
      </c>
      <c r="G60" s="6">
        <f t="shared" si="0"/>
        <v>1250183</v>
      </c>
      <c r="H60" s="6">
        <v>910846</v>
      </c>
      <c r="I60" s="6">
        <v>339337</v>
      </c>
      <c r="J60" s="6">
        <v>5992734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 spans="1:27" ht="15" thickBot="1" x14ac:dyDescent="0.35">
      <c r="A61" s="5" t="s">
        <v>13</v>
      </c>
      <c r="B61" s="13" t="s">
        <v>124</v>
      </c>
      <c r="C61" s="6">
        <v>302428</v>
      </c>
      <c r="D61" s="6">
        <v>629165</v>
      </c>
      <c r="E61" s="6">
        <v>1136677</v>
      </c>
      <c r="F61" s="6">
        <v>2674281</v>
      </c>
      <c r="G61" s="6">
        <f t="shared" si="0"/>
        <v>1250183</v>
      </c>
      <c r="H61" s="6">
        <v>910846</v>
      </c>
      <c r="I61" s="6">
        <v>339337</v>
      </c>
      <c r="J61" s="6">
        <v>5992734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 spans="1:27" ht="15" thickBot="1" x14ac:dyDescent="0.35">
      <c r="A62" s="5" t="s">
        <v>13</v>
      </c>
      <c r="B62" s="13" t="s">
        <v>125</v>
      </c>
      <c r="C62" s="6">
        <v>302428</v>
      </c>
      <c r="D62" s="6">
        <v>629165</v>
      </c>
      <c r="E62" s="6">
        <v>1136677</v>
      </c>
      <c r="F62" s="6">
        <v>2674281</v>
      </c>
      <c r="G62" s="6">
        <f t="shared" si="0"/>
        <v>1250183</v>
      </c>
      <c r="H62" s="6">
        <v>910846</v>
      </c>
      <c r="I62" s="6">
        <v>339337</v>
      </c>
      <c r="J62" s="6">
        <v>5992734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 spans="1:27" ht="15" thickBot="1" x14ac:dyDescent="0.35">
      <c r="A63" s="5" t="s">
        <v>13</v>
      </c>
      <c r="B63" s="13" t="s">
        <v>126</v>
      </c>
      <c r="C63" s="6">
        <v>302428</v>
      </c>
      <c r="D63" s="6">
        <v>629165</v>
      </c>
      <c r="E63" s="6">
        <v>1136677</v>
      </c>
      <c r="F63" s="6">
        <v>2674281</v>
      </c>
      <c r="G63" s="6">
        <f t="shared" si="0"/>
        <v>1250183</v>
      </c>
      <c r="H63" s="6">
        <v>910846</v>
      </c>
      <c r="I63" s="6">
        <v>339337</v>
      </c>
      <c r="J63" s="6">
        <v>5992734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 spans="1:27" ht="15" thickBot="1" x14ac:dyDescent="0.35">
      <c r="A64" s="5" t="s">
        <v>13</v>
      </c>
      <c r="B64" s="13" t="s">
        <v>127</v>
      </c>
      <c r="C64" s="6">
        <v>302428</v>
      </c>
      <c r="D64" s="6">
        <v>629165</v>
      </c>
      <c r="E64" s="6">
        <v>1136677</v>
      </c>
      <c r="F64" s="6">
        <v>2674281</v>
      </c>
      <c r="G64" s="6">
        <f t="shared" si="0"/>
        <v>1250183</v>
      </c>
      <c r="H64" s="6">
        <v>910846</v>
      </c>
      <c r="I64" s="6">
        <v>339337</v>
      </c>
      <c r="J64" s="6">
        <v>5992734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 spans="1:27" ht="15" thickBot="1" x14ac:dyDescent="0.35">
      <c r="A65" s="5" t="s">
        <v>13</v>
      </c>
      <c r="B65" s="13" t="s">
        <v>128</v>
      </c>
      <c r="C65" s="6">
        <v>302428</v>
      </c>
      <c r="D65" s="6">
        <v>629165</v>
      </c>
      <c r="E65" s="6">
        <v>1136677</v>
      </c>
      <c r="F65" s="6">
        <v>2674281</v>
      </c>
      <c r="G65" s="6">
        <f t="shared" si="0"/>
        <v>1250183</v>
      </c>
      <c r="H65" s="6">
        <v>910846</v>
      </c>
      <c r="I65" s="6">
        <v>339337</v>
      </c>
      <c r="J65" s="6">
        <v>5992734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 spans="1:27" ht="15" thickBot="1" x14ac:dyDescent="0.35">
      <c r="A66" s="5" t="s">
        <v>13</v>
      </c>
      <c r="B66" s="13" t="s">
        <v>129</v>
      </c>
      <c r="C66" s="6">
        <v>302428</v>
      </c>
      <c r="D66" s="6">
        <v>629165</v>
      </c>
      <c r="E66" s="6">
        <v>1136677</v>
      </c>
      <c r="F66" s="6">
        <v>2674281</v>
      </c>
      <c r="G66" s="6">
        <f t="shared" si="0"/>
        <v>1250183</v>
      </c>
      <c r="H66" s="6">
        <v>910846</v>
      </c>
      <c r="I66" s="6">
        <v>339337</v>
      </c>
      <c r="J66" s="6">
        <v>5992734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 spans="1:27" ht="15" thickBot="1" x14ac:dyDescent="0.35">
      <c r="A67" s="5" t="s">
        <v>13</v>
      </c>
      <c r="B67" s="13" t="s">
        <v>130</v>
      </c>
      <c r="C67" s="6">
        <v>302428</v>
      </c>
      <c r="D67" s="6">
        <v>629165</v>
      </c>
      <c r="E67" s="6">
        <v>1136677</v>
      </c>
      <c r="F67" s="6">
        <v>2674281</v>
      </c>
      <c r="G67" s="6">
        <f t="shared" si="0"/>
        <v>1250183</v>
      </c>
      <c r="H67" s="6">
        <v>910846</v>
      </c>
      <c r="I67" s="6">
        <v>339337</v>
      </c>
      <c r="J67" s="6">
        <v>5992734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 spans="1:27" ht="15" thickBot="1" x14ac:dyDescent="0.3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 spans="1:27" ht="15" thickBot="1" x14ac:dyDescent="0.3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 spans="1:27" ht="15" thickBot="1" x14ac:dyDescent="0.3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 spans="1:27" ht="15" thickBot="1" x14ac:dyDescent="0.3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 spans="1:27" ht="15" thickBot="1" x14ac:dyDescent="0.3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 spans="1:27" ht="15" thickBot="1" x14ac:dyDescent="0.3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 spans="1:27" ht="15" thickBot="1" x14ac:dyDescent="0.3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 spans="1:27" ht="15" thickBot="1" x14ac:dyDescent="0.3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 spans="1:27" ht="15" thickBot="1" x14ac:dyDescent="0.3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 spans="1:27" ht="15" thickBot="1" x14ac:dyDescent="0.3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 spans="1:27" ht="15" thickBot="1" x14ac:dyDescent="0.3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 spans="1:27" ht="15" thickBot="1" x14ac:dyDescent="0.3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 spans="1:27" ht="15" thickBot="1" x14ac:dyDescent="0.3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 spans="1:27" ht="15" thickBot="1" x14ac:dyDescent="0.3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 spans="1:27" ht="15" thickBot="1" x14ac:dyDescent="0.35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 spans="1:27" ht="15" thickBot="1" x14ac:dyDescent="0.35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 spans="1:27" ht="15" thickBot="1" x14ac:dyDescent="0.35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 spans="1:27" ht="15" thickBot="1" x14ac:dyDescent="0.35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 spans="1:27" ht="15" thickBot="1" x14ac:dyDescent="0.35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 spans="1:27" ht="15" thickBot="1" x14ac:dyDescent="0.35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 spans="1:27" ht="15" thickBot="1" x14ac:dyDescent="0.35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 spans="1:27" ht="15" thickBot="1" x14ac:dyDescent="0.35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 spans="1:27" ht="15" thickBot="1" x14ac:dyDescent="0.35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 spans="1:27" ht="15" thickBot="1" x14ac:dyDescent="0.35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 spans="1:27" ht="15" thickBot="1" x14ac:dyDescent="0.35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 spans="1:27" ht="15" thickBot="1" x14ac:dyDescent="0.35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 spans="1:27" ht="15" thickBot="1" x14ac:dyDescent="0.35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 spans="1:27" ht="15" thickBot="1" x14ac:dyDescent="0.35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 spans="1:27" ht="15" thickBot="1" x14ac:dyDescent="0.35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 spans="1:27" ht="15" thickBot="1" x14ac:dyDescent="0.35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 spans="1:27" ht="15" thickBot="1" x14ac:dyDescent="0.35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 spans="1:27" ht="15" thickBot="1" x14ac:dyDescent="0.35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 spans="1:27" ht="15" thickBot="1" x14ac:dyDescent="0.35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 spans="1:27" ht="15" thickBot="1" x14ac:dyDescent="0.35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 spans="1:27" ht="15" thickBot="1" x14ac:dyDescent="0.35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 spans="1:27" ht="15" thickBot="1" x14ac:dyDescent="0.35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 spans="1:27" ht="15" thickBot="1" x14ac:dyDescent="0.35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 spans="1:27" ht="15" thickBot="1" x14ac:dyDescent="0.35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 spans="1:27" ht="15" thickBot="1" x14ac:dyDescent="0.35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 spans="1:27" ht="15" thickBot="1" x14ac:dyDescent="0.35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 spans="1:27" ht="15" thickBot="1" x14ac:dyDescent="0.35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 spans="1:27" ht="15" thickBot="1" x14ac:dyDescent="0.35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 spans="1:27" ht="15" thickBot="1" x14ac:dyDescent="0.35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 spans="1:27" ht="15" thickBot="1" x14ac:dyDescent="0.35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 spans="1:27" ht="15" thickBot="1" x14ac:dyDescent="0.35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 spans="1:27" ht="15" thickBot="1" x14ac:dyDescent="0.35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 spans="1:27" ht="15" thickBot="1" x14ac:dyDescent="0.35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 spans="1:27" ht="15" thickBot="1" x14ac:dyDescent="0.35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 spans="1:27" ht="15" thickBot="1" x14ac:dyDescent="0.35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 spans="1:27" ht="15" thickBot="1" x14ac:dyDescent="0.35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 spans="1:27" ht="15" thickBot="1" x14ac:dyDescent="0.35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 spans="1:27" ht="15" thickBo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 spans="1:27" ht="15" thickBo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 spans="1:27" ht="15" thickBo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 spans="1:27" ht="15" thickBo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 spans="1:27" ht="15" thickBo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 spans="1:27" ht="15" thickBo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 spans="1:27" ht="15" thickBo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 spans="1:27" ht="15" thickBo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 spans="1:27" ht="15" thickBo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 spans="1:27" ht="15" thickBo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 spans="1:27" ht="15" thickBo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 spans="1:27" ht="15" thickBo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 spans="1:27" ht="15" thickBo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 spans="1:27" ht="15" thickBo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 spans="1:27" ht="15" thickBo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 spans="1:27" ht="15" thickBo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 spans="1:27" ht="15" thickBo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 spans="1:27" ht="15" thickBo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 spans="1:27" ht="15" thickBo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 spans="1:27" ht="15" thickBo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 spans="1:27" ht="15" thickBo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 spans="1:27" ht="15" thickBo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 spans="1:27" ht="15" thickBo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 spans="1:27" ht="15" thickBo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 spans="1:27" ht="15" thickBo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 spans="1:27" ht="15" thickBo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 spans="1:27" ht="15" thickBo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 spans="1:27" ht="15" thickBo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 spans="1:27" ht="15" thickBo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 spans="1:27" ht="15" thickBo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 spans="1:27" ht="15" thickBo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 spans="1:27" ht="15" thickBo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 spans="1:27" ht="15" thickBo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 spans="1:27" ht="15" thickBo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 spans="1:27" ht="15" thickBo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 spans="1:27" ht="15" thickBo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 spans="1:27" ht="15" thickBo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 spans="1:27" ht="15" thickBo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 spans="1:27" ht="15" thickBo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 spans="1:27" ht="15" thickBo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 spans="1:27" ht="15" thickBo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 spans="1:27" ht="15" thickBo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 spans="1:27" ht="15" thickBo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 spans="1:27" ht="15" thickBo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 spans="1:27" ht="15" thickBo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 spans="1:27" ht="15" thickBo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 spans="1:27" ht="15" thickBo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 spans="1:27" ht="15" thickBo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 spans="1:27" ht="15" thickBo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 spans="1:27" ht="15" thickBo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 spans="1:27" ht="15" thickBo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 spans="1:27" ht="15" thickBo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 spans="1:27" ht="15" thickBo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 spans="1:27" ht="15" thickBo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 spans="1:27" ht="15" thickBo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 spans="1:27" ht="15" thickBo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 spans="1:27" ht="15" thickBo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 spans="1:27" ht="15" thickBo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 spans="1:27" ht="15" thickBo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 spans="1:27" ht="15" thickBo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 spans="1:27" ht="15" thickBo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 spans="1:27" ht="15" thickBo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 spans="1:27" ht="15" thickBo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 spans="1:27" ht="15" thickBo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 spans="1:27" ht="15" thickBo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 spans="1:27" ht="15" thickBo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 spans="1:27" ht="15" thickBo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 spans="1:27" ht="15" thickBo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 spans="1:27" ht="15" thickBo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 spans="1:27" ht="15" thickBo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 spans="1:27" ht="15" thickBo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 spans="1:27" ht="15" thickBo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 spans="1:27" ht="15" thickBo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 spans="1:27" ht="15" thickBo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 spans="1:27" ht="15" thickBo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 spans="1:27" ht="15" thickBo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 spans="1:27" ht="15" thickBo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 spans="1:27" ht="15" thickBo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 spans="1:27" ht="15" thickBo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 spans="1:27" ht="15" thickBo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 spans="1:27" ht="15" thickBo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 spans="1:27" ht="15" thickBo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 spans="1:27" ht="15" thickBo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 spans="1:27" ht="15" thickBo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 spans="1:27" ht="15" thickBo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 spans="1:27" ht="15" thickBo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 spans="1:27" ht="15" thickBo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 spans="1:27" ht="15" thickBo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 spans="1:27" ht="15" thickBo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 spans="1:27" ht="15" thickBo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 spans="1:27" ht="15" thickBo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 spans="1:27" ht="15" thickBo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 spans="1:27" ht="15" thickBo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 spans="1:27" ht="15" thickBo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 spans="1:27" ht="15" thickBo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 spans="1:27" ht="15" thickBo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 spans="1:27" ht="15" thickBo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 spans="1:27" ht="15" thickBo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 spans="1:27" ht="15" thickBo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 spans="1:27" ht="15" thickBo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 spans="1:27" ht="15" thickBo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 spans="1:27" ht="15" thickBo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 spans="1:27" ht="15" thickBo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 spans="1:27" ht="15" thickBo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 spans="1:27" ht="15" thickBo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 spans="1:27" ht="15" thickBo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 spans="1:27" ht="15" thickBo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 spans="1:27" ht="15" thickBo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 spans="1:27" ht="15" thickBo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 spans="1:27" ht="15" thickBo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 spans="1:27" ht="15" thickBo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 spans="1:27" ht="15" thickBo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 spans="1:27" ht="15" thickBo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 spans="1:27" ht="15" thickBo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 spans="1:27" ht="15" thickBo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 spans="1:27" ht="15" thickBo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 spans="1:27" ht="15" thickBo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 spans="1:27" ht="15" thickBo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 spans="1:27" ht="15" thickBo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 spans="1:27" ht="15" thickBo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 spans="1:27" ht="15" thickBo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 spans="1:27" ht="15" thickBo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 spans="1:27" ht="15" thickBo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 spans="1:27" ht="15" thickBo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 spans="1:27" ht="15" thickBo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 spans="1:27" ht="15" thickBo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 spans="1:27" ht="15" thickBo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 spans="1:27" ht="15" thickBo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 spans="1:27" ht="15" thickBo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 spans="1:27" ht="15" thickBo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 spans="1:27" ht="15" thickBo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 spans="1:27" ht="15" thickBo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 spans="1:27" ht="15" thickBo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 spans="1:27" ht="15" thickBo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 spans="1:27" ht="15" thickBo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 spans="1:27" ht="15" thickBo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 spans="1:27" ht="15" thickBo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 spans="1:27" ht="15" thickBo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 spans="1:27" ht="15" thickBo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 spans="1:27" ht="15" thickBo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 spans="1:27" ht="15" thickBo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 spans="1:27" ht="15" thickBo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 spans="1:27" ht="15" thickBo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 spans="1:27" ht="15" thickBo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 spans="1:27" ht="15" thickBo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 spans="1:27" ht="15" thickBo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 spans="1:27" ht="15" thickBo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 spans="1:27" ht="15" thickBo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 spans="1:27" ht="15" thickBo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 spans="1:27" ht="15" thickBo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 spans="1:27" ht="15" thickBo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 spans="1:27" ht="15" thickBo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 spans="1:27" ht="15" thickBo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 spans="1:27" ht="15" thickBo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 spans="1:27" ht="15" thickBo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 spans="1:27" ht="15" thickBo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 spans="1:27" ht="15" thickBo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 spans="1:27" ht="15" thickBo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 spans="1:27" ht="15" thickBo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 spans="1:27" ht="15" thickBo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 spans="1:27" ht="15" thickBo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 spans="1:27" ht="15" thickBo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 spans="1:27" ht="15" thickBo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 spans="1:27" ht="15" thickBo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 spans="1:27" ht="15" thickBo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 spans="1:27" ht="15" thickBo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 spans="1:27" ht="15" thickBo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 spans="1:27" ht="15" thickBo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 spans="1:27" ht="15" thickBo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 spans="1:27" ht="15" thickBo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 spans="1:27" ht="15" thickBo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 spans="1:27" ht="15" thickBo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 spans="1:27" ht="15" thickBo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 spans="1:27" ht="15" thickBo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 spans="1:27" ht="15" thickBo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 spans="1:27" ht="15" thickBo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 spans="1:27" ht="15" thickBo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 spans="1:27" ht="15" thickBo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 spans="1:27" ht="15" thickBo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 spans="1:27" ht="15" thickBo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 spans="1:27" ht="15" thickBo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 spans="1:27" ht="15" thickBo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 spans="1:27" ht="15" thickBo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 spans="1:27" ht="15" thickBo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 spans="1:27" ht="15" thickBo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 spans="1:27" ht="15" thickBo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 spans="1:27" ht="15" thickBo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 spans="1:27" ht="15" thickBo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 spans="1:27" ht="15" thickBo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 spans="1:27" ht="15" thickBo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 spans="1:27" ht="15" thickBo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 spans="1:27" ht="15" thickBo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 spans="1:27" ht="15" thickBo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 spans="1:27" ht="15" thickBo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 spans="1:27" ht="15" thickBo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 spans="1:27" ht="15" thickBo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 spans="1:27" ht="15" thickBo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 spans="1:27" ht="15" thickBo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 spans="1:27" ht="15" thickBo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 spans="1:27" ht="15" thickBo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 spans="1:27" ht="15" thickBo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 spans="1:27" ht="15" thickBo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 spans="1:27" ht="15" thickBo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 spans="1:27" ht="15" thickBo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 spans="1:27" ht="15" thickBo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 spans="1:27" ht="15" thickBo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 spans="1:27" ht="15" thickBo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 spans="1:27" ht="15" thickBo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 spans="1:27" ht="15" thickBo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 spans="1:27" ht="15" thickBo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 spans="1:27" ht="15" thickBo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 spans="1:27" ht="15" thickBo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 spans="1:27" ht="15" thickBo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 spans="1:27" ht="15" thickBo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 spans="1:27" ht="15" thickBo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 spans="1:27" ht="15" thickBo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 spans="1:27" ht="15" thickBo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 spans="1:27" ht="15" thickBo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 spans="1:27" ht="15" thickBo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 spans="1:27" ht="15" thickBo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 spans="1:27" ht="15" thickBo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 spans="1:27" ht="15" thickBo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 spans="1:27" ht="15" thickBo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 spans="1:27" ht="15" thickBo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 spans="1:27" ht="15" thickBo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 spans="1:27" ht="15" thickBo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 spans="1:27" ht="15" thickBo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 spans="1:27" ht="15" thickBo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 spans="1:27" ht="15" thickBo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 spans="1:27" ht="15" thickBo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 spans="1:27" ht="15" thickBo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 spans="1:27" ht="15" thickBo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 spans="1:27" ht="15" thickBo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 spans="1:27" ht="15" thickBo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 spans="1:27" ht="15" thickBo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 spans="1:27" ht="15" thickBo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 spans="1:27" ht="15" thickBo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 spans="1:27" ht="15" thickBo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 spans="1:27" ht="15" thickBo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 spans="1:27" ht="15" thickBo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 spans="1:27" ht="15" thickBo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 spans="1:27" ht="15" thickBo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 spans="1:27" ht="15" thickBo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 spans="1:27" ht="15" thickBo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 spans="1:27" ht="15" thickBo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 spans="1:27" ht="15" thickBo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 spans="1:27" ht="15" thickBo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 spans="1:27" ht="15" thickBo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 spans="1:27" ht="15" thickBo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 spans="1:27" ht="15" thickBo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 spans="1:27" ht="15" thickBo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 spans="1:27" ht="15" thickBo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 spans="1:27" ht="15" thickBo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 spans="1:27" ht="15" thickBo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 spans="1:27" ht="15" thickBo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 spans="1:27" ht="15" thickBo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 spans="1:27" ht="15" thickBo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 spans="1:27" ht="15" thickBo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 spans="1:27" ht="15" thickBo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 spans="1:27" ht="15" thickBo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 spans="1:27" ht="15" thickBo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 spans="1:27" ht="15" thickBo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 spans="1:27" ht="15" thickBo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 spans="1:27" ht="15" thickBo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 spans="1:27" ht="15" thickBo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 spans="1:27" ht="15" thickBo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 spans="1:27" ht="15" thickBo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 spans="1:27" ht="15" thickBo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 spans="1:27" ht="15" thickBo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 spans="1:27" ht="15" thickBo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 spans="1:27" ht="15" thickBo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 spans="1:27" ht="15" thickBo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 spans="1:27" ht="15" thickBo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 spans="1:27" ht="15" thickBo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 spans="1:27" ht="15" thickBo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 spans="1:27" ht="15" thickBo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 spans="1:27" ht="15" thickBo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 spans="1:27" ht="15" thickBo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 spans="1:27" ht="15" thickBo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 spans="1:27" ht="15" thickBo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 spans="1:27" ht="15" thickBo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 spans="1:27" ht="15" thickBo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 spans="1:27" ht="15" thickBo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 spans="1:27" ht="15" thickBo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 spans="1:27" ht="15" thickBo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 spans="1:27" ht="15" thickBo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 spans="1:27" ht="15" thickBo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 spans="1:27" ht="15" thickBo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 spans="1:27" ht="15" thickBo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 spans="1:27" ht="15" thickBo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 spans="1:27" ht="15" thickBo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 spans="1:27" ht="15" thickBo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 spans="1:27" ht="15" thickBo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 spans="1:27" ht="15" thickBo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 spans="1:27" ht="15" thickBo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 spans="1:27" ht="15" thickBo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 spans="1:27" ht="15" thickBo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 spans="1:27" ht="15" thickBo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 spans="1:27" ht="15" thickBo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 spans="1:27" ht="15" thickBo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 spans="1:27" ht="15" thickBo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 spans="1:27" ht="15" thickBo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 spans="1:27" ht="15" thickBo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 spans="1:27" ht="15" thickBo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 spans="1:27" ht="15" thickBo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 spans="1:27" ht="15" thickBo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 spans="1:27" ht="15" thickBo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 spans="1:27" ht="15" thickBo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 spans="1:27" ht="15" thickBo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 spans="1:27" ht="15" thickBo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 spans="1:27" ht="15" thickBo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 spans="1:27" ht="15" thickBo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 spans="1:27" ht="15" thickBo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 spans="1:27" ht="15" thickBo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 spans="1:27" ht="15" thickBo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 spans="1:27" ht="15" thickBo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 spans="1:27" ht="15" thickBo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 spans="1:27" ht="15" thickBo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 spans="1:27" ht="15" thickBo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 spans="1:27" ht="15" thickBo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 spans="1:27" ht="15" thickBo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 spans="1:27" ht="15" thickBo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 spans="1:27" ht="15" thickBo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 spans="1:27" ht="15" thickBo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 spans="1:27" ht="15" thickBo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 spans="1:27" ht="15" thickBo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 spans="1:27" ht="15" thickBo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 spans="1:27" ht="15" thickBo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 spans="1:27" ht="15" thickBo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 spans="1:27" ht="15" thickBo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 spans="1:27" ht="15" thickBo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 spans="1:27" ht="15" thickBo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 spans="1:27" ht="15" thickBo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 spans="1:27" ht="15" thickBo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 spans="1:27" ht="15" thickBo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 spans="1:27" ht="15" thickBo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 spans="1:27" ht="15" thickBo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 spans="1:27" ht="15" thickBo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 spans="1:27" ht="15" thickBo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 spans="1:27" ht="15" thickBo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 spans="1:27" ht="15" thickBo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 spans="1:27" ht="15" thickBo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 spans="1:27" ht="15" thickBo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 spans="1:27" ht="15" thickBo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 spans="1:27" ht="15" thickBo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 spans="1:27" ht="15" thickBo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 spans="1:27" ht="15" thickBo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 spans="1:27" ht="15" thickBo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 spans="1:27" ht="15" thickBo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 spans="1:27" ht="15" thickBo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 spans="1:27" ht="15" thickBo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 spans="1:27" ht="15" thickBo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 spans="1:27" ht="15" thickBo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 spans="1:27" ht="15" thickBo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 spans="1:27" ht="15" thickBo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 spans="1:27" ht="15" thickBo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 spans="1:27" ht="15" thickBo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 spans="1:27" ht="15" thickBo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 spans="1:27" ht="15" thickBo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 spans="1:27" ht="15" thickBo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 spans="1:27" ht="15" thickBo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 spans="1:27" ht="15" thickBo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 spans="1:27" ht="15" thickBo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 spans="1:27" ht="15" thickBo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 spans="1:27" ht="15" thickBo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 spans="1:27" ht="15" thickBo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 spans="1:27" ht="15" thickBo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 spans="1:27" ht="15" thickBo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 spans="1:27" ht="15" thickBo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 spans="1:27" ht="15" thickBo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 spans="1:27" ht="15" thickBo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 spans="1:27" ht="15" thickBo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 spans="1:27" ht="15" thickBo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 spans="1:27" ht="15" thickBo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 spans="1:27" ht="15" thickBo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 spans="1:27" ht="15" thickBo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 spans="1:27" ht="15" thickBo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 spans="1:27" ht="15" thickBo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 spans="1:27" ht="15" thickBo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 spans="1:27" ht="15" thickBo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 spans="1:27" ht="15" thickBo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 spans="1:27" ht="15" thickBo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 spans="1:27" ht="15" thickBo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 spans="1:27" ht="15" thickBo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 spans="1:27" ht="15" thickBo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 spans="1:27" ht="15" thickBo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 spans="1:27" ht="15" thickBo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 spans="1:27" ht="15" thickBo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 spans="1:27" ht="15" thickBo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 spans="1:27" ht="15" thickBo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 spans="1:27" ht="15" thickBo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 spans="1:27" ht="15" thickBo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 spans="1:27" ht="15" thickBo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 spans="1:27" ht="15" thickBo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 spans="1:27" ht="15" thickBo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 spans="1:27" ht="15" thickBo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 spans="1:27" ht="15" thickBo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 spans="1:27" ht="15" thickBo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 spans="1:27" ht="15" thickBo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 spans="1:27" ht="15" thickBo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 spans="1:27" ht="15" thickBo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 spans="1:27" ht="15" thickBo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 spans="1:27" ht="15" thickBo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 spans="1:27" ht="15" thickBo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 spans="1:27" ht="15" thickBo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 spans="1:27" ht="15" thickBo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 spans="1:27" ht="15" thickBo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 spans="1:27" ht="15" thickBo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 spans="1:27" ht="15" thickBo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 spans="1:27" ht="15" thickBo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 spans="1:27" ht="15" thickBo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 spans="1:27" ht="15" thickBo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 spans="1:27" ht="15" thickBo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 spans="1:27" ht="15" thickBo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 spans="1:27" ht="15" thickBo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 spans="1:27" ht="15" thickBo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 spans="1:27" ht="15" thickBo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 spans="1:27" ht="15" thickBo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 spans="1:27" ht="15" thickBo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 spans="1:27" ht="15" thickBo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 spans="1:27" ht="15" thickBo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 spans="1:27" ht="15" thickBo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 spans="1:27" ht="15" thickBo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 spans="1:27" ht="15" thickBo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 spans="1:27" ht="15" thickBo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 spans="1:27" ht="15" thickBo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 spans="1:27" ht="15" thickBo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 spans="1:27" ht="15" thickBo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 spans="1:27" ht="15" thickBo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 spans="1:27" ht="15" thickBo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 spans="1:27" ht="15" thickBo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 spans="1:27" ht="15" thickBo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 spans="1:27" ht="15" thickBo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 spans="1:27" ht="15" thickBo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 spans="1:27" ht="15" thickBo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 spans="1:27" ht="15" thickBo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 spans="1:27" ht="15" thickBo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 spans="1:27" ht="15" thickBo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 spans="1:27" ht="15" thickBo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 spans="1:27" ht="15" thickBo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 spans="1:27" ht="15" thickBo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 spans="1:27" ht="15" thickBo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 spans="1:27" ht="15" thickBo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 spans="1:27" ht="15" thickBo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 spans="1:27" ht="15" thickBo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 spans="1:27" ht="15" thickBo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 spans="1:27" ht="15" thickBo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 spans="1:27" ht="15" thickBo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 spans="1:27" ht="15" thickBo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 spans="1:27" ht="15" thickBo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 spans="1:27" ht="15" thickBo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 spans="1:27" ht="15" thickBo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 spans="1:27" ht="15" thickBo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 spans="1:27" ht="15" thickBo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 spans="1:27" ht="15" thickBo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 spans="1:27" ht="15" thickBo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 spans="1:27" ht="15" thickBo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 spans="1:27" ht="15" thickBo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 spans="1:27" ht="15" thickBo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 spans="1:27" ht="15" thickBo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 spans="1:27" ht="15" thickBo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 spans="1:27" ht="15" thickBo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 spans="1:27" ht="15" thickBo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 spans="1:27" ht="15" thickBo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 spans="1:27" ht="15" thickBo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 spans="1:27" ht="15" thickBo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 spans="1:27" ht="15" thickBo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 spans="1:27" ht="15" thickBo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 spans="1:27" ht="15" thickBo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 spans="1:27" ht="15" thickBo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 spans="1:27" ht="15" thickBo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 spans="1:27" ht="15" thickBo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 spans="1:27" ht="15" thickBo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 spans="1:27" ht="15" thickBo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 spans="1:27" ht="15" thickBo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 spans="1:27" ht="15" thickBo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 spans="1:27" ht="15" thickBo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 spans="1:27" ht="15" thickBo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 spans="1:27" ht="15" thickBo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 spans="1:27" ht="15" thickBo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 spans="1:27" ht="15" thickBo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 spans="1:27" ht="15" thickBo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 spans="1:27" ht="15" thickBo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 spans="1:27" ht="15" thickBo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 spans="1:27" ht="15" thickBo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 spans="1:27" ht="15" thickBo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 spans="1:27" ht="15" thickBo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 spans="1:27" ht="15" thickBo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 spans="1:27" ht="15" thickBo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 spans="1:27" ht="15" thickBo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 spans="1:27" ht="15" thickBo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 spans="1:27" ht="15" thickBo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 spans="1:27" ht="15" thickBo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 spans="1:27" ht="15" thickBo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 spans="1:27" ht="15" thickBo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 spans="1:27" ht="15" thickBo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 spans="1:27" ht="15" thickBo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 spans="1:27" ht="15" thickBo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 spans="1:27" ht="15" thickBo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 spans="1:27" ht="15" thickBo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 spans="1:27" ht="15" thickBo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 spans="1:27" ht="15" thickBo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 spans="1:27" ht="15" thickBo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 spans="1:27" ht="15" thickBo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 spans="1:27" ht="15" thickBo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 spans="1:27" ht="15" thickBo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 spans="1:27" ht="15" thickBo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 spans="1:27" ht="15" thickBo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 spans="1:27" ht="15" thickBo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 spans="1:27" ht="15" thickBo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 spans="1:27" ht="15" thickBo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 spans="1:27" ht="15" thickBo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 spans="1:27" ht="15" thickBo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 spans="1:27" ht="15" thickBo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 spans="1:27" ht="15" thickBo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 spans="1:27" ht="15" thickBo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 spans="1:27" ht="15" thickBo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 spans="1:27" ht="15" thickBo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 spans="1:27" ht="15" thickBo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 spans="1:27" ht="15" thickBo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 spans="1:27" ht="15" thickBo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 spans="1:27" ht="15" thickBo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 spans="1:27" ht="15" thickBo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 spans="1:27" ht="15" thickBo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 spans="1:27" ht="15" thickBo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 spans="1:27" ht="15" thickBo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 spans="1:27" ht="15" thickBo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 spans="1:27" ht="15" thickBo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 spans="1:27" ht="15" thickBo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 spans="1:27" ht="15" thickBo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 spans="1:27" ht="15" thickBo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 spans="1:27" ht="15" thickBo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 spans="1:27" ht="15" thickBo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 spans="1:27" ht="15" thickBo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 spans="1:27" ht="15" thickBo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 spans="1:27" ht="15" thickBo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 spans="1:27" ht="15" thickBo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 spans="1:27" ht="15" thickBo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 spans="1:27" ht="15" thickBo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 spans="1:27" ht="15" thickBo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 spans="1:27" ht="15" thickBo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 spans="1:27" ht="15" thickBo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 spans="1:27" ht="15" thickBo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 spans="1:27" ht="15" thickBo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 spans="1:27" ht="15" thickBo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 spans="1:27" ht="15" thickBo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 spans="1:27" ht="15" thickBo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 spans="1:27" ht="15" thickBo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 spans="1:27" ht="15" thickBo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 spans="1:27" ht="15" thickBo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 spans="1:27" ht="15" thickBo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 spans="1:27" ht="15" thickBo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 spans="1:27" ht="15" thickBo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 spans="1:27" ht="15" thickBo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 spans="1:27" ht="15" thickBo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 spans="1:27" ht="15" thickBo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 spans="1:27" ht="15" thickBo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 spans="1:27" ht="15" thickBo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 spans="1:27" ht="15" thickBo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 spans="1:27" ht="15" thickBo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 spans="1:27" ht="15" thickBo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 spans="1:27" ht="15" thickBo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 spans="1:27" ht="15" thickBo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 spans="1:27" ht="15" thickBo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 spans="1:27" ht="15" thickBo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 spans="1:27" ht="15" thickBo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 spans="1:27" ht="15" thickBo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 spans="1:27" ht="15" thickBo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 spans="1:27" ht="15" thickBo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 spans="1:27" ht="15" thickBo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 spans="1:27" ht="15" thickBo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 spans="1:27" ht="15" thickBo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 spans="1:27" ht="15" thickBo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 spans="1:27" ht="15" thickBo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 spans="1:27" ht="15" thickBo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 spans="1:27" ht="15" thickBo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 spans="1:27" ht="15" thickBo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 spans="1:27" ht="15" thickBo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 spans="1:27" ht="15" thickBo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 spans="1:27" ht="15" thickBo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 spans="1:27" ht="15" thickBo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 spans="1:27" ht="15" thickBo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 spans="1:27" ht="15" thickBo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 spans="1:27" ht="15" thickBo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 spans="1:27" ht="15" thickBo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 spans="1:27" ht="15" thickBo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 spans="1:27" ht="15" thickBo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 spans="1:27" ht="15" thickBo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 spans="1:27" ht="15" thickBo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 spans="1:27" ht="15" thickBo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 spans="1:27" ht="15" thickBo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 spans="1:27" ht="15" thickBo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 spans="1:27" ht="15" thickBo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 spans="1:27" ht="15" thickBo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 spans="1:27" ht="15" thickBo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 spans="1:27" ht="15" thickBo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 spans="1:27" ht="15" thickBo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 spans="1:27" ht="15" thickBo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 spans="1:27" ht="15" thickBo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 spans="1:27" ht="15" thickBo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 spans="1:27" ht="15" thickBo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 spans="1:27" ht="15" thickBo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 spans="1:27" ht="15" thickBo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 spans="1:27" ht="15" thickBo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 spans="1:27" ht="15" thickBo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 spans="1:27" ht="15" thickBo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 spans="1:27" ht="15" thickBo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 spans="1:27" ht="15" thickBo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 spans="1:27" ht="15" thickBo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 spans="1:27" ht="15" thickBo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 spans="1:27" ht="15" thickBo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 spans="1:27" ht="15" thickBo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 spans="1:27" ht="15" thickBo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 spans="1:27" ht="15" thickBo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 spans="1:27" ht="15" thickBo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 spans="1:27" ht="15" thickBo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 spans="1:27" ht="15" thickBo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 spans="1:27" ht="15" thickBo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 spans="1:27" ht="15" thickBo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 spans="1:27" ht="15" thickBo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 spans="1:27" ht="15" thickBo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 spans="1:27" ht="15" thickBo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 spans="1:27" ht="15" thickBo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 spans="1:27" ht="15" thickBo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 spans="1:27" ht="15" thickBo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 spans="1:27" ht="15" thickBo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 spans="1:27" ht="15" thickBo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 spans="1:27" ht="15" thickBo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 spans="1:27" ht="15" thickBo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 spans="1:27" ht="15" thickBo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 spans="1:27" ht="15" thickBo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 spans="1:27" ht="15" thickBo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 spans="1:27" ht="15" thickBo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 spans="1:27" ht="15" thickBo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 spans="1:27" ht="15" thickBo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 spans="1:27" ht="15" thickBo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 spans="1:27" ht="15" thickBo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 spans="1:27" ht="15" thickBo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 spans="1:27" ht="15" thickBo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 spans="1:27" ht="15" thickBo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 spans="1:27" ht="15" thickBo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 spans="1:27" ht="15" thickBo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 spans="1:27" ht="15" thickBo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 spans="1:27" ht="15" thickBo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 spans="1:27" ht="15" thickBo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 spans="1:27" ht="15" thickBo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 spans="1:27" ht="15" thickBo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 spans="1:27" ht="15" thickBo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 spans="1:27" ht="15" thickBo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 spans="1:27" ht="15" thickBo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 spans="1:27" ht="15" thickBo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 spans="1:27" ht="15" thickBo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 spans="1:27" ht="15" thickBo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 spans="1:27" ht="15" thickBo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 spans="1:27" ht="15" thickBo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 spans="1:27" ht="15" thickBo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 spans="1:27" ht="15" thickBo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 spans="1:27" ht="15" thickBo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 spans="1:27" ht="15" thickBo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 spans="1:27" ht="15" thickBo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 spans="1:27" ht="15" thickBo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 spans="1:27" ht="15" thickBo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 spans="1:27" ht="15" thickBo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 spans="1:27" ht="15" thickBo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 spans="1:27" ht="15" thickBo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 spans="1:27" ht="15" thickBo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 spans="1:27" ht="15" thickBo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 spans="1:27" ht="15" thickBo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 spans="1:27" ht="15" thickBo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 spans="1:27" ht="15" thickBo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 spans="1:27" ht="15" thickBo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 spans="1:27" ht="15" thickBo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 spans="1:27" ht="15" thickBo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 spans="1:27" ht="15" thickBo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 spans="1:27" ht="15" thickBo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 spans="1:27" ht="15" thickBo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 spans="1:27" ht="15" thickBo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 spans="1:27" ht="15" thickBo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 spans="1:27" ht="15" thickBo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 spans="1:27" ht="15" thickBo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 spans="1:27" ht="15" thickBo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 spans="1:27" ht="15" thickBo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 spans="1:27" ht="15" thickBo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 spans="1:27" ht="15" thickBo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 spans="1:27" ht="15" thickBo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 spans="1:27" ht="15" thickBo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 spans="1:27" ht="15" thickBo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 spans="1:27" ht="15" thickBo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 spans="1:27" ht="15" thickBo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 spans="1:27" ht="15" thickBo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 spans="1:27" ht="15" thickBo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 spans="1:27" ht="15" thickBo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 spans="1:27" ht="15" thickBo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 spans="1:27" ht="15" thickBo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 spans="1:27" ht="15" thickBo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 spans="1:27" ht="15" thickBo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 spans="1:27" ht="15" thickBo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 spans="1:27" ht="15" thickBo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 spans="1:27" ht="15" thickBo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 spans="1:27" ht="15" thickBo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 spans="1:27" ht="15" thickBo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 spans="1:27" ht="15" thickBo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 spans="1:27" ht="15" thickBo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 spans="1:27" ht="15" thickBo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 spans="1:27" ht="15" thickBo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 spans="1:27" ht="15" thickBo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 spans="1:27" ht="15" thickBo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 spans="1:27" ht="15" thickBo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 spans="1:27" ht="15" thickBo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 spans="1:27" ht="15" thickBo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 spans="1:27" ht="15" thickBo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 spans="1:27" ht="15" thickBo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 spans="1:27" ht="15" thickBo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 spans="1:27" ht="15" thickBo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 spans="1:27" ht="15" thickBo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 spans="1:27" ht="15" thickBo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 spans="1:27" ht="15" thickBo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 spans="1:27" ht="15" thickBo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 spans="1:27" ht="15" thickBo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 spans="1:27" ht="15" thickBo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 spans="1:27" ht="15" thickBo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 spans="1:27" ht="15" thickBo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 spans="1:27" ht="15" thickBo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 spans="1:27" ht="15" thickBo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 spans="1:27" ht="15" thickBo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 spans="1:27" ht="15" thickBo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 spans="1:27" ht="15" thickBo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 spans="1:27" ht="15" thickBo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 spans="1:27" ht="15" thickBo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 spans="1:27" ht="15" thickBo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 spans="1:27" ht="15" thickBo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 spans="1:27" ht="15" thickBo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 spans="1:27" ht="15" thickBo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 spans="1:27" ht="15" thickBo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 spans="1:27" ht="15" thickBo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 spans="1:27" ht="15" thickBo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 spans="1:27" ht="15" thickBo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 spans="1:27" ht="15" thickBo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 spans="1:27" ht="15" thickBo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 spans="1:27" ht="15" thickBo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 spans="1:27" ht="15" thickBo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 spans="1:27" ht="15" thickBo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 spans="1:27" ht="15" thickBo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 spans="1:27" ht="15" thickBo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 spans="1:27" ht="15" thickBo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 spans="1:27" ht="15" thickBo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 spans="1:27" ht="15" thickBo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 spans="1:27" ht="15" thickBo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 spans="1:27" ht="15" thickBo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  <row r="868" spans="1:27" ht="15" thickBo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</row>
    <row r="869" spans="1:27" ht="15" thickBo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</row>
    <row r="870" spans="1:27" ht="15" thickBo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</row>
    <row r="871" spans="1:27" ht="15" thickBo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</row>
    <row r="872" spans="1:27" ht="15" thickBo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</row>
    <row r="873" spans="1:27" ht="15" thickBo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</row>
    <row r="874" spans="1:27" ht="15" thickBo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</row>
    <row r="875" spans="1:27" ht="15" thickBo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</row>
    <row r="876" spans="1:27" ht="15" thickBo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</row>
    <row r="877" spans="1:27" ht="15" thickBo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</row>
    <row r="878" spans="1:27" ht="15" thickBo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</row>
    <row r="879" spans="1:27" ht="15" thickBo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</row>
    <row r="880" spans="1:27" ht="15" thickBo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</row>
    <row r="881" spans="1:27" ht="15" thickBo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</row>
    <row r="882" spans="1:27" ht="15" thickBo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</row>
    <row r="883" spans="1:27" ht="15" thickBo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</row>
    <row r="884" spans="1:27" ht="15" thickBo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</row>
    <row r="885" spans="1:27" ht="15" thickBo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</row>
    <row r="886" spans="1:27" ht="15" thickBo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</row>
    <row r="887" spans="1:27" ht="15" thickBo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</row>
    <row r="888" spans="1:27" ht="15" thickBo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</row>
    <row r="889" spans="1:27" ht="15" thickBo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</row>
    <row r="890" spans="1:27" ht="15" thickBo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</row>
    <row r="891" spans="1:27" ht="15" thickBo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</row>
    <row r="892" spans="1:27" ht="15" thickBo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</row>
    <row r="893" spans="1:27" ht="15" thickBo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</row>
    <row r="894" spans="1:27" ht="15" thickBo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</row>
    <row r="895" spans="1:27" ht="15" thickBo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</row>
    <row r="896" spans="1:27" ht="15" thickBo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</row>
    <row r="897" spans="1:27" ht="15" thickBo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</row>
    <row r="898" spans="1:27" ht="15" thickBo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</row>
    <row r="899" spans="1:27" ht="15" thickBo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</row>
    <row r="900" spans="1:27" ht="15" thickBo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</row>
    <row r="901" spans="1:27" ht="15" thickBo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</row>
    <row r="902" spans="1:27" ht="15" thickBo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</row>
    <row r="903" spans="1:27" ht="15" thickBo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</row>
    <row r="904" spans="1:27" ht="15" thickBo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</row>
    <row r="905" spans="1:27" ht="15" thickBo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</row>
    <row r="906" spans="1:27" ht="15" thickBo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</row>
    <row r="907" spans="1:27" ht="15" thickBo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</row>
    <row r="908" spans="1:27" ht="15" thickBo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</row>
    <row r="909" spans="1:27" ht="15" thickBo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</row>
    <row r="910" spans="1:27" ht="15" thickBo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</row>
    <row r="911" spans="1:27" ht="15" thickBo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</row>
    <row r="912" spans="1:27" ht="15" thickBo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</row>
    <row r="913" spans="1:27" ht="15" thickBo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</row>
    <row r="914" spans="1:27" ht="15" thickBo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</row>
    <row r="915" spans="1:27" ht="15" thickBo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</row>
    <row r="916" spans="1:27" ht="15" thickBo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</row>
    <row r="917" spans="1:27" ht="15" thickBo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</row>
    <row r="918" spans="1:27" ht="15" thickBo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</row>
    <row r="919" spans="1:27" ht="15" thickBo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</row>
    <row r="920" spans="1:27" ht="15" thickBo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</row>
    <row r="921" spans="1:27" ht="15" thickBo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</row>
    <row r="922" spans="1:27" ht="15" thickBo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</row>
    <row r="923" spans="1:27" ht="15" thickBo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</row>
    <row r="924" spans="1:27" ht="15" thickBo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</row>
    <row r="925" spans="1:27" ht="15" thickBo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</row>
    <row r="926" spans="1:27" ht="15" thickBo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</row>
    <row r="927" spans="1:27" ht="15" thickBo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</row>
    <row r="928" spans="1:27" ht="15" thickBo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</row>
    <row r="929" spans="1:27" ht="15" thickBo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</row>
    <row r="930" spans="1:27" ht="15" thickBo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</row>
    <row r="931" spans="1:27" ht="15" thickBo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</row>
    <row r="932" spans="1:27" ht="15" thickBo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</row>
    <row r="933" spans="1:27" ht="15" thickBo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</row>
    <row r="934" spans="1:27" ht="15" thickBo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</row>
    <row r="935" spans="1:27" ht="15" thickBo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</row>
    <row r="936" spans="1:27" ht="15" thickBo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</row>
    <row r="937" spans="1:27" ht="15" thickBo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</row>
    <row r="938" spans="1:27" ht="15" thickBo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</row>
    <row r="939" spans="1:27" ht="15" thickBo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</row>
    <row r="940" spans="1:27" ht="15" thickBo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</row>
    <row r="941" spans="1:27" ht="15" thickBo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</row>
    <row r="942" spans="1:27" ht="15" thickBo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</row>
    <row r="943" spans="1:27" ht="15" thickBo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</row>
    <row r="944" spans="1:27" ht="15" thickBo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</row>
    <row r="945" spans="1:27" ht="15" thickBo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</row>
    <row r="946" spans="1:27" ht="15" thickBo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</row>
    <row r="947" spans="1:27" ht="15" thickBo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</row>
    <row r="948" spans="1:27" ht="15" thickBo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</row>
    <row r="949" spans="1:27" ht="15" thickBo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</row>
    <row r="950" spans="1:27" ht="15" thickBo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</row>
    <row r="951" spans="1:27" ht="15" thickBo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</row>
    <row r="952" spans="1:27" ht="15" thickBo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</row>
    <row r="953" spans="1:27" ht="15" thickBo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</row>
    <row r="954" spans="1:27" ht="15" thickBo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</row>
    <row r="955" spans="1:27" ht="15" thickBo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</row>
    <row r="956" spans="1:27" ht="15" thickBo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</row>
    <row r="957" spans="1:27" ht="15" thickBo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</row>
    <row r="958" spans="1:27" ht="15" thickBo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</row>
    <row r="959" spans="1:27" ht="15" thickBo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</row>
    <row r="960" spans="1:27" ht="15" thickBo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  <c r="AA960" s="8"/>
    </row>
    <row r="961" spans="1:27" ht="15" thickBo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  <c r="AA961" s="8"/>
    </row>
    <row r="962" spans="1:27" ht="15" thickBo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  <c r="AA962" s="8"/>
    </row>
    <row r="963" spans="1:27" ht="15" thickBo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  <c r="AA963" s="8"/>
    </row>
    <row r="964" spans="1:27" ht="15" thickBo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  <c r="AA964" s="8"/>
    </row>
    <row r="965" spans="1:27" ht="15" thickBo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  <c r="AA965" s="8"/>
    </row>
    <row r="966" spans="1:27" ht="15" thickBo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  <c r="AA966" s="8"/>
    </row>
    <row r="967" spans="1:27" ht="15" thickBo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  <c r="AA967" s="8"/>
    </row>
    <row r="968" spans="1:27" ht="15" thickBo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  <c r="AA968" s="8"/>
    </row>
    <row r="969" spans="1:27" ht="15" thickBo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  <c r="AA969" s="8"/>
    </row>
    <row r="970" spans="1:27" ht="15" thickBo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  <c r="AA970" s="8"/>
    </row>
    <row r="971" spans="1:27" ht="15" thickBo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  <c r="AA971" s="8"/>
    </row>
    <row r="972" spans="1:27" ht="15" thickBo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  <c r="AA972" s="8"/>
    </row>
    <row r="973" spans="1:27" ht="15" thickBo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  <c r="AA973" s="8"/>
    </row>
    <row r="974" spans="1:27" ht="15" thickBo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  <c r="AA974" s="8"/>
    </row>
    <row r="975" spans="1:27" ht="15" thickBo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  <c r="AA975" s="8"/>
    </row>
    <row r="976" spans="1:27" ht="15" thickBo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  <c r="AA976" s="8"/>
    </row>
    <row r="977" spans="1:27" ht="15" thickBo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  <c r="AA977" s="8"/>
    </row>
    <row r="978" spans="1:27" ht="15" thickBo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  <c r="AA978" s="8"/>
    </row>
    <row r="979" spans="1:27" ht="15" thickBo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  <c r="AA979" s="8"/>
    </row>
    <row r="980" spans="1:27" ht="15" thickBo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  <c r="AA980" s="8"/>
    </row>
    <row r="981" spans="1:27" ht="15" thickBo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  <c r="AA981" s="8"/>
    </row>
    <row r="982" spans="1:27" ht="15" thickBo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  <c r="AA982" s="8"/>
    </row>
    <row r="983" spans="1:27" ht="15" thickBo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  <c r="AA983" s="8"/>
    </row>
    <row r="984" spans="1:27" ht="15" thickBo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  <c r="AA984" s="8"/>
    </row>
    <row r="985" spans="1:27" ht="15" thickBo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  <c r="AA985" s="8"/>
    </row>
    <row r="986" spans="1:27" ht="15" thickBo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  <c r="AA986" s="8"/>
    </row>
    <row r="987" spans="1:27" ht="15" thickBo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  <c r="AA987" s="8"/>
    </row>
    <row r="988" spans="1:27" ht="15" thickBo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  <c r="AA988" s="8"/>
    </row>
    <row r="989" spans="1:27" ht="15" thickBo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  <c r="AA989" s="8"/>
    </row>
    <row r="990" spans="1:27" ht="15" thickBo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  <c r="AA990" s="8"/>
    </row>
    <row r="991" spans="1:27" ht="15" thickBo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</row>
    <row r="992" spans="1:27" ht="15" thickBo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  <c r="AA992" s="8"/>
    </row>
    <row r="993" spans="1:27" ht="15" thickBo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  <c r="AA993" s="8"/>
    </row>
    <row r="994" spans="1:27" ht="15" thickBo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  <c r="AA994" s="8"/>
    </row>
    <row r="995" spans="1:27" ht="15" thickBo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  <c r="AA995" s="8"/>
    </row>
    <row r="996" spans="1:27" ht="15" thickBo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  <c r="AA996" s="8"/>
    </row>
    <row r="997" spans="1:27" ht="15" thickBo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  <c r="AA997" s="8"/>
    </row>
    <row r="998" spans="1:27" ht="15" thickBo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  <c r="AA998" s="8"/>
    </row>
    <row r="999" spans="1:27" ht="15" thickBo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  <c r="AA999" s="8"/>
    </row>
    <row r="1000" spans="1:27" ht="15" thickBo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  <c r="AA1000" s="8"/>
    </row>
  </sheetData>
  <mergeCells count="1">
    <mergeCell ref="C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DAE51-73D6-43EB-A8F4-D76CAA48E073}">
  <dimension ref="A1:H118"/>
  <sheetViews>
    <sheetView workbookViewId="0">
      <pane xSplit="2" ySplit="1" topLeftCell="C26" activePane="bottomRight" state="frozen"/>
      <selection pane="topRight" activeCell="C1" sqref="C1"/>
      <selection pane="bottomLeft" activeCell="A2" sqref="A2"/>
      <selection pane="bottomRight" activeCell="J30" sqref="J30"/>
    </sheetView>
  </sheetViews>
  <sheetFormatPr defaultRowHeight="14.4" x14ac:dyDescent="0.3"/>
  <cols>
    <col min="2" max="2" width="17.6640625" customWidth="1"/>
    <col min="3" max="3" width="14.44140625" customWidth="1"/>
    <col min="4" max="4" width="16.109375" customWidth="1"/>
    <col min="5" max="5" width="15" customWidth="1"/>
    <col min="6" max="6" width="15.33203125" customWidth="1"/>
    <col min="7" max="7" width="14.33203125" customWidth="1"/>
    <col min="8" max="8" width="15.44140625" customWidth="1"/>
  </cols>
  <sheetData>
    <row r="1" spans="1:8" ht="15" customHeight="1" thickBot="1" x14ac:dyDescent="0.35">
      <c r="A1" s="14" t="s">
        <v>4</v>
      </c>
      <c r="B1" s="15" t="s">
        <v>5</v>
      </c>
      <c r="C1" s="16" t="s">
        <v>144</v>
      </c>
      <c r="D1" s="16" t="s">
        <v>145</v>
      </c>
      <c r="E1" s="16" t="s">
        <v>146</v>
      </c>
      <c r="F1" s="16" t="s">
        <v>147</v>
      </c>
      <c r="G1" s="16" t="s">
        <v>148</v>
      </c>
      <c r="H1" s="16" t="s">
        <v>177</v>
      </c>
    </row>
    <row r="2" spans="1:8" ht="15" customHeight="1" thickBot="1" x14ac:dyDescent="0.35">
      <c r="A2" s="5" t="s">
        <v>13</v>
      </c>
      <c r="B2" s="6" t="s">
        <v>14</v>
      </c>
      <c r="C2" s="7">
        <v>9.5</v>
      </c>
      <c r="D2" s="7">
        <v>0</v>
      </c>
      <c r="E2" s="7">
        <v>20</v>
      </c>
      <c r="F2" s="7">
        <v>20.399999999999999</v>
      </c>
      <c r="G2" s="7">
        <v>28.4</v>
      </c>
      <c r="H2" s="7">
        <v>33.200000000000003</v>
      </c>
    </row>
    <row r="3" spans="1:8" ht="15" customHeight="1" thickBot="1" x14ac:dyDescent="0.35">
      <c r="A3" s="5" t="s">
        <v>13</v>
      </c>
      <c r="B3" s="6" t="s">
        <v>15</v>
      </c>
      <c r="C3" s="7">
        <v>6.1</v>
      </c>
      <c r="D3" s="7">
        <v>25</v>
      </c>
      <c r="E3" s="7">
        <v>8.3000000000000007</v>
      </c>
      <c r="F3" s="7">
        <v>17.5</v>
      </c>
      <c r="G3" s="7">
        <v>32.700000000000003</v>
      </c>
      <c r="H3" s="7">
        <v>33</v>
      </c>
    </row>
    <row r="4" spans="1:8" ht="15" customHeight="1" thickBot="1" x14ac:dyDescent="0.35">
      <c r="A4" s="5" t="s">
        <v>13</v>
      </c>
      <c r="B4" s="6" t="s">
        <v>16</v>
      </c>
      <c r="C4" s="7">
        <v>12.8</v>
      </c>
      <c r="D4" s="7">
        <v>0</v>
      </c>
      <c r="E4" s="7">
        <v>21.1</v>
      </c>
      <c r="F4" s="7">
        <v>24.5</v>
      </c>
      <c r="G4" s="7">
        <v>27.8</v>
      </c>
      <c r="H4" s="7">
        <v>39.200000000000003</v>
      </c>
    </row>
    <row r="5" spans="1:8" ht="15" customHeight="1" thickBot="1" x14ac:dyDescent="0.35">
      <c r="A5" s="5" t="s">
        <v>13</v>
      </c>
      <c r="B5" s="6" t="s">
        <v>17</v>
      </c>
      <c r="C5" s="7">
        <v>11.4</v>
      </c>
      <c r="D5" s="7">
        <v>0</v>
      </c>
      <c r="E5" s="7">
        <v>10</v>
      </c>
      <c r="F5" s="7">
        <v>22.3</v>
      </c>
      <c r="G5" s="7">
        <v>28.1</v>
      </c>
      <c r="H5" s="7">
        <v>35.4</v>
      </c>
    </row>
    <row r="6" spans="1:8" ht="15" customHeight="1" thickBot="1" x14ac:dyDescent="0.35">
      <c r="A6" s="5" t="s">
        <v>13</v>
      </c>
      <c r="B6" s="6" t="s">
        <v>18</v>
      </c>
      <c r="C6" s="7">
        <v>20</v>
      </c>
      <c r="D6" s="7">
        <v>8.3000000000000007</v>
      </c>
      <c r="E6" s="7">
        <v>38.1</v>
      </c>
      <c r="F6" s="7">
        <v>31.4</v>
      </c>
      <c r="G6" s="7">
        <v>39.200000000000003</v>
      </c>
      <c r="H6" s="7">
        <v>39.799999999999997</v>
      </c>
    </row>
    <row r="7" spans="1:8" ht="15" customHeight="1" thickBot="1" x14ac:dyDescent="0.35">
      <c r="A7" s="5" t="s">
        <v>13</v>
      </c>
      <c r="B7" s="6" t="s">
        <v>19</v>
      </c>
      <c r="C7" s="7">
        <v>20.8</v>
      </c>
      <c r="D7" s="7">
        <v>0</v>
      </c>
      <c r="E7" s="7">
        <v>7.4</v>
      </c>
      <c r="F7" s="7">
        <v>29</v>
      </c>
      <c r="G7" s="7">
        <v>33.700000000000003</v>
      </c>
      <c r="H7" s="7">
        <v>45.7</v>
      </c>
    </row>
    <row r="8" spans="1:8" ht="15" customHeight="1" thickBot="1" x14ac:dyDescent="0.35">
      <c r="A8" s="5" t="s">
        <v>13</v>
      </c>
      <c r="B8" s="6" t="s">
        <v>20</v>
      </c>
      <c r="C8" s="7">
        <v>20.9</v>
      </c>
      <c r="D8" s="7">
        <v>6.2</v>
      </c>
      <c r="E8" s="7">
        <v>42.9</v>
      </c>
      <c r="F8" s="7">
        <v>34</v>
      </c>
      <c r="G8" s="7">
        <v>39.299999999999997</v>
      </c>
      <c r="H8" s="7">
        <v>42.3</v>
      </c>
    </row>
    <row r="9" spans="1:8" ht="15" customHeight="1" thickBot="1" x14ac:dyDescent="0.35">
      <c r="A9" s="5" t="s">
        <v>13</v>
      </c>
      <c r="B9" s="6" t="s">
        <v>21</v>
      </c>
      <c r="C9" s="7">
        <v>17.8</v>
      </c>
      <c r="D9" s="7">
        <v>7.1</v>
      </c>
      <c r="E9" s="7">
        <v>42.1</v>
      </c>
      <c r="F9" s="7">
        <v>39.200000000000003</v>
      </c>
      <c r="G9" s="7">
        <v>42</v>
      </c>
      <c r="H9" s="7">
        <v>44</v>
      </c>
    </row>
    <row r="10" spans="1:8" ht="15" customHeight="1" thickBot="1" x14ac:dyDescent="0.35">
      <c r="A10" s="5" t="s">
        <v>13</v>
      </c>
      <c r="B10" s="6" t="s">
        <v>22</v>
      </c>
      <c r="C10" s="7">
        <v>16.7</v>
      </c>
      <c r="D10" s="7">
        <v>11.1</v>
      </c>
      <c r="E10" s="7">
        <v>36.799999999999997</v>
      </c>
      <c r="F10" s="7">
        <v>37.5</v>
      </c>
      <c r="G10" s="7">
        <v>46.2</v>
      </c>
      <c r="H10" s="7">
        <v>41.6</v>
      </c>
    </row>
    <row r="11" spans="1:8" ht="15" customHeight="1" thickBot="1" x14ac:dyDescent="0.35">
      <c r="A11" s="5" t="s">
        <v>13</v>
      </c>
      <c r="B11" s="6" t="s">
        <v>23</v>
      </c>
      <c r="C11" s="7">
        <v>21.3</v>
      </c>
      <c r="D11" s="7">
        <v>16.7</v>
      </c>
      <c r="E11" s="7">
        <v>37.5</v>
      </c>
      <c r="F11" s="7">
        <v>36</v>
      </c>
      <c r="G11" s="7">
        <v>43.4</v>
      </c>
      <c r="H11" s="7">
        <v>45.6</v>
      </c>
    </row>
    <row r="12" spans="1:8" ht="15" customHeight="1" thickBot="1" x14ac:dyDescent="0.35">
      <c r="A12" s="5" t="s">
        <v>13</v>
      </c>
      <c r="B12" s="6" t="s">
        <v>24</v>
      </c>
      <c r="C12" s="7">
        <v>20</v>
      </c>
      <c r="D12" s="7">
        <v>0</v>
      </c>
      <c r="E12" s="7">
        <v>33.299999999999997</v>
      </c>
      <c r="F12" s="7">
        <v>36.299999999999997</v>
      </c>
      <c r="G12" s="7">
        <v>43.4</v>
      </c>
      <c r="H12" s="7">
        <v>45.6</v>
      </c>
    </row>
    <row r="13" spans="1:8" ht="15" customHeight="1" thickBot="1" x14ac:dyDescent="0.35">
      <c r="A13" s="5" t="s">
        <v>13</v>
      </c>
      <c r="B13" s="6" t="s">
        <v>25</v>
      </c>
      <c r="C13" s="7">
        <v>11.3</v>
      </c>
      <c r="D13" s="7">
        <v>6.7</v>
      </c>
      <c r="E13" s="7">
        <v>28.6</v>
      </c>
      <c r="F13" s="7">
        <v>25.5</v>
      </c>
      <c r="G13" s="7">
        <v>33.799999999999997</v>
      </c>
      <c r="H13" s="7">
        <v>37.200000000000003</v>
      </c>
    </row>
    <row r="14" spans="1:8" ht="15" customHeight="1" thickBot="1" x14ac:dyDescent="0.35">
      <c r="A14" s="5" t="s">
        <v>13</v>
      </c>
      <c r="B14" s="6" t="s">
        <v>26</v>
      </c>
      <c r="C14" s="7">
        <v>13.9</v>
      </c>
      <c r="D14" s="7">
        <v>16.7</v>
      </c>
      <c r="E14" s="7">
        <v>21.4</v>
      </c>
      <c r="F14" s="7">
        <v>22.5</v>
      </c>
      <c r="G14" s="7">
        <v>26.5</v>
      </c>
      <c r="H14" s="7">
        <v>28.9</v>
      </c>
    </row>
    <row r="15" spans="1:8" ht="15" customHeight="1" thickBot="1" x14ac:dyDescent="0.35">
      <c r="A15" s="5" t="s">
        <v>13</v>
      </c>
      <c r="B15" s="6" t="s">
        <v>27</v>
      </c>
      <c r="C15" s="7">
        <v>16.2</v>
      </c>
      <c r="D15" s="7">
        <v>0</v>
      </c>
      <c r="E15" s="7">
        <v>6.7</v>
      </c>
      <c r="F15" s="7">
        <v>12.9</v>
      </c>
      <c r="G15" s="7">
        <v>20.2</v>
      </c>
      <c r="H15" s="7">
        <v>19.2</v>
      </c>
    </row>
    <row r="16" spans="1:8" ht="15" customHeight="1" thickBot="1" x14ac:dyDescent="0.35">
      <c r="A16" s="5" t="s">
        <v>13</v>
      </c>
      <c r="B16" s="6" t="s">
        <v>28</v>
      </c>
      <c r="C16" s="7">
        <v>4.8</v>
      </c>
      <c r="D16" s="7">
        <v>0</v>
      </c>
      <c r="E16" s="7">
        <v>5.6</v>
      </c>
      <c r="F16" s="7">
        <v>6.8</v>
      </c>
      <c r="G16" s="7">
        <v>9.1999999999999993</v>
      </c>
      <c r="H16" s="7">
        <v>15.3</v>
      </c>
    </row>
    <row r="17" spans="1:8" ht="15" customHeight="1" thickBot="1" x14ac:dyDescent="0.35">
      <c r="A17" s="5" t="s">
        <v>13</v>
      </c>
      <c r="B17" s="6" t="s">
        <v>29</v>
      </c>
      <c r="C17" s="7">
        <v>13</v>
      </c>
      <c r="D17" s="7">
        <v>6.2</v>
      </c>
      <c r="E17" s="7">
        <v>6.7</v>
      </c>
      <c r="F17" s="7">
        <v>5.2</v>
      </c>
      <c r="G17" s="7">
        <v>8.6</v>
      </c>
      <c r="H17" s="7">
        <v>11.4</v>
      </c>
    </row>
    <row r="18" spans="1:8" ht="15" customHeight="1" thickBot="1" x14ac:dyDescent="0.35">
      <c r="A18" s="5" t="s">
        <v>13</v>
      </c>
      <c r="B18" s="6" t="s">
        <v>30</v>
      </c>
      <c r="C18" s="7">
        <v>3.2</v>
      </c>
      <c r="D18" s="7">
        <v>10</v>
      </c>
      <c r="E18" s="7">
        <v>0</v>
      </c>
      <c r="F18" s="7">
        <v>5.9</v>
      </c>
      <c r="G18" s="7">
        <v>7</v>
      </c>
      <c r="H18" s="7">
        <v>6.1</v>
      </c>
    </row>
    <row r="19" spans="1:8" ht="15" customHeight="1" thickBot="1" x14ac:dyDescent="0.35">
      <c r="A19" s="5" t="s">
        <v>13</v>
      </c>
      <c r="B19" s="6" t="s">
        <v>31</v>
      </c>
      <c r="C19" s="7">
        <v>0</v>
      </c>
      <c r="D19" s="7">
        <v>0</v>
      </c>
      <c r="E19" s="7">
        <v>5.3</v>
      </c>
      <c r="F19" s="7">
        <v>5.4</v>
      </c>
      <c r="G19" s="7">
        <v>4.0999999999999996</v>
      </c>
      <c r="H19" s="7">
        <v>7.5</v>
      </c>
    </row>
    <row r="20" spans="1:8" ht="15" customHeight="1" thickBot="1" x14ac:dyDescent="0.35">
      <c r="A20" s="5" t="s">
        <v>13</v>
      </c>
      <c r="B20" s="6" t="s">
        <v>32</v>
      </c>
      <c r="C20" s="7">
        <v>3.8</v>
      </c>
      <c r="D20" s="7">
        <v>0</v>
      </c>
      <c r="E20" s="7">
        <v>9.1</v>
      </c>
      <c r="F20" s="7">
        <v>5.7</v>
      </c>
      <c r="G20" s="7">
        <v>4.2</v>
      </c>
      <c r="H20" s="7">
        <v>5.8</v>
      </c>
    </row>
    <row r="21" spans="1:8" ht="15" customHeight="1" thickBot="1" x14ac:dyDescent="0.35">
      <c r="A21" s="5" t="s">
        <v>13</v>
      </c>
      <c r="B21" s="6" t="s">
        <v>33</v>
      </c>
      <c r="C21" s="7">
        <v>0</v>
      </c>
      <c r="D21" s="7">
        <v>0</v>
      </c>
      <c r="E21" s="7">
        <v>0</v>
      </c>
      <c r="F21" s="7">
        <v>4.9000000000000004</v>
      </c>
      <c r="G21" s="7">
        <v>6.5</v>
      </c>
      <c r="H21" s="7">
        <v>4.8</v>
      </c>
    </row>
    <row r="22" spans="1:8" ht="15" customHeight="1" thickBot="1" x14ac:dyDescent="0.35">
      <c r="A22" s="5" t="s">
        <v>13</v>
      </c>
      <c r="B22" s="6" t="s">
        <v>34</v>
      </c>
      <c r="C22" s="7">
        <v>2.2000000000000002</v>
      </c>
      <c r="D22" s="7">
        <v>0</v>
      </c>
      <c r="E22" s="7">
        <v>0</v>
      </c>
      <c r="F22" s="7">
        <v>5.0999999999999996</v>
      </c>
      <c r="G22" s="7">
        <v>4.2</v>
      </c>
      <c r="H22" s="7">
        <v>2.4</v>
      </c>
    </row>
    <row r="23" spans="1:8" ht="15" customHeight="1" thickBot="1" x14ac:dyDescent="0.35">
      <c r="A23" s="5" t="s">
        <v>13</v>
      </c>
      <c r="B23" s="6" t="s">
        <v>35</v>
      </c>
      <c r="C23" s="7">
        <v>2.5</v>
      </c>
      <c r="D23" s="7">
        <v>0</v>
      </c>
      <c r="E23" s="7">
        <v>0</v>
      </c>
      <c r="F23" s="7">
        <v>3.1</v>
      </c>
      <c r="G23" s="7">
        <v>4.5</v>
      </c>
      <c r="H23" s="7">
        <v>5.0999999999999996</v>
      </c>
    </row>
    <row r="24" spans="1:8" ht="15" customHeight="1" thickBot="1" x14ac:dyDescent="0.35">
      <c r="A24" s="5" t="s">
        <v>13</v>
      </c>
      <c r="B24" s="6" t="s">
        <v>36</v>
      </c>
      <c r="C24" s="7">
        <v>0</v>
      </c>
      <c r="D24" s="7">
        <v>0</v>
      </c>
      <c r="E24" s="7">
        <v>0</v>
      </c>
      <c r="F24" s="7">
        <v>4</v>
      </c>
      <c r="G24" s="7">
        <v>7</v>
      </c>
      <c r="H24" s="7">
        <v>4.3</v>
      </c>
    </row>
    <row r="25" spans="1:8" ht="15" customHeight="1" thickBot="1" x14ac:dyDescent="0.35">
      <c r="A25" s="5" t="s">
        <v>13</v>
      </c>
      <c r="B25" s="6" t="s">
        <v>37</v>
      </c>
      <c r="C25" s="7">
        <v>0</v>
      </c>
      <c r="D25" s="7">
        <v>0</v>
      </c>
      <c r="E25" s="7">
        <v>5.6</v>
      </c>
      <c r="F25" s="7">
        <v>3.5</v>
      </c>
      <c r="G25" s="7">
        <v>1.9</v>
      </c>
      <c r="H25" s="7">
        <v>3.6</v>
      </c>
    </row>
    <row r="26" spans="1:8" ht="15" customHeight="1" thickBot="1" x14ac:dyDescent="0.35">
      <c r="A26" s="5" t="s">
        <v>13</v>
      </c>
      <c r="B26" s="6" t="s">
        <v>38</v>
      </c>
      <c r="C26" s="7">
        <v>1.9</v>
      </c>
      <c r="D26" s="7">
        <v>0</v>
      </c>
      <c r="E26" s="7">
        <v>0</v>
      </c>
      <c r="F26" s="7">
        <v>3.8</v>
      </c>
      <c r="G26" s="7">
        <v>5.4</v>
      </c>
      <c r="H26" s="7">
        <v>4.0999999999999996</v>
      </c>
    </row>
    <row r="27" spans="1:8" ht="15" customHeight="1" thickBot="1" x14ac:dyDescent="0.35">
      <c r="A27" s="5" t="s">
        <v>13</v>
      </c>
      <c r="B27" s="6" t="s">
        <v>39</v>
      </c>
      <c r="C27" s="7">
        <v>0</v>
      </c>
      <c r="D27" s="7">
        <v>0</v>
      </c>
      <c r="E27" s="7">
        <v>5.9</v>
      </c>
      <c r="F27" s="7">
        <v>1.7</v>
      </c>
      <c r="G27" s="7">
        <v>4.0999999999999996</v>
      </c>
      <c r="H27" s="7">
        <v>3.8</v>
      </c>
    </row>
    <row r="28" spans="1:8" ht="15" customHeight="1" thickBot="1" x14ac:dyDescent="0.35">
      <c r="A28" s="5" t="s">
        <v>13</v>
      </c>
      <c r="B28" s="6" t="s">
        <v>40</v>
      </c>
      <c r="C28" s="7">
        <v>0</v>
      </c>
      <c r="D28" s="7">
        <v>0</v>
      </c>
      <c r="E28" s="7">
        <v>5.9</v>
      </c>
      <c r="F28" s="7">
        <v>0</v>
      </c>
      <c r="G28" s="7">
        <v>2.4</v>
      </c>
      <c r="H28" s="7">
        <v>1.4</v>
      </c>
    </row>
    <row r="29" spans="1:8" ht="15" customHeight="1" thickBot="1" x14ac:dyDescent="0.35">
      <c r="A29" s="5" t="s">
        <v>13</v>
      </c>
      <c r="B29" s="6" t="s">
        <v>41</v>
      </c>
      <c r="C29" s="7">
        <v>0</v>
      </c>
      <c r="D29" s="7">
        <v>0</v>
      </c>
      <c r="E29" s="7">
        <v>0</v>
      </c>
      <c r="F29" s="7">
        <v>1.9</v>
      </c>
      <c r="G29" s="7">
        <v>5.2</v>
      </c>
      <c r="H29" s="7">
        <v>2.2999999999999998</v>
      </c>
    </row>
    <row r="30" spans="1:8" ht="15" customHeight="1" thickBot="1" x14ac:dyDescent="0.35">
      <c r="A30" s="5" t="s">
        <v>13</v>
      </c>
      <c r="B30" s="6" t="s">
        <v>42</v>
      </c>
      <c r="C30" s="7">
        <v>0</v>
      </c>
      <c r="D30" s="7">
        <v>8.3000000000000007</v>
      </c>
      <c r="E30" s="7">
        <v>0</v>
      </c>
      <c r="F30" s="7">
        <v>2.2000000000000002</v>
      </c>
      <c r="G30" s="7">
        <v>2.8</v>
      </c>
      <c r="H30" s="7">
        <v>3.4</v>
      </c>
    </row>
    <row r="31" spans="1:8" ht="15" customHeight="1" thickBot="1" x14ac:dyDescent="0.35">
      <c r="A31" s="5" t="s">
        <v>13</v>
      </c>
      <c r="B31" s="6" t="s">
        <v>43</v>
      </c>
      <c r="C31" s="7">
        <v>0</v>
      </c>
      <c r="D31" s="7">
        <v>0</v>
      </c>
      <c r="E31" s="7">
        <v>0</v>
      </c>
      <c r="F31" s="7">
        <v>2.2000000000000002</v>
      </c>
      <c r="G31" s="7">
        <v>3.2</v>
      </c>
      <c r="H31" s="7">
        <v>3.6</v>
      </c>
    </row>
    <row r="32" spans="1:8" ht="15" customHeight="1" thickBot="1" x14ac:dyDescent="0.35">
      <c r="A32" s="5" t="s">
        <v>13</v>
      </c>
      <c r="B32" s="6" t="s">
        <v>44</v>
      </c>
      <c r="C32" s="7">
        <v>5</v>
      </c>
      <c r="D32" s="7">
        <v>0</v>
      </c>
      <c r="E32" s="7">
        <v>0</v>
      </c>
      <c r="F32" s="7">
        <v>3.8</v>
      </c>
      <c r="G32" s="7">
        <v>2.4</v>
      </c>
      <c r="H32" s="7">
        <v>2.9</v>
      </c>
    </row>
    <row r="33" spans="1:8" ht="15" customHeight="1" thickBot="1" x14ac:dyDescent="0.35">
      <c r="A33" s="5" t="s">
        <v>13</v>
      </c>
      <c r="B33" s="6" t="s">
        <v>45</v>
      </c>
      <c r="C33" s="7">
        <v>0</v>
      </c>
      <c r="D33" s="7">
        <v>12.5</v>
      </c>
      <c r="E33" s="7">
        <v>0</v>
      </c>
      <c r="F33" s="7">
        <v>1.5</v>
      </c>
      <c r="G33" s="7">
        <v>3.9</v>
      </c>
      <c r="H33" s="7">
        <v>9.5</v>
      </c>
    </row>
    <row r="34" spans="1:8" ht="15" customHeight="1" thickBot="1" x14ac:dyDescent="0.35">
      <c r="A34" s="5" t="s">
        <v>13</v>
      </c>
      <c r="B34" s="6" t="s">
        <v>46</v>
      </c>
      <c r="C34" s="7">
        <v>5.3</v>
      </c>
      <c r="D34" s="7">
        <v>0</v>
      </c>
      <c r="E34" s="7">
        <v>18.8</v>
      </c>
      <c r="F34" s="7">
        <v>10.8</v>
      </c>
      <c r="G34" s="7">
        <v>4.8</v>
      </c>
      <c r="H34" s="7">
        <v>0.9</v>
      </c>
    </row>
    <row r="35" spans="1:8" ht="15" customHeight="1" thickBot="1" x14ac:dyDescent="0.35">
      <c r="A35" s="5" t="s">
        <v>13</v>
      </c>
      <c r="B35" s="6" t="s">
        <v>47</v>
      </c>
      <c r="C35" s="7">
        <v>7.7</v>
      </c>
      <c r="D35" s="7">
        <v>14.3</v>
      </c>
      <c r="E35" s="7">
        <v>11.1</v>
      </c>
      <c r="F35" s="7">
        <v>0</v>
      </c>
      <c r="G35" s="7">
        <v>4.5999999999999996</v>
      </c>
      <c r="H35" s="7">
        <v>3.9</v>
      </c>
    </row>
    <row r="36" spans="1:8" ht="15" customHeight="1" thickBot="1" x14ac:dyDescent="0.35">
      <c r="A36" s="5" t="s">
        <v>13</v>
      </c>
      <c r="B36" s="6" t="s">
        <v>48</v>
      </c>
      <c r="C36" s="7">
        <v>0</v>
      </c>
      <c r="D36" s="7">
        <v>0</v>
      </c>
      <c r="E36" s="7">
        <v>0</v>
      </c>
      <c r="F36" s="7">
        <v>2.9</v>
      </c>
      <c r="G36" s="7">
        <v>1.1000000000000001</v>
      </c>
      <c r="H36" s="7">
        <v>7.2</v>
      </c>
    </row>
    <row r="37" spans="1:8" ht="15" customHeight="1" thickBot="1" x14ac:dyDescent="0.35">
      <c r="A37" s="5" t="s">
        <v>13</v>
      </c>
      <c r="B37" s="6" t="s">
        <v>49</v>
      </c>
      <c r="C37" s="7">
        <v>0</v>
      </c>
      <c r="D37" s="7">
        <v>0</v>
      </c>
      <c r="E37" s="7">
        <v>11.1</v>
      </c>
      <c r="F37" s="7">
        <v>1.8</v>
      </c>
      <c r="G37" s="7">
        <v>12.4</v>
      </c>
      <c r="H37" s="7">
        <v>11.2</v>
      </c>
    </row>
    <row r="38" spans="1:8" ht="15" customHeight="1" thickBot="1" x14ac:dyDescent="0.35">
      <c r="A38" s="5" t="s">
        <v>13</v>
      </c>
      <c r="B38" s="6" t="s">
        <v>50</v>
      </c>
      <c r="C38" s="7">
        <v>6.2</v>
      </c>
      <c r="D38" s="7">
        <v>0</v>
      </c>
      <c r="E38" s="7">
        <v>0</v>
      </c>
      <c r="F38" s="7">
        <v>9.3000000000000007</v>
      </c>
      <c r="G38" s="7">
        <v>7.4</v>
      </c>
      <c r="H38" s="7">
        <v>14.1</v>
      </c>
    </row>
    <row r="39" spans="1:8" ht="15" customHeight="1" thickBot="1" x14ac:dyDescent="0.35">
      <c r="A39" s="5" t="s">
        <v>13</v>
      </c>
      <c r="B39" s="6" t="s">
        <v>51</v>
      </c>
      <c r="C39" s="7">
        <v>11.1</v>
      </c>
      <c r="D39" s="7">
        <v>0</v>
      </c>
      <c r="E39" s="7">
        <v>8.3000000000000007</v>
      </c>
      <c r="F39" s="7">
        <v>14.9</v>
      </c>
      <c r="G39" s="7">
        <v>11.6</v>
      </c>
      <c r="H39" s="7">
        <v>26.8</v>
      </c>
    </row>
    <row r="40" spans="1:8" ht="15" customHeight="1" thickBot="1" x14ac:dyDescent="0.35">
      <c r="A40" s="5" t="s">
        <v>13</v>
      </c>
      <c r="B40" s="6" t="s">
        <v>52</v>
      </c>
      <c r="C40" s="7">
        <v>6.7</v>
      </c>
      <c r="D40" s="7">
        <v>0</v>
      </c>
      <c r="E40" s="7">
        <v>14.3</v>
      </c>
      <c r="F40" s="7">
        <v>15.2</v>
      </c>
      <c r="G40" s="7">
        <v>14.1</v>
      </c>
      <c r="H40" s="7">
        <v>13.8</v>
      </c>
    </row>
    <row r="41" spans="1:8" ht="15" customHeight="1" thickBot="1" x14ac:dyDescent="0.35">
      <c r="A41" s="5" t="s">
        <v>13</v>
      </c>
      <c r="B41" s="6" t="s">
        <v>53</v>
      </c>
      <c r="C41" s="7">
        <v>12.5</v>
      </c>
      <c r="D41" s="7">
        <v>12.5</v>
      </c>
      <c r="E41" s="7">
        <v>9.1</v>
      </c>
      <c r="F41" s="7">
        <v>12.3</v>
      </c>
      <c r="G41" s="7">
        <v>25</v>
      </c>
      <c r="H41" s="7">
        <v>26.1</v>
      </c>
    </row>
    <row r="42" spans="1:8" ht="15" customHeight="1" thickBot="1" x14ac:dyDescent="0.35">
      <c r="A42" s="5" t="s">
        <v>13</v>
      </c>
      <c r="B42" s="6" t="s">
        <v>54</v>
      </c>
      <c r="C42" s="7">
        <v>27.3</v>
      </c>
      <c r="D42" s="7">
        <v>16.7</v>
      </c>
      <c r="E42" s="7">
        <v>46.2</v>
      </c>
      <c r="F42" s="7">
        <v>17.399999999999999</v>
      </c>
      <c r="G42" s="7">
        <v>22.2</v>
      </c>
      <c r="H42" s="7">
        <v>35</v>
      </c>
    </row>
    <row r="43" spans="1:8" ht="15" customHeight="1" thickBot="1" x14ac:dyDescent="0.35">
      <c r="A43" s="5" t="s">
        <v>13</v>
      </c>
      <c r="B43" s="6" t="s">
        <v>55</v>
      </c>
      <c r="C43" s="7">
        <v>23.1</v>
      </c>
      <c r="D43" s="7">
        <v>0</v>
      </c>
      <c r="E43" s="7">
        <v>29.4</v>
      </c>
      <c r="F43" s="7">
        <v>13</v>
      </c>
      <c r="G43" s="7">
        <v>29.3</v>
      </c>
      <c r="H43" s="7">
        <v>36.200000000000003</v>
      </c>
    </row>
    <row r="44" spans="1:8" ht="15" customHeight="1" thickBot="1" x14ac:dyDescent="0.35">
      <c r="A44" s="5" t="s">
        <v>13</v>
      </c>
      <c r="B44" s="6" t="s">
        <v>56</v>
      </c>
      <c r="C44" s="7">
        <v>37.5</v>
      </c>
      <c r="D44" s="7">
        <v>0</v>
      </c>
      <c r="E44" s="7">
        <v>35.700000000000003</v>
      </c>
      <c r="F44" s="7">
        <v>16.5</v>
      </c>
      <c r="G44" s="7">
        <v>21.8</v>
      </c>
      <c r="H44" s="7">
        <v>27.7</v>
      </c>
    </row>
    <row r="45" spans="1:8" ht="15" customHeight="1" thickBot="1" x14ac:dyDescent="0.35">
      <c r="A45" s="5" t="s">
        <v>13</v>
      </c>
      <c r="B45" s="6" t="s">
        <v>57</v>
      </c>
      <c r="C45" s="7">
        <v>36.4</v>
      </c>
      <c r="D45" s="7">
        <v>16.7</v>
      </c>
      <c r="E45" s="7">
        <v>13.3</v>
      </c>
      <c r="F45" s="7">
        <v>16.5</v>
      </c>
      <c r="G45" s="7">
        <v>29</v>
      </c>
      <c r="H45" s="7">
        <v>29.9</v>
      </c>
    </row>
    <row r="46" spans="1:8" ht="15" customHeight="1" thickBot="1" x14ac:dyDescent="0.35">
      <c r="A46" s="5" t="s">
        <v>13</v>
      </c>
      <c r="B46" s="6" t="s">
        <v>58</v>
      </c>
      <c r="C46" s="7">
        <v>22.7</v>
      </c>
      <c r="D46" s="7">
        <v>0</v>
      </c>
      <c r="E46" s="7">
        <v>10</v>
      </c>
      <c r="F46" s="7">
        <v>23.6</v>
      </c>
      <c r="G46" s="7">
        <v>18.8</v>
      </c>
      <c r="H46" s="7">
        <v>30.3</v>
      </c>
    </row>
    <row r="47" spans="1:8" ht="15" customHeight="1" thickBot="1" x14ac:dyDescent="0.35">
      <c r="A47" s="5" t="s">
        <v>13</v>
      </c>
      <c r="B47" s="6" t="s">
        <v>59</v>
      </c>
      <c r="C47" s="7">
        <v>16.7</v>
      </c>
      <c r="D47" s="7">
        <v>14.3</v>
      </c>
      <c r="E47" s="7">
        <v>25</v>
      </c>
      <c r="F47" s="7">
        <v>17.5</v>
      </c>
      <c r="G47" s="7">
        <v>28.4</v>
      </c>
      <c r="H47" s="7">
        <v>28.4</v>
      </c>
    </row>
    <row r="48" spans="1:8" ht="15" customHeight="1" thickBot="1" x14ac:dyDescent="0.35">
      <c r="A48" s="5" t="s">
        <v>13</v>
      </c>
      <c r="B48" s="6" t="s">
        <v>60</v>
      </c>
      <c r="C48" s="7">
        <v>35.700000000000003</v>
      </c>
      <c r="D48" s="7">
        <v>0</v>
      </c>
      <c r="E48" s="7">
        <v>11.8</v>
      </c>
      <c r="F48" s="7">
        <v>19.8</v>
      </c>
      <c r="G48" s="7">
        <v>24.4</v>
      </c>
      <c r="H48" s="7">
        <v>32</v>
      </c>
    </row>
    <row r="49" spans="1:8" ht="15" customHeight="1" thickBot="1" x14ac:dyDescent="0.35">
      <c r="A49" s="5" t="s">
        <v>13</v>
      </c>
      <c r="B49" s="6" t="s">
        <v>61</v>
      </c>
      <c r="C49" s="7">
        <v>31.8</v>
      </c>
      <c r="D49" s="7">
        <v>50</v>
      </c>
      <c r="E49" s="7">
        <v>14.3</v>
      </c>
      <c r="F49" s="7">
        <v>19.7</v>
      </c>
      <c r="G49" s="7">
        <v>29.9</v>
      </c>
      <c r="H49" s="7">
        <v>31.4</v>
      </c>
    </row>
    <row r="50" spans="1:8" ht="15" customHeight="1" thickBot="1" x14ac:dyDescent="0.35">
      <c r="A50" s="5" t="s">
        <v>13</v>
      </c>
      <c r="B50" s="6" t="s">
        <v>62</v>
      </c>
      <c r="C50" s="7">
        <v>25.8</v>
      </c>
      <c r="D50" s="7">
        <v>0</v>
      </c>
      <c r="E50" s="7">
        <v>6.2</v>
      </c>
      <c r="F50" s="7">
        <v>19.8</v>
      </c>
      <c r="G50" s="7">
        <v>35.9</v>
      </c>
      <c r="H50" s="7">
        <v>34.1</v>
      </c>
    </row>
    <row r="51" spans="1:8" ht="15" customHeight="1" thickBot="1" x14ac:dyDescent="0.35">
      <c r="A51" s="5" t="s">
        <v>13</v>
      </c>
      <c r="B51" s="6" t="s">
        <v>63</v>
      </c>
      <c r="C51" s="7">
        <v>26.3</v>
      </c>
      <c r="D51" s="7">
        <v>12.5</v>
      </c>
      <c r="E51" s="7">
        <v>10.5</v>
      </c>
      <c r="F51" s="7">
        <v>13.8</v>
      </c>
      <c r="G51" s="7">
        <v>26.4</v>
      </c>
      <c r="H51" s="7">
        <v>26.7</v>
      </c>
    </row>
    <row r="52" spans="1:8" ht="15" customHeight="1" thickBot="1" x14ac:dyDescent="0.35">
      <c r="A52" s="5" t="s">
        <v>13</v>
      </c>
      <c r="B52" s="6" t="s">
        <v>64</v>
      </c>
      <c r="C52" s="7">
        <v>6.5</v>
      </c>
      <c r="D52" s="7">
        <v>0</v>
      </c>
      <c r="E52" s="7">
        <v>4.5</v>
      </c>
      <c r="F52" s="7">
        <v>14.3</v>
      </c>
      <c r="G52" s="7">
        <v>20.3</v>
      </c>
      <c r="H52" s="7">
        <v>35.200000000000003</v>
      </c>
    </row>
    <row r="53" spans="1:8" ht="15" customHeight="1" thickBot="1" x14ac:dyDescent="0.35">
      <c r="A53" s="5" t="s">
        <v>13</v>
      </c>
      <c r="B53" s="6" t="s">
        <v>65</v>
      </c>
      <c r="C53" s="7">
        <v>13.3</v>
      </c>
      <c r="D53" s="7">
        <v>0</v>
      </c>
      <c r="E53" s="7">
        <v>0</v>
      </c>
      <c r="F53" s="7">
        <v>11.5</v>
      </c>
      <c r="G53" s="7">
        <v>17.100000000000001</v>
      </c>
      <c r="H53" s="7">
        <v>32.6</v>
      </c>
    </row>
    <row r="54" spans="1:8" ht="15" customHeight="1" thickBot="1" x14ac:dyDescent="0.35">
      <c r="A54" s="5" t="s">
        <v>13</v>
      </c>
      <c r="B54" s="6" t="s">
        <v>66</v>
      </c>
      <c r="C54" s="7">
        <v>9.1</v>
      </c>
      <c r="D54" s="7">
        <v>0</v>
      </c>
      <c r="E54" s="7">
        <v>16.7</v>
      </c>
      <c r="F54" s="7">
        <v>11.3</v>
      </c>
      <c r="G54" s="7">
        <v>25.5</v>
      </c>
      <c r="H54" s="7">
        <v>32.299999999999997</v>
      </c>
    </row>
    <row r="55" spans="1:8" ht="15" customHeight="1" thickBot="1" x14ac:dyDescent="0.35">
      <c r="A55" s="5" t="s">
        <v>13</v>
      </c>
      <c r="B55" s="6" t="s">
        <v>67</v>
      </c>
      <c r="C55" s="7">
        <v>16.7</v>
      </c>
      <c r="D55" s="7">
        <v>11.1</v>
      </c>
      <c r="E55" s="7">
        <v>0</v>
      </c>
      <c r="F55" s="7">
        <v>22.8</v>
      </c>
      <c r="G55" s="7">
        <v>23.1</v>
      </c>
      <c r="H55" s="7">
        <v>32</v>
      </c>
    </row>
    <row r="56" spans="1:8" ht="15" customHeight="1" thickBot="1" x14ac:dyDescent="0.35">
      <c r="A56" s="5" t="s">
        <v>13</v>
      </c>
      <c r="B56" s="6" t="s">
        <v>68</v>
      </c>
      <c r="C56" s="7">
        <v>26.3</v>
      </c>
      <c r="D56" s="7">
        <v>0</v>
      </c>
      <c r="E56" s="7">
        <v>9.5</v>
      </c>
      <c r="F56" s="7">
        <v>7.7</v>
      </c>
      <c r="G56" s="7">
        <v>26.6</v>
      </c>
      <c r="H56" s="7">
        <v>34.5</v>
      </c>
    </row>
    <row r="57" spans="1:8" ht="15" customHeight="1" thickBot="1" x14ac:dyDescent="0.35">
      <c r="A57" s="5" t="s">
        <v>13</v>
      </c>
      <c r="B57" s="6" t="s">
        <v>69</v>
      </c>
      <c r="C57" s="7">
        <v>16</v>
      </c>
      <c r="D57" s="7">
        <v>0</v>
      </c>
      <c r="E57" s="7">
        <v>9.1</v>
      </c>
      <c r="F57" s="7">
        <v>11.5</v>
      </c>
      <c r="G57" s="7">
        <v>23.2</v>
      </c>
      <c r="H57" s="7">
        <v>24.5</v>
      </c>
    </row>
    <row r="58" spans="1:8" ht="15" customHeight="1" thickBot="1" x14ac:dyDescent="0.35">
      <c r="A58" s="5" t="s">
        <v>13</v>
      </c>
      <c r="B58" s="6" t="s">
        <v>70</v>
      </c>
      <c r="C58" s="7">
        <v>12.5</v>
      </c>
      <c r="D58" s="7">
        <v>0</v>
      </c>
      <c r="E58" s="7">
        <v>0</v>
      </c>
      <c r="F58" s="7">
        <v>12.3</v>
      </c>
      <c r="G58" s="7">
        <v>22.2</v>
      </c>
      <c r="H58" s="7">
        <v>30.8</v>
      </c>
    </row>
    <row r="59" spans="1:8" ht="15" customHeight="1" thickBot="1" x14ac:dyDescent="0.35">
      <c r="A59" s="5" t="s">
        <v>13</v>
      </c>
      <c r="B59" s="6" t="s">
        <v>71</v>
      </c>
      <c r="C59" s="7">
        <v>0</v>
      </c>
      <c r="D59" s="7">
        <v>0</v>
      </c>
      <c r="E59" s="7">
        <v>0</v>
      </c>
      <c r="F59" s="7">
        <v>4.5</v>
      </c>
      <c r="G59" s="7">
        <v>17.8</v>
      </c>
      <c r="H59" s="7">
        <v>18.399999999999999</v>
      </c>
    </row>
    <row r="60" spans="1:8" ht="15" customHeight="1" thickBot="1" x14ac:dyDescent="0.35">
      <c r="A60" s="5" t="s">
        <v>13</v>
      </c>
      <c r="B60" s="6" t="s">
        <v>72</v>
      </c>
      <c r="C60" s="7">
        <v>26.7</v>
      </c>
      <c r="D60" s="7">
        <v>0</v>
      </c>
      <c r="E60" s="7">
        <v>7.7</v>
      </c>
      <c r="F60" s="7">
        <v>8</v>
      </c>
      <c r="G60" s="7">
        <v>11.1</v>
      </c>
      <c r="H60" s="7">
        <v>17.8</v>
      </c>
    </row>
    <row r="61" spans="1:8" ht="15" customHeight="1" thickBot="1" x14ac:dyDescent="0.35">
      <c r="A61" s="5" t="s">
        <v>13</v>
      </c>
      <c r="B61" s="6" t="s">
        <v>73</v>
      </c>
      <c r="C61" s="7">
        <v>14.8</v>
      </c>
      <c r="D61" s="7">
        <v>0</v>
      </c>
      <c r="E61" s="7">
        <v>10</v>
      </c>
      <c r="F61" s="7">
        <v>5</v>
      </c>
      <c r="G61" s="7">
        <v>12.7</v>
      </c>
      <c r="H61" s="7">
        <v>16.399999999999999</v>
      </c>
    </row>
    <row r="62" spans="1:8" ht="15" customHeight="1" thickBot="1" x14ac:dyDescent="0.35">
      <c r="A62" s="5" t="s">
        <v>13</v>
      </c>
      <c r="B62" s="6" t="s">
        <v>74</v>
      </c>
      <c r="C62" s="7">
        <v>10.5</v>
      </c>
      <c r="D62" s="7">
        <v>0</v>
      </c>
      <c r="E62" s="7">
        <v>0</v>
      </c>
      <c r="F62" s="7">
        <v>11</v>
      </c>
      <c r="G62" s="7">
        <v>8.3000000000000007</v>
      </c>
      <c r="H62" s="7">
        <v>16.5</v>
      </c>
    </row>
    <row r="63" spans="1:8" ht="15" customHeight="1" thickBot="1" x14ac:dyDescent="0.35">
      <c r="A63" s="5" t="s">
        <v>13</v>
      </c>
      <c r="B63" s="6" t="s">
        <v>75</v>
      </c>
      <c r="C63" s="7">
        <v>9.1</v>
      </c>
      <c r="D63" s="7">
        <v>16.7</v>
      </c>
      <c r="E63" s="7">
        <v>15.4</v>
      </c>
      <c r="F63" s="7">
        <v>12.9</v>
      </c>
      <c r="G63" s="7">
        <v>14.9</v>
      </c>
      <c r="H63" s="7">
        <v>21.8</v>
      </c>
    </row>
    <row r="64" spans="1:8" ht="15" customHeight="1" thickBot="1" x14ac:dyDescent="0.35">
      <c r="A64" s="5" t="s">
        <v>13</v>
      </c>
      <c r="B64" s="6" t="s">
        <v>76</v>
      </c>
      <c r="C64" s="7">
        <v>9.4</v>
      </c>
      <c r="D64" s="7">
        <v>0</v>
      </c>
      <c r="E64" s="7">
        <v>18.8</v>
      </c>
      <c r="F64" s="7">
        <v>10.5</v>
      </c>
      <c r="G64" s="7">
        <v>17.100000000000001</v>
      </c>
      <c r="H64" s="7">
        <v>17.8</v>
      </c>
    </row>
    <row r="65" spans="1:8" ht="15" customHeight="1" thickBot="1" x14ac:dyDescent="0.35">
      <c r="A65" s="5" t="s">
        <v>13</v>
      </c>
      <c r="B65" s="6" t="s">
        <v>77</v>
      </c>
      <c r="C65" s="7">
        <v>5.2</v>
      </c>
      <c r="D65" s="7">
        <v>16.7</v>
      </c>
      <c r="E65" s="7">
        <v>11.1</v>
      </c>
      <c r="F65" s="7">
        <v>11.9</v>
      </c>
      <c r="G65" s="7">
        <v>10.199999999999999</v>
      </c>
      <c r="H65" s="7">
        <v>16.5</v>
      </c>
    </row>
    <row r="66" spans="1:8" ht="15" customHeight="1" thickBot="1" x14ac:dyDescent="0.35">
      <c r="A66" s="5" t="s">
        <v>13</v>
      </c>
      <c r="B66" s="6" t="s">
        <v>78</v>
      </c>
      <c r="C66" s="7">
        <v>6</v>
      </c>
      <c r="D66" s="7">
        <v>16.7</v>
      </c>
      <c r="E66" s="7">
        <v>5.9</v>
      </c>
      <c r="F66" s="7">
        <v>7.9</v>
      </c>
      <c r="G66" s="7">
        <v>10.6</v>
      </c>
      <c r="H66" s="7">
        <v>14.2</v>
      </c>
    </row>
    <row r="67" spans="1:8" ht="15" customHeight="1" thickBot="1" x14ac:dyDescent="0.35">
      <c r="A67" s="5" t="s">
        <v>13</v>
      </c>
      <c r="B67" s="6" t="s">
        <v>79</v>
      </c>
      <c r="C67" s="7">
        <v>4.7</v>
      </c>
      <c r="D67" s="7">
        <v>0</v>
      </c>
      <c r="E67" s="7">
        <v>0</v>
      </c>
      <c r="F67" s="7">
        <v>7.9</v>
      </c>
      <c r="G67" s="7">
        <v>9.8000000000000007</v>
      </c>
      <c r="H67" s="7">
        <v>10.4</v>
      </c>
    </row>
    <row r="68" spans="1:8" ht="15" customHeight="1" thickBot="1" x14ac:dyDescent="0.35">
      <c r="A68" s="5" t="s">
        <v>13</v>
      </c>
      <c r="B68" s="6" t="s">
        <v>80</v>
      </c>
      <c r="C68" s="7">
        <v>17.5</v>
      </c>
      <c r="D68" s="7">
        <v>0</v>
      </c>
      <c r="E68" s="7">
        <v>6.7</v>
      </c>
      <c r="F68" s="7">
        <v>4.5</v>
      </c>
      <c r="G68" s="7">
        <v>8.1</v>
      </c>
      <c r="H68" s="7">
        <v>7.3</v>
      </c>
    </row>
    <row r="69" spans="1:8" ht="15" customHeight="1" thickBot="1" x14ac:dyDescent="0.35">
      <c r="A69" s="5" t="s">
        <v>13</v>
      </c>
      <c r="B69" s="6" t="s">
        <v>81</v>
      </c>
      <c r="C69" s="7">
        <v>1.2</v>
      </c>
      <c r="D69" s="7">
        <v>0</v>
      </c>
      <c r="E69" s="7">
        <v>7.7</v>
      </c>
      <c r="F69" s="7">
        <v>4.2</v>
      </c>
      <c r="G69" s="7">
        <v>6.6</v>
      </c>
      <c r="H69" s="7">
        <v>4</v>
      </c>
    </row>
    <row r="70" spans="1:8" ht="15" customHeight="1" thickBot="1" x14ac:dyDescent="0.35">
      <c r="A70" s="5" t="s">
        <v>13</v>
      </c>
      <c r="B70" s="6" t="s">
        <v>82</v>
      </c>
      <c r="C70" s="7">
        <v>4.7</v>
      </c>
      <c r="D70" s="7">
        <v>0</v>
      </c>
      <c r="E70" s="7">
        <v>0</v>
      </c>
      <c r="F70" s="7">
        <v>2.9</v>
      </c>
      <c r="G70" s="7">
        <v>7</v>
      </c>
      <c r="H70" s="7">
        <v>5</v>
      </c>
    </row>
    <row r="71" spans="1:8" ht="15" customHeight="1" thickBot="1" x14ac:dyDescent="0.35">
      <c r="A71" s="5" t="s">
        <v>13</v>
      </c>
      <c r="B71" s="6" t="s">
        <v>83</v>
      </c>
      <c r="C71" s="7">
        <v>2.2000000000000002</v>
      </c>
      <c r="D71" s="7">
        <v>0</v>
      </c>
      <c r="E71" s="7">
        <v>0</v>
      </c>
      <c r="F71" s="7">
        <v>2.6</v>
      </c>
      <c r="G71" s="7">
        <v>8.1</v>
      </c>
      <c r="H71" s="7">
        <v>6</v>
      </c>
    </row>
    <row r="72" spans="1:8" ht="15" customHeight="1" thickBot="1" x14ac:dyDescent="0.35">
      <c r="A72" s="5" t="s">
        <v>13</v>
      </c>
      <c r="B72" s="6" t="s">
        <v>84</v>
      </c>
      <c r="C72" s="6">
        <v>2.5</v>
      </c>
      <c r="D72" s="6">
        <v>0</v>
      </c>
      <c r="E72" s="6">
        <v>0</v>
      </c>
      <c r="F72" s="6">
        <v>3.5</v>
      </c>
      <c r="G72" s="6">
        <v>3.1</v>
      </c>
      <c r="H72" s="6">
        <v>5.6</v>
      </c>
    </row>
    <row r="73" spans="1:8" ht="15" customHeight="1" thickBot="1" x14ac:dyDescent="0.35">
      <c r="A73" s="5" t="s">
        <v>13</v>
      </c>
      <c r="B73" s="6" t="s">
        <v>85</v>
      </c>
      <c r="C73" s="6">
        <v>1.2</v>
      </c>
      <c r="D73" s="6">
        <v>7.7</v>
      </c>
      <c r="E73" s="6">
        <v>0</v>
      </c>
      <c r="F73" s="6">
        <v>2.4</v>
      </c>
      <c r="G73" s="6">
        <v>5.0999999999999996</v>
      </c>
      <c r="H73" s="6">
        <v>3</v>
      </c>
    </row>
    <row r="74" spans="1:8" ht="15" customHeight="1" thickBot="1" x14ac:dyDescent="0.35">
      <c r="A74" s="5" t="s">
        <v>13</v>
      </c>
      <c r="B74" s="6" t="s">
        <v>86</v>
      </c>
      <c r="C74" s="6">
        <v>6.1</v>
      </c>
      <c r="D74" s="6">
        <v>0</v>
      </c>
      <c r="E74" s="6">
        <v>0</v>
      </c>
      <c r="F74" s="6">
        <v>2</v>
      </c>
      <c r="G74" s="6">
        <v>3.9</v>
      </c>
      <c r="H74" s="6">
        <v>2.5</v>
      </c>
    </row>
    <row r="75" spans="1:8" ht="15" customHeight="1" thickBot="1" x14ac:dyDescent="0.35">
      <c r="A75" s="5" t="s">
        <v>13</v>
      </c>
      <c r="B75" s="6" t="s">
        <v>87</v>
      </c>
      <c r="C75" s="6">
        <v>2.2000000000000002</v>
      </c>
      <c r="D75" s="6">
        <v>0</v>
      </c>
      <c r="E75" s="6">
        <v>0</v>
      </c>
      <c r="F75" s="6">
        <v>2.1</v>
      </c>
      <c r="G75" s="6">
        <v>3.8</v>
      </c>
      <c r="H75" s="6">
        <v>3.9</v>
      </c>
    </row>
    <row r="76" spans="1:8" ht="15" customHeight="1" thickBot="1" x14ac:dyDescent="0.35">
      <c r="A76" s="5" t="s">
        <v>13</v>
      </c>
      <c r="B76" s="6" t="s">
        <v>88</v>
      </c>
      <c r="C76" s="6">
        <v>0</v>
      </c>
      <c r="D76" s="6">
        <v>0</v>
      </c>
      <c r="E76" s="6">
        <v>0</v>
      </c>
      <c r="F76" s="6">
        <v>1.3</v>
      </c>
      <c r="G76" s="6">
        <v>4</v>
      </c>
      <c r="H76" s="6">
        <v>3.3</v>
      </c>
    </row>
    <row r="77" spans="1:8" ht="15" customHeight="1" thickBot="1" x14ac:dyDescent="0.35">
      <c r="A77" s="5" t="s">
        <v>13</v>
      </c>
      <c r="B77" s="6" t="s">
        <v>89</v>
      </c>
      <c r="C77" s="6">
        <v>0</v>
      </c>
      <c r="D77" s="6">
        <v>16.7</v>
      </c>
      <c r="E77" s="6">
        <v>0</v>
      </c>
      <c r="F77" s="6">
        <v>3.2</v>
      </c>
      <c r="G77" s="6">
        <v>6.5</v>
      </c>
      <c r="H77" s="6">
        <v>3.9</v>
      </c>
    </row>
    <row r="78" spans="1:8" ht="15" customHeight="1" thickBot="1" x14ac:dyDescent="0.35">
      <c r="A78" s="5" t="s">
        <v>13</v>
      </c>
      <c r="B78" s="6" t="s">
        <v>90</v>
      </c>
      <c r="C78" s="6">
        <v>0</v>
      </c>
      <c r="D78" s="6">
        <v>0</v>
      </c>
      <c r="E78" s="6">
        <v>7.1</v>
      </c>
      <c r="F78" s="6">
        <v>3.9</v>
      </c>
      <c r="G78" s="6">
        <v>2.4</v>
      </c>
      <c r="H78" s="6">
        <v>6</v>
      </c>
    </row>
    <row r="79" spans="1:8" ht="15" customHeight="1" thickBot="1" x14ac:dyDescent="0.35">
      <c r="A79" s="5" t="s">
        <v>13</v>
      </c>
      <c r="B79" s="6" t="s">
        <v>91</v>
      </c>
      <c r="C79" s="6">
        <v>0</v>
      </c>
      <c r="D79" s="6">
        <v>0</v>
      </c>
      <c r="E79" s="6">
        <v>4</v>
      </c>
      <c r="F79" s="6">
        <v>3.2</v>
      </c>
      <c r="G79" s="6">
        <v>3.7</v>
      </c>
      <c r="H79" s="6">
        <v>1.3</v>
      </c>
    </row>
    <row r="80" spans="1:8" ht="15" customHeight="1" thickBot="1" x14ac:dyDescent="0.35">
      <c r="A80" s="5" t="s">
        <v>13</v>
      </c>
      <c r="B80" s="6" t="s">
        <v>92</v>
      </c>
      <c r="C80" s="6">
        <v>7.1</v>
      </c>
      <c r="D80" s="6">
        <v>0</v>
      </c>
      <c r="E80" s="6">
        <v>0</v>
      </c>
      <c r="F80" s="6">
        <v>0.7</v>
      </c>
      <c r="G80" s="6">
        <v>1.6</v>
      </c>
      <c r="H80" s="6">
        <v>0.9</v>
      </c>
    </row>
    <row r="81" spans="1:8" ht="15" customHeight="1" thickBot="1" x14ac:dyDescent="0.35">
      <c r="A81" s="5" t="s">
        <v>13</v>
      </c>
      <c r="B81" s="6" t="s">
        <v>93</v>
      </c>
      <c r="C81" s="6">
        <v>3.7</v>
      </c>
      <c r="D81" s="6">
        <v>0</v>
      </c>
      <c r="E81" s="6">
        <v>0</v>
      </c>
      <c r="F81" s="6">
        <v>1.5</v>
      </c>
      <c r="G81" s="6">
        <v>1.6</v>
      </c>
      <c r="H81" s="6">
        <v>3</v>
      </c>
    </row>
    <row r="82" spans="1:8" ht="15" customHeight="1" thickBot="1" x14ac:dyDescent="0.35">
      <c r="A82" s="5" t="s">
        <v>13</v>
      </c>
      <c r="B82" s="6" t="s">
        <v>94</v>
      </c>
      <c r="C82" s="6">
        <v>5.3</v>
      </c>
      <c r="D82" s="6">
        <v>0</v>
      </c>
      <c r="E82" s="6">
        <v>0</v>
      </c>
      <c r="F82" s="6">
        <v>1.2</v>
      </c>
      <c r="G82" s="6">
        <v>1.5</v>
      </c>
      <c r="H82" s="6">
        <v>3</v>
      </c>
    </row>
    <row r="83" spans="1:8" ht="15" customHeight="1" thickBot="1" x14ac:dyDescent="0.35">
      <c r="A83" s="5" t="s">
        <v>13</v>
      </c>
      <c r="B83" s="6" t="s">
        <v>95</v>
      </c>
      <c r="C83" s="6">
        <v>0</v>
      </c>
      <c r="D83" s="6">
        <v>0</v>
      </c>
      <c r="E83" s="6">
        <v>16.7</v>
      </c>
      <c r="F83" s="6">
        <v>3.1</v>
      </c>
      <c r="G83" s="6">
        <v>3.7</v>
      </c>
      <c r="H83" s="6">
        <v>2.7</v>
      </c>
    </row>
    <row r="84" spans="1:8" ht="15" customHeight="1" thickBot="1" x14ac:dyDescent="0.35">
      <c r="A84" s="5" t="s">
        <v>13</v>
      </c>
      <c r="B84" s="6" t="s">
        <v>96</v>
      </c>
      <c r="C84" s="6">
        <v>10</v>
      </c>
      <c r="D84" s="6">
        <v>0</v>
      </c>
      <c r="E84" s="6">
        <v>0</v>
      </c>
      <c r="F84" s="6">
        <v>1.5</v>
      </c>
      <c r="G84" s="6">
        <v>3.6</v>
      </c>
      <c r="H84" s="6">
        <v>3.4</v>
      </c>
    </row>
    <row r="85" spans="1:8" ht="15" customHeight="1" thickBot="1" x14ac:dyDescent="0.35">
      <c r="A85" s="5" t="s">
        <v>13</v>
      </c>
      <c r="B85" s="6" t="s">
        <v>97</v>
      </c>
      <c r="C85" s="6">
        <v>6.7</v>
      </c>
      <c r="D85" s="6"/>
      <c r="E85" s="6">
        <v>0</v>
      </c>
      <c r="F85" s="6">
        <v>3.8</v>
      </c>
      <c r="G85" s="6">
        <v>4.7</v>
      </c>
      <c r="H85" s="6">
        <v>2.7</v>
      </c>
    </row>
    <row r="86" spans="1:8" ht="15" customHeight="1" thickBot="1" x14ac:dyDescent="0.35">
      <c r="A86" s="5" t="s">
        <v>13</v>
      </c>
      <c r="B86" s="6" t="s">
        <v>98</v>
      </c>
      <c r="C86" s="6">
        <v>0</v>
      </c>
      <c r="D86" s="6">
        <v>0</v>
      </c>
      <c r="E86" s="6">
        <v>0</v>
      </c>
      <c r="F86" s="6">
        <v>1.3</v>
      </c>
      <c r="G86" s="6">
        <v>6.8</v>
      </c>
      <c r="H86" s="6">
        <v>7.4</v>
      </c>
    </row>
    <row r="87" spans="1:8" ht="15" customHeight="1" thickBot="1" x14ac:dyDescent="0.35">
      <c r="A87" s="5" t="s">
        <v>13</v>
      </c>
      <c r="B87" s="6" t="s">
        <v>99</v>
      </c>
      <c r="C87" s="6">
        <v>0</v>
      </c>
      <c r="D87" s="6"/>
      <c r="E87" s="6">
        <v>16.7</v>
      </c>
      <c r="F87" s="6">
        <v>8.6</v>
      </c>
      <c r="G87" s="6">
        <v>3.9</v>
      </c>
      <c r="H87" s="6">
        <v>9.4</v>
      </c>
    </row>
    <row r="88" spans="1:8" ht="15" customHeight="1" thickBot="1" x14ac:dyDescent="0.35">
      <c r="A88" s="5" t="s">
        <v>13</v>
      </c>
      <c r="B88" s="6" t="s">
        <v>100</v>
      </c>
      <c r="C88" s="6">
        <v>0</v>
      </c>
      <c r="D88" s="6">
        <v>0</v>
      </c>
      <c r="E88" s="6">
        <v>50</v>
      </c>
      <c r="F88" s="6">
        <v>1.9</v>
      </c>
      <c r="G88" s="6">
        <v>3.3</v>
      </c>
      <c r="H88" s="6">
        <v>7.3</v>
      </c>
    </row>
    <row r="89" spans="1:8" ht="15" customHeight="1" thickBot="1" x14ac:dyDescent="0.35">
      <c r="A89" s="5" t="s">
        <v>13</v>
      </c>
      <c r="B89" s="6" t="s">
        <v>101</v>
      </c>
      <c r="C89" s="6">
        <v>0</v>
      </c>
      <c r="D89" s="6">
        <v>0</v>
      </c>
      <c r="E89" s="6">
        <v>0</v>
      </c>
      <c r="F89" s="6">
        <v>1.7</v>
      </c>
      <c r="G89" s="6">
        <v>7.1</v>
      </c>
      <c r="H89" s="6">
        <v>6.6</v>
      </c>
    </row>
    <row r="90" spans="1:8" ht="15" customHeight="1" thickBot="1" x14ac:dyDescent="0.35">
      <c r="A90" s="5" t="s">
        <v>13</v>
      </c>
      <c r="B90" s="6" t="s">
        <v>102</v>
      </c>
      <c r="C90" s="6">
        <v>0</v>
      </c>
      <c r="D90" s="6">
        <v>0</v>
      </c>
      <c r="E90" s="6">
        <v>0</v>
      </c>
      <c r="F90" s="6">
        <v>3.8</v>
      </c>
      <c r="G90" s="6">
        <v>2.6</v>
      </c>
      <c r="H90" s="6">
        <v>9.1999999999999993</v>
      </c>
    </row>
    <row r="91" spans="1:8" ht="15" customHeight="1" thickBot="1" x14ac:dyDescent="0.35">
      <c r="A91" s="5" t="s">
        <v>13</v>
      </c>
      <c r="B91" s="6" t="s">
        <v>103</v>
      </c>
      <c r="C91" s="6">
        <v>9.5</v>
      </c>
      <c r="D91" s="6">
        <v>0</v>
      </c>
      <c r="E91" s="6">
        <v>0</v>
      </c>
      <c r="F91" s="6">
        <v>9.3000000000000007</v>
      </c>
      <c r="G91" s="6">
        <v>2.8</v>
      </c>
      <c r="H91" s="6">
        <v>6</v>
      </c>
    </row>
    <row r="92" spans="1:8" ht="15" customHeight="1" thickBot="1" x14ac:dyDescent="0.35">
      <c r="A92" s="5" t="s">
        <v>13</v>
      </c>
      <c r="B92" s="6" t="s">
        <v>104</v>
      </c>
      <c r="C92" s="6">
        <v>0</v>
      </c>
      <c r="D92" s="6">
        <v>0</v>
      </c>
      <c r="E92" s="6">
        <v>60</v>
      </c>
      <c r="F92" s="6">
        <v>4.9000000000000004</v>
      </c>
      <c r="G92" s="6">
        <v>6.9</v>
      </c>
      <c r="H92" s="6">
        <v>4.8</v>
      </c>
    </row>
    <row r="93" spans="1:8" ht="15" customHeight="1" thickBot="1" x14ac:dyDescent="0.35">
      <c r="A93" s="5" t="s">
        <v>13</v>
      </c>
      <c r="B93" s="6" t="s">
        <v>105</v>
      </c>
      <c r="C93" s="6">
        <v>20</v>
      </c>
      <c r="D93" s="6"/>
      <c r="E93" s="6">
        <v>0</v>
      </c>
      <c r="F93" s="6">
        <v>11.8</v>
      </c>
      <c r="G93" s="6">
        <v>8.5</v>
      </c>
      <c r="H93" s="6">
        <v>3.8</v>
      </c>
    </row>
    <row r="94" spans="1:8" ht="15" customHeight="1" thickBot="1" x14ac:dyDescent="0.35">
      <c r="A94" s="5" t="s">
        <v>13</v>
      </c>
      <c r="B94" s="6" t="s">
        <v>106</v>
      </c>
      <c r="C94" s="6">
        <v>0</v>
      </c>
      <c r="D94" s="6">
        <v>0</v>
      </c>
      <c r="E94" s="6">
        <v>0</v>
      </c>
      <c r="F94" s="6">
        <v>2.6</v>
      </c>
      <c r="G94" s="6">
        <v>5</v>
      </c>
      <c r="H94" s="6">
        <v>4.2</v>
      </c>
    </row>
    <row r="95" spans="1:8" ht="15" customHeight="1" thickBot="1" x14ac:dyDescent="0.35">
      <c r="A95" s="5" t="s">
        <v>13</v>
      </c>
      <c r="B95" s="6" t="s">
        <v>107</v>
      </c>
      <c r="C95" s="6">
        <v>25</v>
      </c>
      <c r="D95" s="6">
        <v>100</v>
      </c>
      <c r="E95" s="6">
        <v>16.7</v>
      </c>
      <c r="F95" s="6">
        <v>4.5</v>
      </c>
      <c r="G95" s="6">
        <v>3.8</v>
      </c>
      <c r="H95" s="6">
        <v>11.1</v>
      </c>
    </row>
    <row r="96" spans="1:8" ht="15" customHeight="1" thickBot="1" x14ac:dyDescent="0.35">
      <c r="A96" s="5" t="s">
        <v>13</v>
      </c>
      <c r="B96" s="6" t="s">
        <v>108</v>
      </c>
      <c r="C96" s="6">
        <v>33.299999999999997</v>
      </c>
      <c r="D96" s="6"/>
      <c r="E96" s="6">
        <v>40</v>
      </c>
      <c r="F96" s="6">
        <v>4.5</v>
      </c>
      <c r="G96" s="6">
        <v>4.5</v>
      </c>
      <c r="H96" s="6">
        <v>7.2</v>
      </c>
    </row>
    <row r="97" spans="1:8" ht="15" customHeight="1" thickBot="1" x14ac:dyDescent="0.35">
      <c r="A97" s="5" t="s">
        <v>13</v>
      </c>
      <c r="B97" s="6" t="s">
        <v>109</v>
      </c>
      <c r="C97" s="6">
        <v>75</v>
      </c>
      <c r="D97" s="6">
        <v>100</v>
      </c>
      <c r="E97" s="6">
        <v>0</v>
      </c>
      <c r="F97" s="6">
        <v>3.4</v>
      </c>
      <c r="G97" s="6">
        <v>3.2</v>
      </c>
      <c r="H97" s="6">
        <v>2.2999999999999998</v>
      </c>
    </row>
    <row r="98" spans="1:8" ht="15" customHeight="1" thickBot="1" x14ac:dyDescent="0.35">
      <c r="A98" s="5" t="s">
        <v>13</v>
      </c>
      <c r="B98" s="6" t="s">
        <v>110</v>
      </c>
      <c r="C98" s="6">
        <v>20</v>
      </c>
      <c r="D98" s="6">
        <v>0</v>
      </c>
      <c r="E98" s="6">
        <v>0</v>
      </c>
      <c r="F98" s="6">
        <v>16.2</v>
      </c>
      <c r="G98" s="6">
        <v>7.7</v>
      </c>
      <c r="H98" s="6">
        <v>7.6</v>
      </c>
    </row>
    <row r="99" spans="1:8" ht="15" customHeight="1" thickBot="1" x14ac:dyDescent="0.35">
      <c r="A99" s="5" t="s">
        <v>13</v>
      </c>
      <c r="B99" s="6" t="s">
        <v>111</v>
      </c>
      <c r="C99" s="6">
        <v>21.4</v>
      </c>
      <c r="D99" s="6"/>
      <c r="E99" s="6">
        <v>0</v>
      </c>
      <c r="F99" s="6">
        <v>12.2</v>
      </c>
      <c r="G99" s="6">
        <v>10.7</v>
      </c>
      <c r="H99" s="6">
        <v>13.1</v>
      </c>
    </row>
    <row r="100" spans="1:8" ht="15" customHeight="1" thickBot="1" x14ac:dyDescent="0.35">
      <c r="A100" s="5" t="s">
        <v>13</v>
      </c>
      <c r="B100" s="6" t="s">
        <v>112</v>
      </c>
      <c r="C100" s="6">
        <v>14.3</v>
      </c>
      <c r="D100" s="6"/>
      <c r="E100" s="6">
        <v>40</v>
      </c>
      <c r="F100" s="6">
        <v>10</v>
      </c>
      <c r="G100" s="6">
        <v>11.1</v>
      </c>
      <c r="H100" s="6">
        <v>12</v>
      </c>
    </row>
    <row r="101" spans="1:8" ht="15" customHeight="1" thickBot="1" x14ac:dyDescent="0.35">
      <c r="A101" s="5" t="s">
        <v>13</v>
      </c>
      <c r="B101" s="6" t="s">
        <v>113</v>
      </c>
      <c r="C101" s="6">
        <v>18.2</v>
      </c>
      <c r="D101" s="6">
        <v>0</v>
      </c>
      <c r="E101" s="6">
        <v>0</v>
      </c>
      <c r="F101" s="6">
        <v>13.5</v>
      </c>
      <c r="G101" s="6">
        <v>9.5</v>
      </c>
      <c r="H101" s="6">
        <v>16.100000000000001</v>
      </c>
    </row>
    <row r="102" spans="1:8" ht="15" customHeight="1" thickBot="1" x14ac:dyDescent="0.35">
      <c r="A102" s="5" t="s">
        <v>13</v>
      </c>
      <c r="B102" s="6" t="s">
        <v>114</v>
      </c>
      <c r="C102" s="6">
        <v>46.2</v>
      </c>
      <c r="D102" s="6">
        <v>0</v>
      </c>
      <c r="E102" s="6">
        <v>0</v>
      </c>
      <c r="F102" s="6">
        <v>12.5</v>
      </c>
      <c r="G102" s="6">
        <v>14.3</v>
      </c>
      <c r="H102" s="6">
        <v>12.4</v>
      </c>
    </row>
    <row r="103" spans="1:8" ht="15" customHeight="1" thickBot="1" x14ac:dyDescent="0.35">
      <c r="A103" s="5" t="s">
        <v>13</v>
      </c>
      <c r="B103" s="6" t="s">
        <v>115</v>
      </c>
      <c r="C103" s="6">
        <v>33.299999999999997</v>
      </c>
      <c r="D103" s="6">
        <v>33.299999999999997</v>
      </c>
      <c r="E103" s="6">
        <v>0</v>
      </c>
      <c r="F103" s="6">
        <v>8.6</v>
      </c>
      <c r="G103" s="6">
        <v>16.100000000000001</v>
      </c>
      <c r="H103" s="6">
        <v>12.4</v>
      </c>
    </row>
    <row r="104" spans="1:8" ht="15" customHeight="1" thickBot="1" x14ac:dyDescent="0.35">
      <c r="A104" s="5" t="s">
        <v>13</v>
      </c>
      <c r="B104" s="6" t="s">
        <v>116</v>
      </c>
      <c r="C104" s="6">
        <v>20</v>
      </c>
      <c r="D104" s="6">
        <v>0</v>
      </c>
      <c r="E104" s="6">
        <v>33.299999999999997</v>
      </c>
      <c r="F104" s="6">
        <v>5.4</v>
      </c>
      <c r="G104" s="6">
        <v>11.2</v>
      </c>
      <c r="H104" s="6">
        <v>18.899999999999999</v>
      </c>
    </row>
    <row r="105" spans="1:8" ht="15" customHeight="1" thickBot="1" x14ac:dyDescent="0.35">
      <c r="A105" s="5" t="s">
        <v>13</v>
      </c>
      <c r="B105" s="6" t="s">
        <v>117</v>
      </c>
      <c r="C105" s="6">
        <v>28.6</v>
      </c>
      <c r="D105" s="6">
        <v>0</v>
      </c>
      <c r="E105" s="6">
        <v>16.7</v>
      </c>
      <c r="F105" s="6">
        <v>9.5</v>
      </c>
      <c r="G105" s="6">
        <v>10.3</v>
      </c>
      <c r="H105" s="6">
        <v>14.6</v>
      </c>
    </row>
    <row r="106" spans="1:8" ht="15" customHeight="1" thickBot="1" x14ac:dyDescent="0.35">
      <c r="A106" s="5" t="s">
        <v>13</v>
      </c>
      <c r="B106" s="6" t="s">
        <v>118</v>
      </c>
      <c r="C106" s="6">
        <v>0</v>
      </c>
      <c r="D106" s="6">
        <v>0</v>
      </c>
      <c r="E106" s="6">
        <v>22.2</v>
      </c>
      <c r="F106" s="6">
        <v>12.5</v>
      </c>
      <c r="G106" s="6">
        <v>18.100000000000001</v>
      </c>
      <c r="H106" s="6">
        <v>20.3</v>
      </c>
    </row>
    <row r="107" spans="1:8" ht="15" customHeight="1" thickBot="1" x14ac:dyDescent="0.35">
      <c r="A107" s="5" t="s">
        <v>13</v>
      </c>
      <c r="B107" s="6" t="s">
        <v>119</v>
      </c>
      <c r="C107" s="6">
        <v>10</v>
      </c>
      <c r="D107" s="6">
        <v>0</v>
      </c>
      <c r="E107" s="6">
        <v>22.2</v>
      </c>
      <c r="F107" s="6">
        <v>11.4</v>
      </c>
      <c r="G107" s="6">
        <v>14.9</v>
      </c>
      <c r="H107" s="6">
        <v>21.8</v>
      </c>
    </row>
    <row r="108" spans="1:8" ht="15" customHeight="1" thickBot="1" x14ac:dyDescent="0.35">
      <c r="A108" s="5" t="s">
        <v>13</v>
      </c>
      <c r="B108" s="6" t="s">
        <v>120</v>
      </c>
      <c r="C108" s="6">
        <v>14.3</v>
      </c>
      <c r="D108" s="6">
        <v>0</v>
      </c>
      <c r="E108" s="6">
        <v>25</v>
      </c>
      <c r="F108" s="6">
        <v>9.8000000000000007</v>
      </c>
      <c r="G108" s="6">
        <v>19</v>
      </c>
      <c r="H108" s="6">
        <v>16.100000000000001</v>
      </c>
    </row>
    <row r="109" spans="1:8" ht="15" customHeight="1" thickBot="1" x14ac:dyDescent="0.35">
      <c r="A109" s="5" t="s">
        <v>13</v>
      </c>
      <c r="B109" s="6" t="s">
        <v>121</v>
      </c>
      <c r="C109" s="6">
        <v>10</v>
      </c>
      <c r="D109" s="6">
        <v>0</v>
      </c>
      <c r="E109" s="6">
        <v>0</v>
      </c>
      <c r="F109" s="6">
        <v>9.1999999999999993</v>
      </c>
      <c r="G109" s="6">
        <v>13.5</v>
      </c>
      <c r="H109" s="6">
        <v>13.1</v>
      </c>
    </row>
    <row r="110" spans="1:8" ht="15" customHeight="1" thickBot="1" x14ac:dyDescent="0.35">
      <c r="A110" s="5" t="s">
        <v>13</v>
      </c>
      <c r="B110" s="6" t="s">
        <v>122</v>
      </c>
      <c r="C110" s="6">
        <v>7.7</v>
      </c>
      <c r="D110" s="6">
        <v>0</v>
      </c>
      <c r="E110" s="6">
        <v>0</v>
      </c>
      <c r="F110" s="6">
        <v>7.2</v>
      </c>
      <c r="G110" s="6">
        <v>15.3</v>
      </c>
      <c r="H110" s="6">
        <v>17.8</v>
      </c>
    </row>
    <row r="111" spans="1:8" ht="15" customHeight="1" thickBot="1" x14ac:dyDescent="0.35">
      <c r="A111" s="5" t="s">
        <v>13</v>
      </c>
      <c r="B111" s="6" t="s">
        <v>123</v>
      </c>
      <c r="C111" s="6">
        <v>18.2</v>
      </c>
      <c r="D111" s="6">
        <v>0</v>
      </c>
      <c r="E111" s="6">
        <v>0</v>
      </c>
      <c r="F111" s="6">
        <v>4.2</v>
      </c>
      <c r="G111" s="6">
        <v>11.2</v>
      </c>
      <c r="H111" s="6">
        <v>12.8</v>
      </c>
    </row>
    <row r="112" spans="1:8" ht="15" customHeight="1" thickBot="1" x14ac:dyDescent="0.35">
      <c r="A112" s="5" t="s">
        <v>13</v>
      </c>
      <c r="B112" s="6" t="s">
        <v>124</v>
      </c>
      <c r="C112" s="6">
        <v>23.5</v>
      </c>
      <c r="D112" s="6">
        <v>0</v>
      </c>
      <c r="E112" s="6">
        <v>33.299999999999997</v>
      </c>
      <c r="F112" s="6">
        <v>4.5</v>
      </c>
      <c r="G112" s="6">
        <v>8.6</v>
      </c>
      <c r="H112" s="6">
        <v>9.1999999999999993</v>
      </c>
    </row>
    <row r="113" spans="1:8" ht="15" customHeight="1" thickBot="1" x14ac:dyDescent="0.35">
      <c r="A113" s="5" t="s">
        <v>13</v>
      </c>
      <c r="B113" s="6" t="s">
        <v>125</v>
      </c>
      <c r="C113" s="6">
        <v>0</v>
      </c>
      <c r="D113" s="6">
        <v>50</v>
      </c>
      <c r="E113" s="6">
        <v>0</v>
      </c>
      <c r="F113" s="6">
        <v>6.2</v>
      </c>
      <c r="G113" s="6">
        <v>11.7</v>
      </c>
      <c r="H113" s="6">
        <v>5.9</v>
      </c>
    </row>
    <row r="114" spans="1:8" ht="15" customHeight="1" thickBot="1" x14ac:dyDescent="0.35">
      <c r="A114" s="5" t="s">
        <v>13</v>
      </c>
      <c r="B114" s="6" t="s">
        <v>126</v>
      </c>
      <c r="C114" s="6">
        <v>18.8</v>
      </c>
      <c r="D114" s="6">
        <v>12.5</v>
      </c>
      <c r="E114" s="6">
        <v>0</v>
      </c>
      <c r="F114" s="6">
        <v>8.1</v>
      </c>
      <c r="G114" s="6">
        <v>11.4</v>
      </c>
      <c r="H114" s="6">
        <v>10.6</v>
      </c>
    </row>
    <row r="115" spans="1:8" ht="15" customHeight="1" thickBot="1" x14ac:dyDescent="0.35">
      <c r="A115" s="5" t="s">
        <v>13</v>
      </c>
      <c r="B115" s="6" t="s">
        <v>127</v>
      </c>
      <c r="C115" s="6">
        <v>23.8</v>
      </c>
      <c r="D115" s="6">
        <v>0</v>
      </c>
      <c r="E115" s="6">
        <v>25</v>
      </c>
      <c r="F115" s="6">
        <v>11</v>
      </c>
      <c r="G115" s="6">
        <v>9.9</v>
      </c>
      <c r="H115" s="6">
        <v>8.5</v>
      </c>
    </row>
    <row r="116" spans="1:8" ht="15" customHeight="1" thickBot="1" x14ac:dyDescent="0.35">
      <c r="A116" s="5" t="s">
        <v>13</v>
      </c>
      <c r="B116" s="6" t="s">
        <v>128</v>
      </c>
      <c r="C116" s="6">
        <v>14.3</v>
      </c>
      <c r="D116" s="6">
        <v>0</v>
      </c>
      <c r="E116" s="6">
        <v>31.6</v>
      </c>
      <c r="F116" s="6">
        <v>9.5</v>
      </c>
      <c r="G116" s="6">
        <v>7</v>
      </c>
      <c r="H116" s="6">
        <v>7.3</v>
      </c>
    </row>
    <row r="117" spans="1:8" ht="15" customHeight="1" thickBot="1" x14ac:dyDescent="0.35">
      <c r="A117" s="5" t="s">
        <v>13</v>
      </c>
      <c r="B117" s="6" t="s">
        <v>129</v>
      </c>
      <c r="C117" s="6">
        <v>17.2</v>
      </c>
      <c r="D117" s="6">
        <v>0</v>
      </c>
      <c r="E117" s="6">
        <v>7.1</v>
      </c>
      <c r="F117" s="6">
        <v>9.3000000000000007</v>
      </c>
      <c r="G117" s="6">
        <v>10.6</v>
      </c>
      <c r="H117" s="6">
        <v>9.1999999999999993</v>
      </c>
    </row>
    <row r="118" spans="1:8" ht="15" customHeight="1" thickBot="1" x14ac:dyDescent="0.35">
      <c r="A118" s="5" t="s">
        <v>13</v>
      </c>
      <c r="B118" s="6" t="s">
        <v>130</v>
      </c>
      <c r="C118" s="6">
        <v>15.4</v>
      </c>
      <c r="D118" s="6">
        <v>25</v>
      </c>
      <c r="E118" s="6">
        <v>13.3</v>
      </c>
      <c r="F118" s="6">
        <v>12.3</v>
      </c>
      <c r="G118" s="6">
        <v>10.8</v>
      </c>
      <c r="H118" s="6">
        <v>8.6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017A-3CA4-47AB-821A-0A04FA6240D2}">
  <dimension ref="A1:H118"/>
  <sheetViews>
    <sheetView workbookViewId="0">
      <pane xSplit="2" ySplit="1" topLeftCell="C78" activePane="bottomRight" state="frozen"/>
      <selection pane="topRight" activeCell="C1" sqref="C1"/>
      <selection pane="bottomLeft" activeCell="A2" sqref="A2"/>
      <selection pane="bottomRight" activeCell="H1" sqref="H1"/>
    </sheetView>
  </sheetViews>
  <sheetFormatPr defaultRowHeight="14.4" x14ac:dyDescent="0.3"/>
  <cols>
    <col min="2" max="2" width="9.44140625" bestFit="1" customWidth="1"/>
    <col min="3" max="3" width="16.6640625" customWidth="1"/>
    <col min="4" max="4" width="14.109375" customWidth="1"/>
    <col min="5" max="5" width="17.6640625" customWidth="1"/>
    <col min="6" max="6" width="16.6640625" customWidth="1"/>
    <col min="7" max="7" width="15.33203125" customWidth="1"/>
    <col min="8" max="8" width="19.5546875" customWidth="1"/>
  </cols>
  <sheetData>
    <row r="1" spans="1:8" ht="15" customHeight="1" thickBot="1" x14ac:dyDescent="0.35">
      <c r="A1" s="14" t="s">
        <v>4</v>
      </c>
      <c r="B1" s="15" t="s">
        <v>5</v>
      </c>
      <c r="C1" s="16" t="s">
        <v>149</v>
      </c>
      <c r="D1" s="17" t="s">
        <v>150</v>
      </c>
      <c r="E1" s="16" t="s">
        <v>151</v>
      </c>
      <c r="F1" s="16" t="s">
        <v>152</v>
      </c>
      <c r="G1" s="16" t="s">
        <v>153</v>
      </c>
      <c r="H1" s="16" t="s">
        <v>178</v>
      </c>
    </row>
    <row r="2" spans="1:8" ht="15" customHeight="1" thickBot="1" x14ac:dyDescent="0.35">
      <c r="A2" s="5" t="s">
        <v>13</v>
      </c>
      <c r="B2" s="6" t="s">
        <v>14</v>
      </c>
      <c r="C2" s="7">
        <v>0</v>
      </c>
      <c r="D2" s="7">
        <v>0</v>
      </c>
      <c r="E2" s="7">
        <v>0</v>
      </c>
      <c r="F2" s="7">
        <v>0</v>
      </c>
      <c r="G2" s="7">
        <v>1.1000000000000001</v>
      </c>
      <c r="H2" s="7">
        <v>0</v>
      </c>
    </row>
    <row r="3" spans="1:8" ht="15" customHeight="1" thickBot="1" x14ac:dyDescent="0.35">
      <c r="A3" s="5" t="s">
        <v>13</v>
      </c>
      <c r="B3" s="6" t="s">
        <v>15</v>
      </c>
      <c r="C3" s="7">
        <v>0</v>
      </c>
      <c r="D3" s="7">
        <v>0</v>
      </c>
      <c r="E3" s="7">
        <v>0</v>
      </c>
      <c r="F3" s="7">
        <v>1.1000000000000001</v>
      </c>
      <c r="G3" s="7">
        <v>0.6</v>
      </c>
      <c r="H3" s="7">
        <v>1.1000000000000001</v>
      </c>
    </row>
    <row r="4" spans="1:8" ht="15" customHeight="1" thickBot="1" x14ac:dyDescent="0.35">
      <c r="A4" s="5" t="s">
        <v>13</v>
      </c>
      <c r="B4" s="6" t="s">
        <v>16</v>
      </c>
      <c r="C4" s="7">
        <v>0</v>
      </c>
      <c r="D4" s="7">
        <v>0</v>
      </c>
      <c r="E4" s="7">
        <v>0</v>
      </c>
      <c r="F4" s="7">
        <v>2.2999999999999998</v>
      </c>
      <c r="G4" s="7">
        <v>1</v>
      </c>
      <c r="H4" s="7">
        <v>0.5</v>
      </c>
    </row>
    <row r="5" spans="1:8" ht="15" customHeight="1" thickBot="1" x14ac:dyDescent="0.35">
      <c r="A5" s="5" t="s">
        <v>13</v>
      </c>
      <c r="B5" s="6" t="s">
        <v>17</v>
      </c>
      <c r="C5" s="7">
        <v>2.4</v>
      </c>
      <c r="D5" s="7">
        <v>0</v>
      </c>
      <c r="E5" s="7">
        <v>5.6</v>
      </c>
      <c r="F5" s="7">
        <v>1</v>
      </c>
      <c r="G5" s="7">
        <v>2.7</v>
      </c>
      <c r="H5" s="7">
        <v>0.4</v>
      </c>
    </row>
    <row r="6" spans="1:8" ht="15" customHeight="1" thickBot="1" x14ac:dyDescent="0.35">
      <c r="A6" s="5" t="s">
        <v>13</v>
      </c>
      <c r="B6" s="6" t="s">
        <v>18</v>
      </c>
      <c r="C6" s="7">
        <v>3.2</v>
      </c>
      <c r="D6" s="7">
        <v>9.1</v>
      </c>
      <c r="E6" s="7">
        <v>0</v>
      </c>
      <c r="F6" s="7">
        <v>3</v>
      </c>
      <c r="G6" s="7">
        <v>0.9</v>
      </c>
      <c r="H6" s="7">
        <v>0.8</v>
      </c>
    </row>
    <row r="7" spans="1:8" ht="15" customHeight="1" thickBot="1" x14ac:dyDescent="0.35">
      <c r="A7" s="5" t="s">
        <v>13</v>
      </c>
      <c r="B7" s="6" t="s">
        <v>19</v>
      </c>
      <c r="C7" s="7">
        <v>0</v>
      </c>
      <c r="D7" s="7">
        <v>11.1</v>
      </c>
      <c r="E7" s="7">
        <v>12</v>
      </c>
      <c r="F7" s="7">
        <v>5.5</v>
      </c>
      <c r="G7" s="7">
        <v>3.7</v>
      </c>
      <c r="H7" s="7">
        <v>1.6</v>
      </c>
    </row>
    <row r="8" spans="1:8" ht="15" customHeight="1" thickBot="1" x14ac:dyDescent="0.35">
      <c r="A8" s="5" t="s">
        <v>13</v>
      </c>
      <c r="B8" s="6" t="s">
        <v>20</v>
      </c>
      <c r="C8" s="7">
        <v>0</v>
      </c>
      <c r="D8" s="7">
        <v>0</v>
      </c>
      <c r="E8" s="7">
        <v>5</v>
      </c>
      <c r="F8" s="7">
        <v>6.1</v>
      </c>
      <c r="G8" s="7">
        <v>1.4</v>
      </c>
      <c r="H8" s="7">
        <v>1.9</v>
      </c>
    </row>
    <row r="9" spans="1:8" ht="15" customHeight="1" thickBot="1" x14ac:dyDescent="0.35">
      <c r="A9" s="5" t="s">
        <v>13</v>
      </c>
      <c r="B9" s="6" t="s">
        <v>21</v>
      </c>
      <c r="C9" s="7">
        <v>5.4</v>
      </c>
      <c r="D9" s="7">
        <v>7.1</v>
      </c>
      <c r="E9" s="7">
        <v>0</v>
      </c>
      <c r="F9" s="7">
        <v>4.8</v>
      </c>
      <c r="G9" s="7">
        <v>4.5999999999999996</v>
      </c>
      <c r="H9" s="7">
        <v>0.7</v>
      </c>
    </row>
    <row r="10" spans="1:8" ht="15" customHeight="1" thickBot="1" x14ac:dyDescent="0.35">
      <c r="A10" s="5" t="s">
        <v>13</v>
      </c>
      <c r="B10" s="6" t="s">
        <v>22</v>
      </c>
      <c r="C10" s="7">
        <v>3.4</v>
      </c>
      <c r="D10" s="7">
        <v>20</v>
      </c>
      <c r="E10" s="7">
        <v>0</v>
      </c>
      <c r="F10" s="7">
        <v>6.9</v>
      </c>
      <c r="G10" s="7">
        <v>4.8</v>
      </c>
      <c r="H10" s="7">
        <v>4.8</v>
      </c>
    </row>
    <row r="11" spans="1:8" ht="15" customHeight="1" thickBot="1" x14ac:dyDescent="0.35">
      <c r="A11" s="5" t="s">
        <v>13</v>
      </c>
      <c r="B11" s="6" t="s">
        <v>23</v>
      </c>
      <c r="C11" s="7">
        <v>5.6</v>
      </c>
      <c r="D11" s="7">
        <v>40</v>
      </c>
      <c r="E11" s="7">
        <v>12.1</v>
      </c>
      <c r="F11" s="7">
        <v>17.7</v>
      </c>
      <c r="G11" s="7">
        <v>8.4</v>
      </c>
      <c r="H11" s="7">
        <v>5.8</v>
      </c>
    </row>
    <row r="12" spans="1:8" ht="15" customHeight="1" thickBot="1" x14ac:dyDescent="0.35">
      <c r="A12" s="5" t="s">
        <v>13</v>
      </c>
      <c r="B12" s="6" t="s">
        <v>24</v>
      </c>
      <c r="C12" s="7">
        <v>8.4</v>
      </c>
      <c r="D12" s="7">
        <v>22.2</v>
      </c>
      <c r="E12" s="7">
        <v>16.7</v>
      </c>
      <c r="F12" s="7">
        <v>25.9</v>
      </c>
      <c r="G12" s="7">
        <v>20.2</v>
      </c>
      <c r="H12" s="7">
        <v>11.6</v>
      </c>
    </row>
    <row r="13" spans="1:8" ht="15" customHeight="1" thickBot="1" x14ac:dyDescent="0.35">
      <c r="A13" s="5" t="s">
        <v>13</v>
      </c>
      <c r="B13" s="6" t="s">
        <v>25</v>
      </c>
      <c r="C13" s="7">
        <v>11.2</v>
      </c>
      <c r="D13" s="7">
        <v>75</v>
      </c>
      <c r="E13" s="7">
        <v>21.4</v>
      </c>
      <c r="F13" s="7">
        <v>32.9</v>
      </c>
      <c r="G13" s="7">
        <v>20.5</v>
      </c>
      <c r="H13" s="7">
        <v>15.2</v>
      </c>
    </row>
    <row r="14" spans="1:8" ht="15" customHeight="1" thickBot="1" x14ac:dyDescent="0.35">
      <c r="A14" s="5" t="s">
        <v>13</v>
      </c>
      <c r="B14" s="6" t="s">
        <v>26</v>
      </c>
      <c r="C14" s="7">
        <v>13.3</v>
      </c>
      <c r="D14" s="7">
        <v>23.1</v>
      </c>
      <c r="E14" s="7">
        <v>37.9</v>
      </c>
      <c r="F14" s="7">
        <v>36.6</v>
      </c>
      <c r="G14" s="7">
        <v>26.1</v>
      </c>
      <c r="H14" s="7">
        <v>21.2</v>
      </c>
    </row>
    <row r="15" spans="1:8" ht="15" customHeight="1" thickBot="1" x14ac:dyDescent="0.35">
      <c r="A15" s="5" t="s">
        <v>13</v>
      </c>
      <c r="B15" s="6" t="s">
        <v>27</v>
      </c>
      <c r="C15" s="7">
        <v>18.8</v>
      </c>
      <c r="D15" s="7">
        <v>50</v>
      </c>
      <c r="E15" s="7">
        <v>46.4</v>
      </c>
      <c r="F15" s="7">
        <v>30.4</v>
      </c>
      <c r="G15" s="7">
        <v>21.7</v>
      </c>
      <c r="H15" s="7">
        <v>13.1</v>
      </c>
    </row>
    <row r="16" spans="1:8" ht="15" customHeight="1" thickBot="1" x14ac:dyDescent="0.35">
      <c r="A16" s="5" t="s">
        <v>13</v>
      </c>
      <c r="B16" s="6" t="s">
        <v>28</v>
      </c>
      <c r="C16" s="7">
        <v>29</v>
      </c>
      <c r="D16" s="7">
        <v>41.7</v>
      </c>
      <c r="E16" s="7">
        <v>36.799999999999997</v>
      </c>
      <c r="F16" s="7">
        <v>33.5</v>
      </c>
      <c r="G16" s="7">
        <v>22.6</v>
      </c>
      <c r="H16" s="7">
        <v>15.3</v>
      </c>
    </row>
    <row r="17" spans="1:8" ht="15" customHeight="1" thickBot="1" x14ac:dyDescent="0.35">
      <c r="A17" s="5" t="s">
        <v>13</v>
      </c>
      <c r="B17" s="6" t="s">
        <v>29</v>
      </c>
      <c r="C17" s="7">
        <v>25.3</v>
      </c>
      <c r="D17" s="7">
        <v>58.8</v>
      </c>
      <c r="E17" s="7">
        <v>35.5</v>
      </c>
      <c r="F17" s="7">
        <v>40.6</v>
      </c>
      <c r="G17" s="7">
        <v>26.9</v>
      </c>
      <c r="H17" s="7">
        <v>23.1</v>
      </c>
    </row>
    <row r="18" spans="1:8" ht="15" customHeight="1" thickBot="1" x14ac:dyDescent="0.35">
      <c r="A18" s="5" t="s">
        <v>13</v>
      </c>
      <c r="B18" s="6" t="s">
        <v>30</v>
      </c>
      <c r="C18" s="7">
        <v>28.4</v>
      </c>
      <c r="D18" s="7">
        <v>66.7</v>
      </c>
      <c r="E18" s="7">
        <v>55.9</v>
      </c>
      <c r="F18" s="7">
        <v>48.8</v>
      </c>
      <c r="G18" s="7">
        <v>34.200000000000003</v>
      </c>
      <c r="H18" s="7">
        <v>25.9</v>
      </c>
    </row>
    <row r="19" spans="1:8" ht="15" customHeight="1" thickBot="1" x14ac:dyDescent="0.35">
      <c r="A19" s="5" t="s">
        <v>13</v>
      </c>
      <c r="B19" s="6" t="s">
        <v>31</v>
      </c>
      <c r="C19" s="7">
        <v>50</v>
      </c>
      <c r="D19" s="7">
        <v>65</v>
      </c>
      <c r="E19" s="7">
        <v>54.5</v>
      </c>
      <c r="F19" s="7">
        <v>43.6</v>
      </c>
      <c r="G19" s="7">
        <v>38.6</v>
      </c>
      <c r="H19" s="7">
        <v>25.7</v>
      </c>
    </row>
    <row r="20" spans="1:8" ht="15" customHeight="1" thickBot="1" x14ac:dyDescent="0.35">
      <c r="A20" s="5" t="s">
        <v>13</v>
      </c>
      <c r="B20" s="6" t="s">
        <v>32</v>
      </c>
      <c r="C20" s="7">
        <v>29.5</v>
      </c>
      <c r="D20" s="7">
        <v>50</v>
      </c>
      <c r="E20" s="7">
        <v>45.5</v>
      </c>
      <c r="F20" s="7">
        <v>44.5</v>
      </c>
      <c r="G20" s="7">
        <v>35.299999999999997</v>
      </c>
      <c r="H20" s="7">
        <v>30.9</v>
      </c>
    </row>
    <row r="21" spans="1:8" ht="15" customHeight="1" thickBot="1" x14ac:dyDescent="0.35">
      <c r="A21" s="5" t="s">
        <v>13</v>
      </c>
      <c r="B21" s="6" t="s">
        <v>33</v>
      </c>
      <c r="C21" s="7">
        <v>27.8</v>
      </c>
      <c r="D21" s="7">
        <v>38.5</v>
      </c>
      <c r="E21" s="7">
        <v>20</v>
      </c>
      <c r="F21" s="7">
        <v>40.200000000000003</v>
      </c>
      <c r="G21" s="7">
        <v>33.9</v>
      </c>
      <c r="H21" s="7">
        <v>23.6</v>
      </c>
    </row>
    <row r="22" spans="1:8" ht="15" customHeight="1" thickBot="1" x14ac:dyDescent="0.35">
      <c r="A22" s="5" t="s">
        <v>13</v>
      </c>
      <c r="B22" s="6" t="s">
        <v>34</v>
      </c>
      <c r="C22" s="7">
        <v>18.899999999999999</v>
      </c>
      <c r="D22" s="7">
        <v>22.2</v>
      </c>
      <c r="E22" s="7">
        <v>20</v>
      </c>
      <c r="F22" s="7">
        <v>31.8</v>
      </c>
      <c r="G22" s="7">
        <v>23.6</v>
      </c>
      <c r="H22" s="7">
        <v>21.9</v>
      </c>
    </row>
    <row r="23" spans="1:8" ht="15" customHeight="1" thickBot="1" x14ac:dyDescent="0.35">
      <c r="A23" s="5" t="s">
        <v>13</v>
      </c>
      <c r="B23" s="6" t="s">
        <v>35</v>
      </c>
      <c r="C23" s="7">
        <v>8.3000000000000007</v>
      </c>
      <c r="D23" s="7">
        <v>25</v>
      </c>
      <c r="E23" s="7">
        <v>23.8</v>
      </c>
      <c r="F23" s="7">
        <v>26.9</v>
      </c>
      <c r="G23" s="7">
        <v>19.8</v>
      </c>
      <c r="H23" s="7">
        <v>13</v>
      </c>
    </row>
    <row r="24" spans="1:8" ht="15" customHeight="1" thickBot="1" x14ac:dyDescent="0.35">
      <c r="A24" s="5" t="s">
        <v>13</v>
      </c>
      <c r="B24" s="6" t="s">
        <v>36</v>
      </c>
      <c r="C24" s="7">
        <v>5.0999999999999996</v>
      </c>
      <c r="D24" s="7">
        <v>7.7</v>
      </c>
      <c r="E24" s="7">
        <v>30</v>
      </c>
      <c r="F24" s="7">
        <v>14.7</v>
      </c>
      <c r="G24" s="7">
        <v>15</v>
      </c>
      <c r="H24" s="7">
        <v>11</v>
      </c>
    </row>
    <row r="25" spans="1:8" ht="15" customHeight="1" thickBot="1" x14ac:dyDescent="0.35">
      <c r="A25" s="5" t="s">
        <v>13</v>
      </c>
      <c r="B25" s="6" t="s">
        <v>37</v>
      </c>
      <c r="C25" s="7">
        <v>10</v>
      </c>
      <c r="D25" s="7">
        <v>0</v>
      </c>
      <c r="E25" s="7">
        <v>11.8</v>
      </c>
      <c r="F25" s="7">
        <v>13.4</v>
      </c>
      <c r="G25" s="7">
        <v>9.9</v>
      </c>
      <c r="H25" s="7">
        <v>9</v>
      </c>
    </row>
    <row r="26" spans="1:8" ht="15" customHeight="1" thickBot="1" x14ac:dyDescent="0.35">
      <c r="A26" s="5" t="s">
        <v>13</v>
      </c>
      <c r="B26" s="6" t="s">
        <v>38</v>
      </c>
      <c r="C26" s="7">
        <v>7.1</v>
      </c>
      <c r="D26" s="7">
        <v>0</v>
      </c>
      <c r="E26" s="7">
        <v>33.299999999999997</v>
      </c>
      <c r="F26" s="7">
        <v>6.8</v>
      </c>
      <c r="G26" s="7">
        <v>12.2</v>
      </c>
      <c r="H26" s="7">
        <v>8.1</v>
      </c>
    </row>
    <row r="27" spans="1:8" ht="15" customHeight="1" thickBot="1" x14ac:dyDescent="0.35">
      <c r="A27" s="5" t="s">
        <v>13</v>
      </c>
      <c r="B27" s="6" t="s">
        <v>39</v>
      </c>
      <c r="C27" s="7">
        <v>5</v>
      </c>
      <c r="D27" s="7">
        <v>0</v>
      </c>
      <c r="E27" s="7">
        <v>11.1</v>
      </c>
      <c r="F27" s="7">
        <v>6.8</v>
      </c>
      <c r="G27" s="7">
        <v>7.4</v>
      </c>
      <c r="H27" s="7">
        <v>5.2</v>
      </c>
    </row>
    <row r="28" spans="1:8" ht="15" customHeight="1" thickBot="1" x14ac:dyDescent="0.35">
      <c r="A28" s="5" t="s">
        <v>13</v>
      </c>
      <c r="B28" s="6" t="s">
        <v>40</v>
      </c>
      <c r="C28" s="7">
        <v>3.6</v>
      </c>
      <c r="D28" s="7">
        <v>0</v>
      </c>
      <c r="E28" s="7">
        <v>23.5</v>
      </c>
      <c r="F28" s="7">
        <v>10.199999999999999</v>
      </c>
      <c r="G28" s="7">
        <v>5.9</v>
      </c>
      <c r="H28" s="7">
        <v>2.8</v>
      </c>
    </row>
    <row r="29" spans="1:8" ht="15" customHeight="1" thickBot="1" x14ac:dyDescent="0.35">
      <c r="A29" s="5" t="s">
        <v>13</v>
      </c>
      <c r="B29" s="6" t="s">
        <v>41</v>
      </c>
      <c r="C29" s="7">
        <v>0</v>
      </c>
      <c r="D29" s="7">
        <v>0</v>
      </c>
      <c r="E29" s="7">
        <v>0</v>
      </c>
      <c r="F29" s="7">
        <v>2.8</v>
      </c>
      <c r="G29" s="7">
        <v>2.6</v>
      </c>
      <c r="H29" s="7">
        <v>0.6</v>
      </c>
    </row>
    <row r="30" spans="1:8" ht="15" customHeight="1" thickBot="1" x14ac:dyDescent="0.35">
      <c r="A30" s="5" t="s">
        <v>13</v>
      </c>
      <c r="B30" s="6" t="s">
        <v>42</v>
      </c>
      <c r="C30" s="7">
        <v>8.8000000000000007</v>
      </c>
      <c r="D30" s="7">
        <v>8.3000000000000007</v>
      </c>
      <c r="E30" s="7">
        <v>0</v>
      </c>
      <c r="F30" s="7">
        <v>4.4000000000000004</v>
      </c>
      <c r="G30" s="7">
        <v>0.7</v>
      </c>
      <c r="H30" s="7">
        <v>0.7</v>
      </c>
    </row>
    <row r="31" spans="1:8" ht="15" customHeight="1" thickBot="1" x14ac:dyDescent="0.35">
      <c r="A31" s="5" t="s">
        <v>13</v>
      </c>
      <c r="B31" s="6" t="s">
        <v>43</v>
      </c>
      <c r="C31" s="7">
        <v>0</v>
      </c>
      <c r="D31" s="7">
        <v>0</v>
      </c>
      <c r="E31" s="7">
        <v>0</v>
      </c>
      <c r="F31" s="7">
        <v>2.2000000000000002</v>
      </c>
      <c r="G31" s="7">
        <v>5.8</v>
      </c>
      <c r="H31" s="7">
        <v>4.4000000000000004</v>
      </c>
    </row>
    <row r="32" spans="1:8" ht="15" customHeight="1" thickBot="1" x14ac:dyDescent="0.35">
      <c r="A32" s="5" t="s">
        <v>13</v>
      </c>
      <c r="B32" s="6" t="s">
        <v>44</v>
      </c>
      <c r="C32" s="7">
        <v>0</v>
      </c>
      <c r="D32" s="7">
        <v>0</v>
      </c>
      <c r="E32" s="7">
        <v>0</v>
      </c>
      <c r="F32" s="7">
        <v>2.4</v>
      </c>
      <c r="G32" s="7">
        <v>3.2</v>
      </c>
      <c r="H32" s="7">
        <v>2.2000000000000002</v>
      </c>
    </row>
    <row r="33" spans="1:8" ht="15" customHeight="1" thickBot="1" x14ac:dyDescent="0.35">
      <c r="A33" s="5" t="s">
        <v>13</v>
      </c>
      <c r="B33" s="6" t="s">
        <v>45</v>
      </c>
      <c r="C33" s="7">
        <v>0</v>
      </c>
      <c r="D33" s="7">
        <v>0</v>
      </c>
      <c r="E33" s="7">
        <v>12.5</v>
      </c>
      <c r="F33" s="7">
        <v>0</v>
      </c>
      <c r="G33" s="7">
        <v>1.6</v>
      </c>
      <c r="H33" s="7">
        <v>1.7</v>
      </c>
    </row>
    <row r="34" spans="1:8" ht="15" customHeight="1" thickBot="1" x14ac:dyDescent="0.35">
      <c r="A34" s="5" t="s">
        <v>13</v>
      </c>
      <c r="B34" s="6" t="s">
        <v>46</v>
      </c>
      <c r="C34" s="7">
        <v>0</v>
      </c>
      <c r="D34" s="7">
        <v>0</v>
      </c>
      <c r="E34" s="7">
        <v>6.2</v>
      </c>
      <c r="F34" s="7">
        <v>1.6</v>
      </c>
      <c r="G34" s="7">
        <v>2.8</v>
      </c>
      <c r="H34" s="7">
        <v>0</v>
      </c>
    </row>
    <row r="35" spans="1:8" ht="15" customHeight="1" thickBot="1" x14ac:dyDescent="0.35">
      <c r="A35" s="5" t="s">
        <v>13</v>
      </c>
      <c r="B35" s="6" t="s">
        <v>47</v>
      </c>
      <c r="C35" s="7">
        <v>0</v>
      </c>
      <c r="D35" s="7">
        <v>0</v>
      </c>
      <c r="E35" s="7">
        <v>0</v>
      </c>
      <c r="F35" s="7">
        <v>0</v>
      </c>
      <c r="G35" s="7">
        <v>0.9</v>
      </c>
      <c r="H35" s="7">
        <v>1</v>
      </c>
    </row>
    <row r="36" spans="1:8" ht="15" customHeight="1" thickBot="1" x14ac:dyDescent="0.35">
      <c r="A36" s="5" t="s">
        <v>13</v>
      </c>
      <c r="B36" s="6" t="s">
        <v>48</v>
      </c>
      <c r="C36" s="7">
        <v>0</v>
      </c>
      <c r="D36" s="7">
        <v>0</v>
      </c>
      <c r="E36" s="7">
        <v>0</v>
      </c>
      <c r="F36" s="7">
        <v>3</v>
      </c>
      <c r="G36" s="7">
        <v>1.1000000000000001</v>
      </c>
      <c r="H36" s="7">
        <v>1.1000000000000001</v>
      </c>
    </row>
    <row r="37" spans="1:8" ht="15" customHeight="1" thickBot="1" x14ac:dyDescent="0.35">
      <c r="A37" s="5" t="s">
        <v>13</v>
      </c>
      <c r="B37" s="6" t="s">
        <v>49</v>
      </c>
      <c r="C37" s="7">
        <v>0</v>
      </c>
      <c r="D37" s="7">
        <v>0</v>
      </c>
      <c r="E37" s="7">
        <v>0</v>
      </c>
      <c r="F37" s="7">
        <v>1.9</v>
      </c>
      <c r="G37" s="7">
        <v>3.2</v>
      </c>
      <c r="H37" s="7">
        <v>0</v>
      </c>
    </row>
    <row r="38" spans="1:8" ht="15" customHeight="1" thickBot="1" x14ac:dyDescent="0.35">
      <c r="A38" s="5" t="s">
        <v>13</v>
      </c>
      <c r="B38" s="6" t="s">
        <v>50</v>
      </c>
      <c r="C38" s="7">
        <v>0</v>
      </c>
      <c r="D38" s="7">
        <v>0</v>
      </c>
      <c r="E38" s="7">
        <v>0</v>
      </c>
      <c r="F38" s="7">
        <v>0</v>
      </c>
      <c r="G38" s="7">
        <v>3.7</v>
      </c>
      <c r="H38" s="7">
        <v>2.4</v>
      </c>
    </row>
    <row r="39" spans="1:8" ht="15" customHeight="1" thickBot="1" x14ac:dyDescent="0.35">
      <c r="A39" s="5" t="s">
        <v>13</v>
      </c>
      <c r="B39" s="6" t="s">
        <v>51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</row>
    <row r="40" spans="1:8" ht="15" customHeight="1" thickBot="1" x14ac:dyDescent="0.35">
      <c r="A40" s="5" t="s">
        <v>13</v>
      </c>
      <c r="B40" s="6" t="s">
        <v>52</v>
      </c>
      <c r="C40" s="7">
        <v>0</v>
      </c>
      <c r="D40" s="7">
        <v>0</v>
      </c>
      <c r="E40" s="7">
        <v>0</v>
      </c>
      <c r="F40" s="7">
        <v>7</v>
      </c>
      <c r="G40" s="7">
        <v>1</v>
      </c>
      <c r="H40" s="7">
        <v>0.9</v>
      </c>
    </row>
    <row r="41" spans="1:8" ht="15" customHeight="1" thickBot="1" x14ac:dyDescent="0.35">
      <c r="A41" s="5" t="s">
        <v>13</v>
      </c>
      <c r="B41" s="6" t="s">
        <v>53</v>
      </c>
      <c r="C41" s="7">
        <v>0</v>
      </c>
      <c r="D41" s="7">
        <v>14.3</v>
      </c>
      <c r="E41" s="7">
        <v>10</v>
      </c>
      <c r="F41" s="7">
        <v>1.3</v>
      </c>
      <c r="G41" s="7">
        <v>0</v>
      </c>
      <c r="H41" s="7">
        <v>0</v>
      </c>
    </row>
    <row r="42" spans="1:8" ht="15" customHeight="1" thickBot="1" x14ac:dyDescent="0.35">
      <c r="A42" s="5" t="s">
        <v>13</v>
      </c>
      <c r="B42" s="6" t="s">
        <v>54</v>
      </c>
      <c r="C42" s="7">
        <v>0</v>
      </c>
      <c r="D42" s="7">
        <v>0</v>
      </c>
      <c r="E42" s="7">
        <v>0</v>
      </c>
      <c r="F42" s="7">
        <v>2.9</v>
      </c>
      <c r="G42" s="7">
        <v>1.4</v>
      </c>
      <c r="H42" s="7">
        <v>1.5</v>
      </c>
    </row>
    <row r="43" spans="1:8" ht="15" customHeight="1" thickBot="1" x14ac:dyDescent="0.35">
      <c r="A43" s="5" t="s">
        <v>13</v>
      </c>
      <c r="B43" s="6" t="s">
        <v>55</v>
      </c>
      <c r="C43" s="7">
        <v>0</v>
      </c>
      <c r="D43" s="7">
        <v>0</v>
      </c>
      <c r="E43" s="7">
        <v>5.9</v>
      </c>
      <c r="F43" s="7">
        <v>3.1</v>
      </c>
      <c r="G43" s="7">
        <v>0.8</v>
      </c>
      <c r="H43" s="7">
        <v>0.7</v>
      </c>
    </row>
    <row r="44" spans="1:8" ht="15" customHeight="1" thickBot="1" x14ac:dyDescent="0.35">
      <c r="A44" s="5" t="s">
        <v>13</v>
      </c>
      <c r="B44" s="6" t="s">
        <v>56</v>
      </c>
      <c r="C44" s="7">
        <v>0</v>
      </c>
      <c r="D44" s="7">
        <v>0</v>
      </c>
      <c r="E44" s="7">
        <v>16.7</v>
      </c>
      <c r="F44" s="7">
        <v>1.1000000000000001</v>
      </c>
      <c r="G44" s="7">
        <v>0</v>
      </c>
      <c r="H44" s="7">
        <v>1.6</v>
      </c>
    </row>
    <row r="45" spans="1:8" ht="15" customHeight="1" thickBot="1" x14ac:dyDescent="0.35">
      <c r="A45" s="5" t="s">
        <v>13</v>
      </c>
      <c r="B45" s="6" t="s">
        <v>57</v>
      </c>
      <c r="C45" s="7">
        <v>0</v>
      </c>
      <c r="D45" s="7">
        <v>0</v>
      </c>
      <c r="E45" s="7">
        <v>6.7</v>
      </c>
      <c r="F45" s="7">
        <v>1.3</v>
      </c>
      <c r="G45" s="7">
        <v>1.8</v>
      </c>
      <c r="H45" s="7">
        <v>0</v>
      </c>
    </row>
    <row r="46" spans="1:8" ht="15" customHeight="1" thickBot="1" x14ac:dyDescent="0.35">
      <c r="A46" s="5" t="s">
        <v>13</v>
      </c>
      <c r="B46" s="6" t="s">
        <v>58</v>
      </c>
      <c r="C46" s="7">
        <v>0</v>
      </c>
      <c r="D46" s="7">
        <v>20</v>
      </c>
      <c r="E46" s="7">
        <v>0</v>
      </c>
      <c r="F46" s="7">
        <v>1.2</v>
      </c>
      <c r="G46" s="7">
        <v>0</v>
      </c>
      <c r="H46" s="7">
        <v>0.7</v>
      </c>
    </row>
    <row r="47" spans="1:8" ht="15" customHeight="1" thickBot="1" x14ac:dyDescent="0.35">
      <c r="A47" s="5" t="s">
        <v>13</v>
      </c>
      <c r="B47" s="6" t="s">
        <v>59</v>
      </c>
      <c r="C47" s="7">
        <v>0</v>
      </c>
      <c r="D47" s="7">
        <v>0</v>
      </c>
      <c r="E47" s="7">
        <v>0</v>
      </c>
      <c r="F47" s="7">
        <v>1.4</v>
      </c>
      <c r="G47" s="7">
        <v>1.5</v>
      </c>
      <c r="H47" s="7">
        <v>0</v>
      </c>
    </row>
    <row r="48" spans="1:8" ht="15" customHeight="1" thickBot="1" x14ac:dyDescent="0.35">
      <c r="A48" s="5" t="s">
        <v>13</v>
      </c>
      <c r="B48" s="6" t="s">
        <v>60</v>
      </c>
      <c r="C48" s="7">
        <v>0</v>
      </c>
      <c r="D48" s="7">
        <v>0</v>
      </c>
      <c r="E48" s="7">
        <v>6.2</v>
      </c>
      <c r="F48" s="7">
        <v>0</v>
      </c>
      <c r="G48" s="7">
        <v>1.7</v>
      </c>
      <c r="H48" s="7">
        <v>0</v>
      </c>
    </row>
    <row r="49" spans="1:8" ht="15" customHeight="1" thickBot="1" x14ac:dyDescent="0.35">
      <c r="A49" s="5" t="s">
        <v>13</v>
      </c>
      <c r="B49" s="6" t="s">
        <v>61</v>
      </c>
      <c r="C49" s="7">
        <v>0</v>
      </c>
      <c r="D49" s="7">
        <v>0</v>
      </c>
      <c r="E49" s="7">
        <v>0</v>
      </c>
      <c r="F49" s="7">
        <v>0</v>
      </c>
      <c r="G49" s="7">
        <v>0.8</v>
      </c>
      <c r="H49" s="7">
        <v>0</v>
      </c>
    </row>
    <row r="50" spans="1:8" ht="15" customHeight="1" thickBot="1" x14ac:dyDescent="0.35">
      <c r="A50" s="5" t="s">
        <v>13</v>
      </c>
      <c r="B50" s="6" t="s">
        <v>62</v>
      </c>
      <c r="C50" s="7">
        <v>0</v>
      </c>
      <c r="D50" s="7">
        <v>0</v>
      </c>
      <c r="E50" s="7">
        <v>6.2</v>
      </c>
      <c r="F50" s="7">
        <v>1.2</v>
      </c>
      <c r="G50" s="7">
        <v>2.1</v>
      </c>
      <c r="H50" s="7">
        <v>0</v>
      </c>
    </row>
    <row r="51" spans="1:8" ht="15" customHeight="1" thickBot="1" x14ac:dyDescent="0.35">
      <c r="A51" s="5" t="s">
        <v>13</v>
      </c>
      <c r="B51" s="6" t="s">
        <v>63</v>
      </c>
      <c r="C51" s="7">
        <v>5.3</v>
      </c>
      <c r="D51" s="7">
        <v>0</v>
      </c>
      <c r="E51" s="7">
        <v>0</v>
      </c>
      <c r="F51" s="7">
        <v>0</v>
      </c>
      <c r="G51" s="7">
        <v>0.9</v>
      </c>
      <c r="H51" s="7">
        <v>0</v>
      </c>
    </row>
    <row r="52" spans="1:8" ht="15" customHeight="1" thickBot="1" x14ac:dyDescent="0.35">
      <c r="A52" s="5" t="s">
        <v>13</v>
      </c>
      <c r="B52" s="6" t="s">
        <v>64</v>
      </c>
      <c r="C52" s="7">
        <v>3.3</v>
      </c>
      <c r="D52" s="7">
        <v>0</v>
      </c>
      <c r="E52" s="7">
        <v>0</v>
      </c>
      <c r="F52" s="7">
        <v>0</v>
      </c>
      <c r="G52" s="7">
        <v>3.5</v>
      </c>
      <c r="H52" s="7">
        <v>1.2</v>
      </c>
    </row>
    <row r="53" spans="1:8" ht="15" customHeight="1" thickBot="1" x14ac:dyDescent="0.35">
      <c r="A53" s="5" t="s">
        <v>13</v>
      </c>
      <c r="B53" s="6" t="s">
        <v>65</v>
      </c>
      <c r="C53" s="7">
        <v>0</v>
      </c>
      <c r="D53" s="7">
        <v>0</v>
      </c>
      <c r="E53" s="7">
        <v>0</v>
      </c>
      <c r="F53" s="7">
        <v>0</v>
      </c>
      <c r="G53" s="7">
        <v>0.9</v>
      </c>
      <c r="H53" s="7">
        <v>0.6</v>
      </c>
    </row>
    <row r="54" spans="1:8" ht="15" customHeight="1" thickBot="1" x14ac:dyDescent="0.35">
      <c r="A54" s="5" t="s">
        <v>13</v>
      </c>
      <c r="B54" s="6" t="s">
        <v>66</v>
      </c>
      <c r="C54" s="7">
        <v>0</v>
      </c>
      <c r="D54" s="7">
        <v>0</v>
      </c>
      <c r="E54" s="7">
        <v>0</v>
      </c>
      <c r="F54" s="7">
        <v>3.3</v>
      </c>
      <c r="G54" s="7">
        <v>0.7</v>
      </c>
      <c r="H54" s="7">
        <v>0.7</v>
      </c>
    </row>
    <row r="55" spans="1:8" ht="15" customHeight="1" thickBot="1" x14ac:dyDescent="0.35">
      <c r="A55" s="5" t="s">
        <v>13</v>
      </c>
      <c r="B55" s="6" t="s">
        <v>67</v>
      </c>
      <c r="C55" s="7">
        <v>0</v>
      </c>
      <c r="D55" s="7">
        <v>0</v>
      </c>
      <c r="E55" s="7">
        <v>7.1</v>
      </c>
      <c r="F55" s="7">
        <v>1.9</v>
      </c>
      <c r="G55" s="7">
        <v>0</v>
      </c>
      <c r="H55" s="7">
        <v>1</v>
      </c>
    </row>
    <row r="56" spans="1:8" ht="15" customHeight="1" thickBot="1" x14ac:dyDescent="0.35">
      <c r="A56" s="5" t="s">
        <v>13</v>
      </c>
      <c r="B56" s="6" t="s">
        <v>68</v>
      </c>
      <c r="C56" s="7">
        <v>5.3</v>
      </c>
      <c r="D56" s="7">
        <v>0</v>
      </c>
      <c r="E56" s="7">
        <v>0</v>
      </c>
      <c r="F56" s="7">
        <v>2.2000000000000002</v>
      </c>
      <c r="G56" s="7">
        <v>1.2</v>
      </c>
      <c r="H56" s="7">
        <v>2.1</v>
      </c>
    </row>
    <row r="57" spans="1:8" ht="15" customHeight="1" thickBot="1" x14ac:dyDescent="0.35">
      <c r="A57" s="5" t="s">
        <v>13</v>
      </c>
      <c r="B57" s="6" t="s">
        <v>69</v>
      </c>
      <c r="C57" s="7">
        <v>0</v>
      </c>
      <c r="D57" s="7">
        <v>0</v>
      </c>
      <c r="E57" s="7">
        <v>0</v>
      </c>
      <c r="F57" s="7">
        <v>0.9</v>
      </c>
      <c r="G57" s="7">
        <v>1.3</v>
      </c>
      <c r="H57" s="7">
        <v>1.4</v>
      </c>
    </row>
    <row r="58" spans="1:8" ht="15" customHeight="1" thickBot="1" x14ac:dyDescent="0.35">
      <c r="A58" s="5" t="s">
        <v>13</v>
      </c>
      <c r="B58" s="6" t="s">
        <v>70</v>
      </c>
      <c r="C58" s="7">
        <v>6.2</v>
      </c>
      <c r="D58" s="7">
        <v>0</v>
      </c>
      <c r="E58" s="7">
        <v>0</v>
      </c>
      <c r="F58" s="7">
        <v>0</v>
      </c>
      <c r="G58" s="7">
        <v>0</v>
      </c>
      <c r="H58" s="7">
        <v>1.9</v>
      </c>
    </row>
    <row r="59" spans="1:8" ht="15" customHeight="1" thickBot="1" x14ac:dyDescent="0.35">
      <c r="A59" s="5" t="s">
        <v>13</v>
      </c>
      <c r="B59" s="6" t="s">
        <v>71</v>
      </c>
      <c r="C59" s="7">
        <v>0</v>
      </c>
      <c r="D59" s="7">
        <v>0</v>
      </c>
      <c r="E59" s="7">
        <v>0</v>
      </c>
      <c r="F59" s="7">
        <v>1.9</v>
      </c>
      <c r="G59" s="7">
        <v>0.7</v>
      </c>
      <c r="H59" s="7">
        <v>0.7</v>
      </c>
    </row>
    <row r="60" spans="1:8" ht="15" customHeight="1" thickBot="1" x14ac:dyDescent="0.35">
      <c r="A60" s="5" t="s">
        <v>13</v>
      </c>
      <c r="B60" s="6" t="s">
        <v>72</v>
      </c>
      <c r="C60" s="7">
        <v>0</v>
      </c>
      <c r="D60" s="7">
        <v>0</v>
      </c>
      <c r="E60" s="7">
        <v>8.3000000000000007</v>
      </c>
      <c r="F60" s="7">
        <v>0.9</v>
      </c>
      <c r="G60" s="7">
        <v>1.5</v>
      </c>
      <c r="H60" s="7">
        <v>0</v>
      </c>
    </row>
    <row r="61" spans="1:8" ht="15" customHeight="1" thickBot="1" x14ac:dyDescent="0.35">
      <c r="A61" s="5" t="s">
        <v>13</v>
      </c>
      <c r="B61" s="6" t="s">
        <v>73</v>
      </c>
      <c r="C61" s="7">
        <v>0</v>
      </c>
      <c r="D61" s="7">
        <v>0</v>
      </c>
      <c r="E61" s="7">
        <v>10</v>
      </c>
      <c r="F61" s="7">
        <v>5.0999999999999996</v>
      </c>
      <c r="G61" s="7">
        <v>1.3</v>
      </c>
      <c r="H61" s="7">
        <v>0.7</v>
      </c>
    </row>
    <row r="62" spans="1:8" ht="15" customHeight="1" thickBot="1" x14ac:dyDescent="0.35">
      <c r="A62" s="5" t="s">
        <v>13</v>
      </c>
      <c r="B62" s="6" t="s">
        <v>74</v>
      </c>
      <c r="C62" s="7">
        <v>0</v>
      </c>
      <c r="D62" s="7">
        <v>14.3</v>
      </c>
      <c r="E62" s="7">
        <v>13.3</v>
      </c>
      <c r="F62" s="7">
        <v>5.0999999999999996</v>
      </c>
      <c r="G62" s="7">
        <v>3.6</v>
      </c>
      <c r="H62" s="7">
        <v>1.3</v>
      </c>
    </row>
    <row r="63" spans="1:8" ht="15" customHeight="1" thickBot="1" x14ac:dyDescent="0.35">
      <c r="A63" s="5" t="s">
        <v>13</v>
      </c>
      <c r="B63" s="6" t="s">
        <v>75</v>
      </c>
      <c r="C63" s="7">
        <v>5.6</v>
      </c>
      <c r="D63" s="7">
        <v>0</v>
      </c>
      <c r="E63" s="7">
        <v>15.4</v>
      </c>
      <c r="F63" s="7">
        <v>12.1</v>
      </c>
      <c r="G63" s="7">
        <v>2.7</v>
      </c>
      <c r="H63" s="7">
        <v>1</v>
      </c>
    </row>
    <row r="64" spans="1:8" ht="15" customHeight="1" thickBot="1" x14ac:dyDescent="0.35">
      <c r="A64" s="5" t="s">
        <v>13</v>
      </c>
      <c r="B64" s="6" t="s">
        <v>76</v>
      </c>
      <c r="C64" s="7">
        <v>10</v>
      </c>
      <c r="D64" s="7">
        <v>20</v>
      </c>
      <c r="E64" s="7">
        <v>26.7</v>
      </c>
      <c r="F64" s="7">
        <v>18.3</v>
      </c>
      <c r="G64" s="7">
        <v>5.3</v>
      </c>
      <c r="H64" s="7">
        <v>1.8</v>
      </c>
    </row>
    <row r="65" spans="1:8" ht="15" customHeight="1" thickBot="1" x14ac:dyDescent="0.35">
      <c r="A65" s="5" t="s">
        <v>13</v>
      </c>
      <c r="B65" s="6" t="s">
        <v>77</v>
      </c>
      <c r="C65" s="7">
        <v>14.1</v>
      </c>
      <c r="D65" s="7">
        <v>25</v>
      </c>
      <c r="E65" s="7">
        <v>11.1</v>
      </c>
      <c r="F65" s="7">
        <v>19.8</v>
      </c>
      <c r="G65" s="7">
        <v>10.3</v>
      </c>
      <c r="H65" s="7">
        <v>10.3</v>
      </c>
    </row>
    <row r="66" spans="1:8" ht="15" customHeight="1" thickBot="1" x14ac:dyDescent="0.35">
      <c r="A66" s="5" t="s">
        <v>13</v>
      </c>
      <c r="B66" s="6" t="s">
        <v>78</v>
      </c>
      <c r="C66" s="7">
        <v>8.8000000000000007</v>
      </c>
      <c r="D66" s="7">
        <v>16.7</v>
      </c>
      <c r="E66" s="7">
        <v>17.600000000000001</v>
      </c>
      <c r="F66" s="7">
        <v>25.4</v>
      </c>
      <c r="G66" s="7">
        <v>19.100000000000001</v>
      </c>
      <c r="H66" s="7">
        <v>11.3</v>
      </c>
    </row>
    <row r="67" spans="1:8" ht="15" customHeight="1" thickBot="1" x14ac:dyDescent="0.35">
      <c r="A67" s="5" t="s">
        <v>13</v>
      </c>
      <c r="B67" s="6" t="s">
        <v>79</v>
      </c>
      <c r="C67" s="7">
        <v>3</v>
      </c>
      <c r="D67" s="7">
        <v>0</v>
      </c>
      <c r="E67" s="7">
        <v>28.6</v>
      </c>
      <c r="F67" s="7">
        <v>25.2</v>
      </c>
      <c r="G67" s="7">
        <v>21</v>
      </c>
      <c r="H67" s="7">
        <v>11.2</v>
      </c>
    </row>
    <row r="68" spans="1:8" ht="15" customHeight="1" thickBot="1" x14ac:dyDescent="0.35">
      <c r="A68" s="5" t="s">
        <v>13</v>
      </c>
      <c r="B68" s="6" t="s">
        <v>80</v>
      </c>
      <c r="C68" s="7">
        <v>3.9</v>
      </c>
      <c r="D68" s="7">
        <v>66.7</v>
      </c>
      <c r="E68" s="7">
        <v>6.7</v>
      </c>
      <c r="F68" s="7">
        <v>26.9</v>
      </c>
      <c r="G68" s="7">
        <v>19.899999999999999</v>
      </c>
      <c r="H68" s="7">
        <v>12.9</v>
      </c>
    </row>
    <row r="69" spans="1:8" ht="15" customHeight="1" thickBot="1" x14ac:dyDescent="0.35">
      <c r="A69" s="5" t="s">
        <v>13</v>
      </c>
      <c r="B69" s="6" t="s">
        <v>81</v>
      </c>
      <c r="C69" s="7">
        <v>14.3</v>
      </c>
      <c r="D69" s="7">
        <v>71.400000000000006</v>
      </c>
      <c r="E69" s="7">
        <v>35.700000000000003</v>
      </c>
      <c r="F69" s="7">
        <v>40.6</v>
      </c>
      <c r="G69" s="7">
        <v>19.3</v>
      </c>
      <c r="H69" s="7">
        <v>19.399999999999999</v>
      </c>
    </row>
    <row r="70" spans="1:8" ht="15" customHeight="1" thickBot="1" x14ac:dyDescent="0.35">
      <c r="A70" s="5" t="s">
        <v>13</v>
      </c>
      <c r="B70" s="6" t="s">
        <v>82</v>
      </c>
      <c r="C70" s="7">
        <v>10.9</v>
      </c>
      <c r="D70" s="7">
        <v>72.7</v>
      </c>
      <c r="E70" s="7">
        <v>61.9</v>
      </c>
      <c r="F70" s="7">
        <v>48.6</v>
      </c>
      <c r="G70" s="7">
        <v>25.2</v>
      </c>
      <c r="H70" s="7">
        <v>20.3</v>
      </c>
    </row>
    <row r="71" spans="1:8" ht="15" customHeight="1" thickBot="1" x14ac:dyDescent="0.35">
      <c r="A71" s="5" t="s">
        <v>13</v>
      </c>
      <c r="B71" s="6" t="s">
        <v>83</v>
      </c>
      <c r="C71" s="7">
        <v>12.9</v>
      </c>
      <c r="D71" s="7">
        <v>54.5</v>
      </c>
      <c r="E71" s="7">
        <v>47.1</v>
      </c>
      <c r="F71" s="7">
        <v>48.4</v>
      </c>
      <c r="G71" s="7">
        <v>29.9</v>
      </c>
      <c r="H71" s="7">
        <v>28.3</v>
      </c>
    </row>
    <row r="72" spans="1:8" ht="15" customHeight="1" thickBot="1" x14ac:dyDescent="0.35">
      <c r="A72" s="5" t="s">
        <v>13</v>
      </c>
      <c r="B72" s="13" t="s">
        <v>84</v>
      </c>
      <c r="C72" s="6">
        <v>30.6</v>
      </c>
      <c r="D72" s="6">
        <v>69.2</v>
      </c>
      <c r="E72" s="6">
        <v>48.1</v>
      </c>
      <c r="F72" s="6">
        <v>50.8</v>
      </c>
      <c r="G72" s="6">
        <v>36.6</v>
      </c>
      <c r="H72" s="6">
        <v>31.9</v>
      </c>
    </row>
    <row r="73" spans="1:8" ht="15" customHeight="1" thickBot="1" x14ac:dyDescent="0.35">
      <c r="A73" s="5" t="s">
        <v>13</v>
      </c>
      <c r="B73" s="13" t="s">
        <v>85</v>
      </c>
      <c r="C73" s="6">
        <v>26.9</v>
      </c>
      <c r="D73" s="6">
        <v>62.5</v>
      </c>
      <c r="E73" s="6">
        <v>67.900000000000006</v>
      </c>
      <c r="F73" s="6">
        <v>50</v>
      </c>
      <c r="G73" s="6">
        <v>37</v>
      </c>
      <c r="H73" s="6">
        <v>37</v>
      </c>
    </row>
    <row r="74" spans="1:8" ht="15" customHeight="1" thickBot="1" x14ac:dyDescent="0.35">
      <c r="A74" s="5" t="s">
        <v>13</v>
      </c>
      <c r="B74" s="13" t="s">
        <v>86</v>
      </c>
      <c r="C74" s="6">
        <v>24.4</v>
      </c>
      <c r="D74" s="6">
        <v>66.7</v>
      </c>
      <c r="E74" s="6">
        <v>80.599999999999994</v>
      </c>
      <c r="F74" s="6">
        <v>56.2</v>
      </c>
      <c r="G74" s="6">
        <v>46.8</v>
      </c>
      <c r="H74" s="6">
        <v>42.1</v>
      </c>
    </row>
    <row r="75" spans="1:8" ht="15" customHeight="1" thickBot="1" x14ac:dyDescent="0.35">
      <c r="A75" s="5" t="s">
        <v>13</v>
      </c>
      <c r="B75" s="13" t="s">
        <v>87</v>
      </c>
      <c r="C75" s="6">
        <v>36.799999999999997</v>
      </c>
      <c r="D75" s="6">
        <v>77.8</v>
      </c>
      <c r="E75" s="6">
        <v>75.900000000000006</v>
      </c>
      <c r="F75" s="6">
        <v>62.2</v>
      </c>
      <c r="G75" s="6">
        <v>45.2</v>
      </c>
      <c r="H75" s="6">
        <v>38.799999999999997</v>
      </c>
    </row>
    <row r="76" spans="1:8" ht="15" customHeight="1" thickBot="1" x14ac:dyDescent="0.35">
      <c r="A76" s="5" t="s">
        <v>13</v>
      </c>
      <c r="B76" s="13" t="s">
        <v>88</v>
      </c>
      <c r="C76" s="6">
        <v>29.9</v>
      </c>
      <c r="D76" s="6">
        <v>50</v>
      </c>
      <c r="E76" s="6">
        <v>64.7</v>
      </c>
      <c r="F76" s="6">
        <v>54.5</v>
      </c>
      <c r="G76" s="6">
        <v>39.9</v>
      </c>
      <c r="H76" s="6">
        <v>34.200000000000003</v>
      </c>
    </row>
    <row r="77" spans="1:8" ht="15" customHeight="1" thickBot="1" x14ac:dyDescent="0.35">
      <c r="A77" s="5" t="s">
        <v>13</v>
      </c>
      <c r="B77" s="13" t="s">
        <v>89</v>
      </c>
      <c r="C77" s="6">
        <v>40.799999999999997</v>
      </c>
      <c r="D77" s="6">
        <v>77.8</v>
      </c>
      <c r="E77" s="6">
        <v>33.299999999999997</v>
      </c>
      <c r="F77" s="6">
        <v>48.4</v>
      </c>
      <c r="G77" s="6">
        <v>36.299999999999997</v>
      </c>
      <c r="H77" s="6">
        <v>33.799999999999997</v>
      </c>
    </row>
    <row r="78" spans="1:8" ht="15" customHeight="1" thickBot="1" x14ac:dyDescent="0.35">
      <c r="A78" s="5" t="s">
        <v>13</v>
      </c>
      <c r="B78" s="13" t="s">
        <v>90</v>
      </c>
      <c r="C78" s="6">
        <v>25.5</v>
      </c>
      <c r="D78" s="6">
        <v>77.8</v>
      </c>
      <c r="E78" s="6">
        <v>60</v>
      </c>
      <c r="F78" s="6">
        <v>43.5</v>
      </c>
      <c r="G78" s="6">
        <v>29.8</v>
      </c>
      <c r="H78" s="6">
        <v>27.6</v>
      </c>
    </row>
    <row r="79" spans="1:8" ht="15" customHeight="1" thickBot="1" x14ac:dyDescent="0.35">
      <c r="A79" s="5" t="s">
        <v>13</v>
      </c>
      <c r="B79" s="13" t="s">
        <v>91</v>
      </c>
      <c r="C79" s="6">
        <v>24.4</v>
      </c>
      <c r="D79" s="6">
        <v>75</v>
      </c>
      <c r="E79" s="6">
        <v>61.5</v>
      </c>
      <c r="F79" s="6">
        <v>46.6</v>
      </c>
      <c r="G79" s="6">
        <v>32.700000000000003</v>
      </c>
      <c r="H79" s="6">
        <v>22.6</v>
      </c>
    </row>
    <row r="80" spans="1:8" ht="15" customHeight="1" thickBot="1" x14ac:dyDescent="0.35">
      <c r="A80" s="5" t="s">
        <v>13</v>
      </c>
      <c r="B80" s="13" t="s">
        <v>92</v>
      </c>
      <c r="C80" s="6">
        <v>15.8</v>
      </c>
      <c r="D80" s="6">
        <v>55.6</v>
      </c>
      <c r="E80" s="6">
        <v>23.1</v>
      </c>
      <c r="F80" s="6">
        <v>31.5</v>
      </c>
      <c r="G80" s="6">
        <v>22</v>
      </c>
      <c r="H80" s="6">
        <v>22.1</v>
      </c>
    </row>
    <row r="81" spans="1:8" ht="15" customHeight="1" thickBot="1" x14ac:dyDescent="0.35">
      <c r="A81" s="5" t="s">
        <v>13</v>
      </c>
      <c r="B81" s="13" t="s">
        <v>93</v>
      </c>
      <c r="C81" s="6">
        <v>8.8000000000000007</v>
      </c>
      <c r="D81" s="6">
        <v>50</v>
      </c>
      <c r="E81" s="6">
        <v>36.799999999999997</v>
      </c>
      <c r="F81" s="6">
        <v>33.1</v>
      </c>
      <c r="G81" s="6">
        <v>20.6</v>
      </c>
      <c r="H81" s="6">
        <v>18.8</v>
      </c>
    </row>
    <row r="82" spans="1:8" ht="15" customHeight="1" thickBot="1" x14ac:dyDescent="0.35">
      <c r="A82" s="5" t="s">
        <v>13</v>
      </c>
      <c r="B82" s="13" t="s">
        <v>94</v>
      </c>
      <c r="C82" s="6">
        <v>20.8</v>
      </c>
      <c r="D82" s="6">
        <v>33.299999999999997</v>
      </c>
      <c r="E82" s="6">
        <v>44.4</v>
      </c>
      <c r="F82" s="6">
        <v>26.2</v>
      </c>
      <c r="G82" s="6">
        <v>13.4</v>
      </c>
      <c r="H82" s="6">
        <v>13.4</v>
      </c>
    </row>
    <row r="83" spans="1:8" ht="15" customHeight="1" thickBot="1" x14ac:dyDescent="0.35">
      <c r="A83" s="5" t="s">
        <v>13</v>
      </c>
      <c r="B83" s="13" t="s">
        <v>95</v>
      </c>
      <c r="C83" s="6">
        <v>11.1</v>
      </c>
      <c r="D83" s="6">
        <v>0</v>
      </c>
      <c r="E83" s="6">
        <v>20</v>
      </c>
      <c r="F83" s="6">
        <v>7.4</v>
      </c>
      <c r="G83" s="6">
        <v>5.5</v>
      </c>
      <c r="H83" s="6">
        <v>4.8</v>
      </c>
    </row>
    <row r="84" spans="1:8" ht="15" customHeight="1" thickBot="1" x14ac:dyDescent="0.35">
      <c r="A84" s="5" t="s">
        <v>13</v>
      </c>
      <c r="B84" s="13" t="s">
        <v>96</v>
      </c>
      <c r="C84" s="6">
        <v>0</v>
      </c>
      <c r="D84" s="6">
        <v>0</v>
      </c>
      <c r="E84" s="6">
        <v>0</v>
      </c>
      <c r="F84" s="6">
        <v>7.8</v>
      </c>
      <c r="G84" s="6">
        <v>3.4</v>
      </c>
      <c r="H84" s="6">
        <v>3.4</v>
      </c>
    </row>
    <row r="85" spans="1:8" ht="15" customHeight="1" thickBot="1" x14ac:dyDescent="0.35">
      <c r="A85" s="5" t="s">
        <v>13</v>
      </c>
      <c r="B85" s="13" t="s">
        <v>97</v>
      </c>
      <c r="C85" s="6">
        <v>0</v>
      </c>
      <c r="D85" s="6">
        <v>0</v>
      </c>
      <c r="E85" s="6">
        <v>0</v>
      </c>
      <c r="F85" s="6">
        <v>3.7</v>
      </c>
      <c r="G85" s="6">
        <v>3.9</v>
      </c>
      <c r="H85" s="6">
        <v>2</v>
      </c>
    </row>
    <row r="86" spans="1:8" ht="15" customHeight="1" thickBot="1" x14ac:dyDescent="0.35">
      <c r="A86" s="5" t="s">
        <v>13</v>
      </c>
      <c r="B86" s="13" t="s">
        <v>98</v>
      </c>
      <c r="C86" s="6">
        <v>0</v>
      </c>
      <c r="D86" s="6">
        <v>0</v>
      </c>
      <c r="E86" s="6">
        <v>20</v>
      </c>
      <c r="F86" s="6">
        <v>1.3</v>
      </c>
      <c r="G86" s="6">
        <v>1.7</v>
      </c>
      <c r="H86" s="6">
        <v>0.8</v>
      </c>
    </row>
    <row r="87" spans="1:8" ht="15" customHeight="1" thickBot="1" x14ac:dyDescent="0.35">
      <c r="A87" s="5" t="s">
        <v>13</v>
      </c>
      <c r="B87" s="13" t="s">
        <v>99</v>
      </c>
      <c r="C87" s="6">
        <v>0</v>
      </c>
      <c r="D87" s="6"/>
      <c r="E87" s="6">
        <v>16.7</v>
      </c>
      <c r="F87" s="6">
        <v>0</v>
      </c>
      <c r="G87" s="6">
        <v>1</v>
      </c>
      <c r="H87" s="6">
        <v>0.7</v>
      </c>
    </row>
    <row r="88" spans="1:8" ht="15" customHeight="1" thickBot="1" x14ac:dyDescent="0.35">
      <c r="A88" s="5" t="s">
        <v>13</v>
      </c>
      <c r="B88" s="13" t="s">
        <v>100</v>
      </c>
      <c r="C88" s="6">
        <v>0</v>
      </c>
      <c r="D88" s="6">
        <v>100</v>
      </c>
      <c r="E88" s="6">
        <v>0</v>
      </c>
      <c r="F88" s="6">
        <v>6</v>
      </c>
      <c r="G88" s="6">
        <v>9.6999999999999993</v>
      </c>
      <c r="H88" s="6">
        <v>0</v>
      </c>
    </row>
    <row r="89" spans="1:8" ht="15" customHeight="1" thickBot="1" x14ac:dyDescent="0.35">
      <c r="A89" s="5" t="s">
        <v>13</v>
      </c>
      <c r="B89" s="13" t="s">
        <v>101</v>
      </c>
      <c r="C89" s="6">
        <v>0</v>
      </c>
      <c r="D89" s="6">
        <v>0</v>
      </c>
      <c r="E89" s="6">
        <v>0</v>
      </c>
      <c r="F89" s="6">
        <v>1.8</v>
      </c>
      <c r="G89" s="6">
        <v>3.6</v>
      </c>
      <c r="H89" s="6">
        <v>6.7</v>
      </c>
    </row>
    <row r="90" spans="1:8" ht="15" customHeight="1" thickBot="1" x14ac:dyDescent="0.35">
      <c r="A90" s="5" t="s">
        <v>13</v>
      </c>
      <c r="B90" s="13" t="s">
        <v>102</v>
      </c>
      <c r="C90" s="6">
        <v>0</v>
      </c>
      <c r="D90" s="6">
        <v>0</v>
      </c>
      <c r="E90" s="6">
        <v>0</v>
      </c>
      <c r="F90" s="6">
        <v>5.8</v>
      </c>
      <c r="G90" s="6">
        <v>0.9</v>
      </c>
      <c r="H90" s="6">
        <v>1.7</v>
      </c>
    </row>
    <row r="91" spans="1:8" ht="15" customHeight="1" thickBot="1" x14ac:dyDescent="0.35">
      <c r="A91" s="5" t="s">
        <v>13</v>
      </c>
      <c r="B91" s="13" t="s">
        <v>103</v>
      </c>
      <c r="C91" s="6">
        <v>0</v>
      </c>
      <c r="D91" s="6">
        <v>0</v>
      </c>
      <c r="E91" s="6">
        <v>0</v>
      </c>
      <c r="F91" s="6">
        <v>7.3</v>
      </c>
      <c r="G91" s="6">
        <v>2.9</v>
      </c>
      <c r="H91" s="6">
        <v>2.4</v>
      </c>
    </row>
    <row r="92" spans="1:8" ht="15" customHeight="1" thickBot="1" x14ac:dyDescent="0.35">
      <c r="A92" s="5" t="s">
        <v>13</v>
      </c>
      <c r="B92" s="13" t="s">
        <v>104</v>
      </c>
      <c r="C92" s="6">
        <v>0</v>
      </c>
      <c r="D92" s="6">
        <v>0</v>
      </c>
      <c r="E92" s="6">
        <v>0</v>
      </c>
      <c r="F92" s="6">
        <v>4.9000000000000004</v>
      </c>
      <c r="G92" s="6">
        <v>2.9</v>
      </c>
      <c r="H92" s="6">
        <v>0</v>
      </c>
    </row>
    <row r="93" spans="1:8" ht="15" customHeight="1" thickBot="1" x14ac:dyDescent="0.35">
      <c r="A93" s="5" t="s">
        <v>13</v>
      </c>
      <c r="B93" s="13" t="s">
        <v>105</v>
      </c>
      <c r="C93" s="6">
        <v>0</v>
      </c>
      <c r="D93" s="6"/>
      <c r="E93" s="6">
        <v>0</v>
      </c>
      <c r="F93" s="6">
        <v>9.1</v>
      </c>
      <c r="G93" s="6">
        <v>1.5</v>
      </c>
      <c r="H93" s="6">
        <v>1</v>
      </c>
    </row>
    <row r="94" spans="1:8" ht="15" customHeight="1" thickBot="1" x14ac:dyDescent="0.35">
      <c r="A94" s="5" t="s">
        <v>13</v>
      </c>
      <c r="B94" s="13" t="s">
        <v>106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</row>
    <row r="95" spans="1:8" ht="15" customHeight="1" thickBot="1" x14ac:dyDescent="0.35">
      <c r="A95" s="5" t="s">
        <v>13</v>
      </c>
      <c r="B95" s="13" t="s">
        <v>107</v>
      </c>
      <c r="C95" s="6">
        <v>0</v>
      </c>
      <c r="D95" s="6">
        <v>0</v>
      </c>
      <c r="E95" s="6">
        <v>0</v>
      </c>
      <c r="F95" s="6">
        <v>4.5</v>
      </c>
      <c r="G95" s="6">
        <v>2.6</v>
      </c>
      <c r="H95" s="6">
        <v>0</v>
      </c>
    </row>
    <row r="96" spans="1:8" ht="15" customHeight="1" thickBot="1" x14ac:dyDescent="0.35">
      <c r="A96" s="5" t="s">
        <v>13</v>
      </c>
      <c r="B96" s="13" t="s">
        <v>108</v>
      </c>
      <c r="C96" s="6">
        <v>0</v>
      </c>
      <c r="D96" s="6"/>
      <c r="E96" s="6">
        <v>20</v>
      </c>
      <c r="F96" s="6">
        <v>2.2999999999999998</v>
      </c>
      <c r="G96" s="6">
        <v>1.5</v>
      </c>
      <c r="H96" s="6">
        <v>1.2</v>
      </c>
    </row>
    <row r="97" spans="1:8" ht="15" customHeight="1" thickBot="1" x14ac:dyDescent="0.35">
      <c r="A97" s="5" t="s">
        <v>13</v>
      </c>
      <c r="B97" s="13" t="s">
        <v>109</v>
      </c>
      <c r="C97" s="6">
        <v>0</v>
      </c>
      <c r="D97" s="6">
        <v>0</v>
      </c>
      <c r="E97" s="6">
        <v>0</v>
      </c>
      <c r="F97" s="6">
        <v>6.7</v>
      </c>
      <c r="G97" s="6">
        <v>1.6</v>
      </c>
      <c r="H97" s="6">
        <v>1.2</v>
      </c>
    </row>
    <row r="98" spans="1:8" ht="15" customHeight="1" thickBot="1" x14ac:dyDescent="0.35">
      <c r="A98" s="5" t="s">
        <v>13</v>
      </c>
      <c r="B98" s="13" t="s">
        <v>110</v>
      </c>
      <c r="C98" s="6">
        <v>0</v>
      </c>
      <c r="D98" s="6">
        <v>0</v>
      </c>
      <c r="E98" s="6">
        <v>0</v>
      </c>
      <c r="F98" s="6">
        <v>0</v>
      </c>
      <c r="G98" s="6">
        <v>3.3</v>
      </c>
      <c r="H98" s="6">
        <v>0</v>
      </c>
    </row>
    <row r="99" spans="1:8" ht="15" customHeight="1" thickBot="1" x14ac:dyDescent="0.35">
      <c r="A99" s="5" t="s">
        <v>13</v>
      </c>
      <c r="B99" s="13" t="s">
        <v>111</v>
      </c>
      <c r="C99" s="6">
        <v>0</v>
      </c>
      <c r="D99" s="6"/>
      <c r="E99" s="6">
        <v>25</v>
      </c>
      <c r="F99" s="6">
        <v>12.5</v>
      </c>
      <c r="G99" s="6">
        <v>6.2</v>
      </c>
      <c r="H99" s="6">
        <v>3.6</v>
      </c>
    </row>
    <row r="100" spans="1:8" ht="15" customHeight="1" thickBot="1" x14ac:dyDescent="0.35">
      <c r="A100" s="5" t="s">
        <v>13</v>
      </c>
      <c r="B100" s="13" t="s">
        <v>112</v>
      </c>
      <c r="C100" s="6">
        <v>0</v>
      </c>
      <c r="D100" s="6"/>
      <c r="E100" s="6">
        <v>0</v>
      </c>
      <c r="F100" s="6">
        <v>12</v>
      </c>
      <c r="G100" s="6">
        <v>11.1</v>
      </c>
      <c r="H100" s="6">
        <v>12</v>
      </c>
    </row>
    <row r="101" spans="1:8" ht="15" customHeight="1" thickBot="1" x14ac:dyDescent="0.35">
      <c r="A101" s="5" t="s">
        <v>13</v>
      </c>
      <c r="B101" s="13" t="s">
        <v>113</v>
      </c>
      <c r="C101" s="6">
        <v>4.3</v>
      </c>
      <c r="D101" s="6">
        <v>0</v>
      </c>
      <c r="E101" s="6">
        <v>16.7</v>
      </c>
      <c r="F101" s="6">
        <v>5.7</v>
      </c>
      <c r="G101" s="6">
        <v>7.8</v>
      </c>
      <c r="H101" s="6">
        <v>2.8</v>
      </c>
    </row>
    <row r="102" spans="1:8" ht="15" customHeight="1" thickBot="1" x14ac:dyDescent="0.35">
      <c r="A102" s="5" t="s">
        <v>13</v>
      </c>
      <c r="B102" s="13" t="s">
        <v>114</v>
      </c>
      <c r="C102" s="6">
        <v>0</v>
      </c>
      <c r="D102" s="6">
        <v>0</v>
      </c>
      <c r="E102" s="6">
        <v>14.3</v>
      </c>
      <c r="F102" s="6">
        <v>7</v>
      </c>
      <c r="G102" s="6">
        <v>1.9</v>
      </c>
      <c r="H102" s="6">
        <v>0.8</v>
      </c>
    </row>
    <row r="103" spans="1:8" ht="15" customHeight="1" thickBot="1" x14ac:dyDescent="0.35">
      <c r="A103" s="5" t="s">
        <v>13</v>
      </c>
      <c r="B103" s="13" t="s">
        <v>115</v>
      </c>
      <c r="C103" s="6">
        <v>0</v>
      </c>
      <c r="D103" s="6">
        <v>0</v>
      </c>
      <c r="E103" s="6">
        <v>0</v>
      </c>
      <c r="F103" s="6">
        <v>1.4</v>
      </c>
      <c r="G103" s="6">
        <v>0</v>
      </c>
      <c r="H103" s="6">
        <v>0.9</v>
      </c>
    </row>
    <row r="104" spans="1:8" ht="15" customHeight="1" thickBot="1" x14ac:dyDescent="0.35">
      <c r="A104" s="5" t="s">
        <v>13</v>
      </c>
      <c r="B104" s="13" t="s">
        <v>116</v>
      </c>
      <c r="C104" s="6">
        <v>0</v>
      </c>
      <c r="D104" s="6">
        <v>0</v>
      </c>
      <c r="E104" s="6">
        <v>33.299999999999997</v>
      </c>
      <c r="F104" s="6">
        <v>3.6</v>
      </c>
      <c r="G104" s="6">
        <v>0.9</v>
      </c>
      <c r="H104" s="6">
        <v>0.8</v>
      </c>
    </row>
    <row r="105" spans="1:8" ht="15" customHeight="1" thickBot="1" x14ac:dyDescent="0.35">
      <c r="A105" s="5" t="s">
        <v>13</v>
      </c>
      <c r="B105" s="13" t="s">
        <v>117</v>
      </c>
      <c r="C105" s="6">
        <v>0</v>
      </c>
      <c r="D105" s="6">
        <v>0</v>
      </c>
      <c r="E105" s="6">
        <v>0</v>
      </c>
      <c r="F105" s="6">
        <v>5</v>
      </c>
      <c r="G105" s="6">
        <v>1.8</v>
      </c>
      <c r="H105" s="6">
        <v>0.8</v>
      </c>
    </row>
    <row r="106" spans="1:8" ht="15" customHeight="1" thickBot="1" x14ac:dyDescent="0.35">
      <c r="A106" s="5" t="s">
        <v>13</v>
      </c>
      <c r="B106" s="13" t="s">
        <v>118</v>
      </c>
      <c r="C106" s="6">
        <v>0</v>
      </c>
      <c r="D106" s="6">
        <v>0</v>
      </c>
      <c r="E106" s="6">
        <v>0</v>
      </c>
      <c r="F106" s="6">
        <v>1.8</v>
      </c>
      <c r="G106" s="6">
        <v>3.6</v>
      </c>
      <c r="H106" s="6">
        <v>0</v>
      </c>
    </row>
    <row r="107" spans="1:8" ht="15" customHeight="1" thickBot="1" x14ac:dyDescent="0.35">
      <c r="A107" s="5" t="s">
        <v>13</v>
      </c>
      <c r="B107" s="13" t="s">
        <v>119</v>
      </c>
      <c r="C107" s="6">
        <v>0</v>
      </c>
      <c r="D107" s="6">
        <v>0</v>
      </c>
      <c r="E107" s="6">
        <v>44.4</v>
      </c>
      <c r="F107" s="6">
        <v>2.9</v>
      </c>
      <c r="G107" s="6">
        <v>5.8</v>
      </c>
      <c r="H107" s="6">
        <v>1.4</v>
      </c>
    </row>
    <row r="108" spans="1:8" ht="15" customHeight="1" thickBot="1" x14ac:dyDescent="0.35">
      <c r="A108" s="5" t="s">
        <v>13</v>
      </c>
      <c r="B108" s="13" t="s">
        <v>120</v>
      </c>
      <c r="C108" s="6">
        <v>0</v>
      </c>
      <c r="D108" s="6">
        <v>0</v>
      </c>
      <c r="E108" s="6">
        <v>0</v>
      </c>
      <c r="F108" s="6">
        <v>0</v>
      </c>
      <c r="G108" s="6">
        <v>6.6</v>
      </c>
      <c r="H108" s="6">
        <v>3</v>
      </c>
    </row>
    <row r="109" spans="1:8" ht="15" customHeight="1" thickBot="1" x14ac:dyDescent="0.35">
      <c r="A109" s="5" t="s">
        <v>13</v>
      </c>
      <c r="B109" s="13" t="s">
        <v>121</v>
      </c>
      <c r="C109" s="6">
        <v>0</v>
      </c>
      <c r="D109" s="6">
        <v>0</v>
      </c>
      <c r="E109" s="6">
        <v>0</v>
      </c>
      <c r="F109" s="6">
        <v>9.1999999999999993</v>
      </c>
      <c r="G109" s="6">
        <v>6.1</v>
      </c>
      <c r="H109" s="6">
        <v>0.7</v>
      </c>
    </row>
    <row r="110" spans="1:8" ht="15" customHeight="1" thickBot="1" x14ac:dyDescent="0.35">
      <c r="A110" s="5" t="s">
        <v>13</v>
      </c>
      <c r="B110" s="13" t="s">
        <v>122</v>
      </c>
      <c r="C110" s="6">
        <v>7.1</v>
      </c>
      <c r="D110" s="6">
        <v>0</v>
      </c>
      <c r="E110" s="6">
        <v>50</v>
      </c>
      <c r="F110" s="6">
        <v>8.6</v>
      </c>
      <c r="G110" s="6">
        <v>3.6</v>
      </c>
      <c r="H110" s="6">
        <v>2.5</v>
      </c>
    </row>
    <row r="111" spans="1:8" ht="15" customHeight="1" thickBot="1" x14ac:dyDescent="0.35">
      <c r="A111" s="5" t="s">
        <v>13</v>
      </c>
      <c r="B111" s="13" t="s">
        <v>123</v>
      </c>
      <c r="C111" s="6">
        <v>0</v>
      </c>
      <c r="D111" s="6">
        <v>25</v>
      </c>
      <c r="E111" s="6">
        <v>42.9</v>
      </c>
      <c r="F111" s="6">
        <v>7</v>
      </c>
      <c r="G111" s="6">
        <v>1</v>
      </c>
      <c r="H111" s="6">
        <v>2.7</v>
      </c>
    </row>
    <row r="112" spans="1:8" ht="15" customHeight="1" thickBot="1" x14ac:dyDescent="0.35">
      <c r="A112" s="5" t="s">
        <v>13</v>
      </c>
      <c r="B112" s="13" t="s">
        <v>124</v>
      </c>
      <c r="C112" s="6">
        <v>0</v>
      </c>
      <c r="D112" s="6">
        <v>40</v>
      </c>
      <c r="E112" s="6">
        <v>0</v>
      </c>
      <c r="F112" s="6">
        <v>6.1</v>
      </c>
      <c r="G112" s="6">
        <v>5.2</v>
      </c>
      <c r="H112" s="6">
        <v>3</v>
      </c>
    </row>
    <row r="113" spans="1:8" ht="15" customHeight="1" thickBot="1" x14ac:dyDescent="0.35">
      <c r="A113" s="5" t="s">
        <v>13</v>
      </c>
      <c r="B113" s="13" t="s">
        <v>125</v>
      </c>
      <c r="C113" s="6">
        <v>7.7</v>
      </c>
      <c r="D113" s="6">
        <v>0</v>
      </c>
      <c r="E113" s="6">
        <v>33.299999999999997</v>
      </c>
      <c r="F113" s="6">
        <v>9.5</v>
      </c>
      <c r="G113" s="6">
        <v>3.6</v>
      </c>
      <c r="H113" s="6">
        <v>4.4000000000000004</v>
      </c>
    </row>
    <row r="114" spans="1:8" ht="15" customHeight="1" thickBot="1" x14ac:dyDescent="0.35">
      <c r="A114" s="5" t="s">
        <v>13</v>
      </c>
      <c r="B114" s="13" t="s">
        <v>126</v>
      </c>
      <c r="C114" s="6">
        <v>16.7</v>
      </c>
      <c r="D114" s="6">
        <v>37.5</v>
      </c>
      <c r="E114" s="6">
        <v>22.2</v>
      </c>
      <c r="F114" s="6">
        <v>18.8</v>
      </c>
      <c r="G114" s="6">
        <v>13.6</v>
      </c>
      <c r="H114" s="6">
        <v>11.7</v>
      </c>
    </row>
    <row r="115" spans="1:8" ht="15" customHeight="1" thickBot="1" x14ac:dyDescent="0.35">
      <c r="A115" s="5" t="s">
        <v>13</v>
      </c>
      <c r="B115" s="13" t="s">
        <v>127</v>
      </c>
      <c r="C115" s="6">
        <v>16.7</v>
      </c>
      <c r="D115" s="6">
        <v>61.5</v>
      </c>
      <c r="E115" s="6">
        <v>37.5</v>
      </c>
      <c r="F115" s="6">
        <v>24.2</v>
      </c>
      <c r="G115" s="6">
        <v>14.2</v>
      </c>
      <c r="H115" s="6">
        <v>18.7</v>
      </c>
    </row>
    <row r="116" spans="1:8" ht="15" customHeight="1" thickBot="1" x14ac:dyDescent="0.35">
      <c r="A116" s="5" t="s">
        <v>13</v>
      </c>
      <c r="B116" s="13" t="s">
        <v>128</v>
      </c>
      <c r="C116" s="6">
        <v>29.7</v>
      </c>
      <c r="D116" s="6">
        <v>83.3</v>
      </c>
      <c r="E116" s="6">
        <v>52.6</v>
      </c>
      <c r="F116" s="6">
        <v>21.2</v>
      </c>
      <c r="G116" s="6">
        <v>25.4</v>
      </c>
      <c r="H116" s="6">
        <v>16.7</v>
      </c>
    </row>
    <row r="117" spans="1:8" ht="15" customHeight="1" thickBot="1" x14ac:dyDescent="0.35">
      <c r="A117" s="5" t="s">
        <v>13</v>
      </c>
      <c r="B117" s="13" t="s">
        <v>129</v>
      </c>
      <c r="C117" s="6">
        <v>44.1</v>
      </c>
      <c r="D117" s="6">
        <v>33.299999999999997</v>
      </c>
      <c r="E117" s="6">
        <v>78.599999999999994</v>
      </c>
      <c r="F117" s="6">
        <v>28.4</v>
      </c>
      <c r="G117" s="6">
        <v>21.6</v>
      </c>
      <c r="H117" s="6">
        <v>19.7</v>
      </c>
    </row>
    <row r="118" spans="1:8" ht="15" customHeight="1" thickBot="1" x14ac:dyDescent="0.35">
      <c r="A118" s="5" t="s">
        <v>13</v>
      </c>
      <c r="B118" s="13" t="s">
        <v>130</v>
      </c>
      <c r="C118" s="6">
        <v>31</v>
      </c>
      <c r="D118" s="6">
        <v>75</v>
      </c>
      <c r="E118" s="6">
        <v>53.3</v>
      </c>
      <c r="F118" s="6">
        <v>38.9</v>
      </c>
      <c r="G118" s="6">
        <v>30.1</v>
      </c>
      <c r="H118" s="6">
        <v>27.1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47093-4708-4D7D-BA47-0BE41E56DCB7}">
  <dimension ref="A1:Y1000"/>
  <sheetViews>
    <sheetView workbookViewId="0">
      <pane xSplit="2" ySplit="1" topLeftCell="C92" activePane="bottomRight" state="frozen"/>
      <selection pane="topRight" activeCell="C1" sqref="C1"/>
      <selection pane="bottomLeft" activeCell="A2" sqref="A2"/>
      <selection pane="bottomRight" activeCell="M109" sqref="M109"/>
    </sheetView>
  </sheetViews>
  <sheetFormatPr defaultRowHeight="14.4" x14ac:dyDescent="0.3"/>
  <cols>
    <col min="2" max="2" width="9.44140625" bestFit="1" customWidth="1"/>
    <col min="3" max="3" width="16" customWidth="1"/>
    <col min="4" max="4" width="15.88671875" customWidth="1"/>
    <col min="5" max="5" width="14.6640625" customWidth="1"/>
    <col min="6" max="6" width="13.6640625" customWidth="1"/>
    <col min="7" max="7" width="14.5546875" customWidth="1"/>
    <col min="8" max="8" width="17.44140625" customWidth="1"/>
  </cols>
  <sheetData>
    <row r="1" spans="1:25" ht="15" customHeight="1" thickBot="1" x14ac:dyDescent="0.35">
      <c r="A1" s="14" t="s">
        <v>4</v>
      </c>
      <c r="B1" s="15" t="s">
        <v>5</v>
      </c>
      <c r="C1" s="16" t="s">
        <v>154</v>
      </c>
      <c r="D1" s="4" t="s">
        <v>155</v>
      </c>
      <c r="E1" s="16" t="s">
        <v>156</v>
      </c>
      <c r="F1" s="16" t="s">
        <v>157</v>
      </c>
      <c r="G1" s="16" t="s">
        <v>158</v>
      </c>
      <c r="H1" s="16" t="s">
        <v>179</v>
      </c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</row>
    <row r="2" spans="1:25" ht="15" customHeight="1" thickBot="1" x14ac:dyDescent="0.35">
      <c r="A2" s="5" t="s">
        <v>13</v>
      </c>
      <c r="B2" s="6" t="s">
        <v>14</v>
      </c>
      <c r="C2" s="7">
        <v>8</v>
      </c>
      <c r="D2" s="7">
        <v>0</v>
      </c>
      <c r="E2" s="7">
        <v>0</v>
      </c>
      <c r="F2" s="7">
        <v>0</v>
      </c>
      <c r="G2" s="7">
        <v>0</v>
      </c>
      <c r="H2" s="7">
        <v>1.1000000000000001</v>
      </c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ht="15" customHeight="1" thickBot="1" x14ac:dyDescent="0.35">
      <c r="A3" s="5" t="s">
        <v>13</v>
      </c>
      <c r="B3" s="6" t="s">
        <v>15</v>
      </c>
      <c r="C3" s="7">
        <v>32.4</v>
      </c>
      <c r="D3" s="7">
        <v>0</v>
      </c>
      <c r="E3" s="7">
        <v>0</v>
      </c>
      <c r="F3" s="7">
        <v>0</v>
      </c>
      <c r="G3" s="7">
        <v>0.9</v>
      </c>
      <c r="H3" s="7">
        <v>0</v>
      </c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 ht="15" customHeight="1" thickBot="1" x14ac:dyDescent="0.35">
      <c r="A4" s="5" t="s">
        <v>13</v>
      </c>
      <c r="B4" s="6" t="s">
        <v>16</v>
      </c>
      <c r="C4" s="7">
        <v>32.6</v>
      </c>
      <c r="D4" s="7">
        <v>0</v>
      </c>
      <c r="E4" s="7">
        <v>0</v>
      </c>
      <c r="F4" s="7">
        <v>0</v>
      </c>
      <c r="G4" s="7">
        <v>0</v>
      </c>
      <c r="H4" s="7">
        <v>0.8</v>
      </c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 ht="15" customHeight="1" thickBot="1" x14ac:dyDescent="0.35">
      <c r="A5" s="5" t="s">
        <v>13</v>
      </c>
      <c r="B5" s="6" t="s">
        <v>17</v>
      </c>
      <c r="C5" s="7">
        <v>51.2</v>
      </c>
      <c r="D5" s="7">
        <v>0</v>
      </c>
      <c r="E5" s="7">
        <v>0</v>
      </c>
      <c r="F5" s="7">
        <v>0</v>
      </c>
      <c r="G5" s="7">
        <v>0.7</v>
      </c>
      <c r="H5" s="7">
        <v>1.5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</row>
    <row r="6" spans="1:25" ht="15" customHeight="1" thickBot="1" x14ac:dyDescent="0.35">
      <c r="A6" s="5" t="s">
        <v>13</v>
      </c>
      <c r="B6" s="6" t="s">
        <v>18</v>
      </c>
      <c r="C6" s="7">
        <v>40.700000000000003</v>
      </c>
      <c r="D6" s="7">
        <v>0</v>
      </c>
      <c r="E6" s="7">
        <v>0</v>
      </c>
      <c r="F6" s="7">
        <v>0</v>
      </c>
      <c r="G6" s="7">
        <v>0.8</v>
      </c>
      <c r="H6" s="7">
        <v>0</v>
      </c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</row>
    <row r="7" spans="1:25" ht="15" customHeight="1" thickBot="1" x14ac:dyDescent="0.35">
      <c r="A7" s="5" t="s">
        <v>13</v>
      </c>
      <c r="B7" s="6" t="s">
        <v>19</v>
      </c>
      <c r="C7" s="7">
        <v>51.7</v>
      </c>
      <c r="D7" s="7">
        <v>0</v>
      </c>
      <c r="E7" s="7">
        <v>0</v>
      </c>
      <c r="F7" s="7">
        <v>1.2</v>
      </c>
      <c r="G7" s="7">
        <v>2.2999999999999998</v>
      </c>
      <c r="H7" s="7">
        <v>0.7</v>
      </c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</row>
    <row r="8" spans="1:25" ht="15" customHeight="1" thickBot="1" x14ac:dyDescent="0.35">
      <c r="A8" s="5" t="s">
        <v>13</v>
      </c>
      <c r="B8" s="6" t="s">
        <v>20</v>
      </c>
      <c r="C8" s="7">
        <v>67.099999999999994</v>
      </c>
      <c r="D8" s="7">
        <v>10</v>
      </c>
      <c r="E8" s="7">
        <v>0</v>
      </c>
      <c r="F8" s="7">
        <v>3.8</v>
      </c>
      <c r="G8" s="7">
        <v>2.6</v>
      </c>
      <c r="H8" s="7">
        <v>3.6</v>
      </c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</row>
    <row r="9" spans="1:25" ht="15" customHeight="1" thickBot="1" x14ac:dyDescent="0.35">
      <c r="A9" s="5" t="s">
        <v>13</v>
      </c>
      <c r="B9" s="6" t="s">
        <v>21</v>
      </c>
      <c r="C9" s="7">
        <v>70.5</v>
      </c>
      <c r="D9" s="7">
        <v>8.3000000000000007</v>
      </c>
      <c r="E9" s="7">
        <v>0</v>
      </c>
      <c r="F9" s="7">
        <v>3.1</v>
      </c>
      <c r="G9" s="7">
        <v>1.8</v>
      </c>
      <c r="H9" s="7">
        <v>1.2</v>
      </c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</row>
    <row r="10" spans="1:25" ht="15" customHeight="1" thickBot="1" x14ac:dyDescent="0.35">
      <c r="A10" s="5" t="s">
        <v>13</v>
      </c>
      <c r="B10" s="6" t="s">
        <v>22</v>
      </c>
      <c r="C10" s="7">
        <v>70.7</v>
      </c>
      <c r="D10" s="7">
        <v>0</v>
      </c>
      <c r="E10" s="7">
        <v>0</v>
      </c>
      <c r="F10" s="7">
        <v>2.6</v>
      </c>
      <c r="G10" s="7">
        <v>3.3</v>
      </c>
      <c r="H10" s="7">
        <v>4.9000000000000004</v>
      </c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</row>
    <row r="11" spans="1:25" ht="15" customHeight="1" thickBot="1" x14ac:dyDescent="0.35">
      <c r="A11" s="5" t="s">
        <v>13</v>
      </c>
      <c r="B11" s="6" t="s">
        <v>23</v>
      </c>
      <c r="C11" s="7">
        <v>77.8</v>
      </c>
      <c r="D11" s="7">
        <v>0</v>
      </c>
      <c r="E11" s="7">
        <v>0</v>
      </c>
      <c r="F11" s="7">
        <v>6.2</v>
      </c>
      <c r="G11" s="7">
        <v>8.5</v>
      </c>
      <c r="H11" s="7">
        <v>4.3</v>
      </c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</row>
    <row r="12" spans="1:25" ht="15" customHeight="1" thickBot="1" x14ac:dyDescent="0.35">
      <c r="A12" s="5" t="s">
        <v>13</v>
      </c>
      <c r="B12" s="6" t="s">
        <v>24</v>
      </c>
      <c r="C12" s="7">
        <v>80.2</v>
      </c>
      <c r="D12" s="7">
        <v>37.5</v>
      </c>
      <c r="E12" s="7">
        <v>7.1</v>
      </c>
      <c r="F12" s="7">
        <v>6.8</v>
      </c>
      <c r="G12" s="7">
        <v>4.4000000000000004</v>
      </c>
      <c r="H12" s="7">
        <v>6.7</v>
      </c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</row>
    <row r="13" spans="1:25" ht="15" customHeight="1" thickBot="1" x14ac:dyDescent="0.35">
      <c r="A13" s="5" t="s">
        <v>13</v>
      </c>
      <c r="B13" s="6" t="s">
        <v>25</v>
      </c>
      <c r="C13" s="7">
        <v>80.599999999999994</v>
      </c>
      <c r="D13" s="7">
        <v>7.7</v>
      </c>
      <c r="E13" s="7">
        <v>6.7</v>
      </c>
      <c r="F13" s="7">
        <v>5.9</v>
      </c>
      <c r="G13" s="7">
        <v>12.6</v>
      </c>
      <c r="H13" s="7">
        <v>7.8</v>
      </c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</row>
    <row r="14" spans="1:25" ht="15" customHeight="1" thickBot="1" x14ac:dyDescent="0.35">
      <c r="A14" s="5" t="s">
        <v>13</v>
      </c>
      <c r="B14" s="6" t="s">
        <v>26</v>
      </c>
      <c r="C14" s="7">
        <v>80.7</v>
      </c>
      <c r="D14" s="7">
        <v>0</v>
      </c>
      <c r="E14" s="7">
        <v>10</v>
      </c>
      <c r="F14" s="7">
        <v>3.4</v>
      </c>
      <c r="G14" s="7">
        <v>7.7</v>
      </c>
      <c r="H14" s="7">
        <v>8.6</v>
      </c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</row>
    <row r="15" spans="1:25" ht="15" customHeight="1" thickBot="1" x14ac:dyDescent="0.35">
      <c r="A15" s="5" t="s">
        <v>13</v>
      </c>
      <c r="B15" s="6" t="s">
        <v>27</v>
      </c>
      <c r="C15" s="7">
        <v>63.2</v>
      </c>
      <c r="D15" s="7">
        <v>0</v>
      </c>
      <c r="E15" s="7">
        <v>5.9</v>
      </c>
      <c r="F15" s="7">
        <v>7.6</v>
      </c>
      <c r="G15" s="7">
        <v>6.7</v>
      </c>
      <c r="H15" s="7">
        <v>9.6999999999999993</v>
      </c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</row>
    <row r="16" spans="1:25" ht="15" customHeight="1" thickBot="1" x14ac:dyDescent="0.35">
      <c r="A16" s="5" t="s">
        <v>13</v>
      </c>
      <c r="B16" s="6" t="s">
        <v>28</v>
      </c>
      <c r="C16" s="7">
        <v>59.4</v>
      </c>
      <c r="D16" s="7">
        <v>18.2</v>
      </c>
      <c r="E16" s="7">
        <v>0</v>
      </c>
      <c r="F16" s="7">
        <v>4.7</v>
      </c>
      <c r="G16" s="7">
        <v>7.9</v>
      </c>
      <c r="H16" s="7">
        <v>6.1</v>
      </c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</row>
    <row r="17" spans="1:25" ht="15" customHeight="1" thickBot="1" x14ac:dyDescent="0.35">
      <c r="A17" s="5" t="s">
        <v>13</v>
      </c>
      <c r="B17" s="6" t="s">
        <v>29</v>
      </c>
      <c r="C17" s="7">
        <v>46.3</v>
      </c>
      <c r="D17" s="7">
        <v>8.3000000000000007</v>
      </c>
      <c r="E17" s="7">
        <v>0</v>
      </c>
      <c r="F17" s="7">
        <v>4</v>
      </c>
      <c r="G17" s="7">
        <v>6.1</v>
      </c>
      <c r="H17" s="7">
        <v>7.6</v>
      </c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</row>
    <row r="18" spans="1:25" ht="15" customHeight="1" thickBot="1" x14ac:dyDescent="0.35">
      <c r="A18" s="5" t="s">
        <v>13</v>
      </c>
      <c r="B18" s="6" t="s">
        <v>30</v>
      </c>
      <c r="C18" s="7">
        <v>46.8</v>
      </c>
      <c r="D18" s="7">
        <v>10</v>
      </c>
      <c r="E18" s="7">
        <v>0</v>
      </c>
      <c r="F18" s="7">
        <v>0.8</v>
      </c>
      <c r="G18" s="7">
        <v>5.9</v>
      </c>
      <c r="H18" s="7">
        <v>5.4</v>
      </c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</row>
    <row r="19" spans="1:25" ht="15" customHeight="1" thickBot="1" x14ac:dyDescent="0.35">
      <c r="A19" s="5" t="s">
        <v>13</v>
      </c>
      <c r="B19" s="6" t="s">
        <v>31</v>
      </c>
      <c r="C19" s="7">
        <v>21.4</v>
      </c>
      <c r="D19" s="7">
        <v>5.6</v>
      </c>
      <c r="E19" s="7">
        <v>0</v>
      </c>
      <c r="F19" s="7">
        <v>1.7</v>
      </c>
      <c r="G19" s="7">
        <v>3.6</v>
      </c>
      <c r="H19" s="7">
        <v>3.4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</row>
    <row r="20" spans="1:25" ht="15" customHeight="1" thickBot="1" x14ac:dyDescent="0.35">
      <c r="A20" s="5" t="s">
        <v>13</v>
      </c>
      <c r="B20" s="6" t="s">
        <v>32</v>
      </c>
      <c r="C20" s="7">
        <v>33.9</v>
      </c>
      <c r="D20" s="7">
        <v>6.7</v>
      </c>
      <c r="E20" s="7">
        <v>0</v>
      </c>
      <c r="F20" s="7">
        <v>3.1</v>
      </c>
      <c r="G20" s="7">
        <v>4.0999999999999996</v>
      </c>
      <c r="H20" s="7">
        <v>3.4</v>
      </c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</row>
    <row r="21" spans="1:25" ht="15" customHeight="1" thickBot="1" x14ac:dyDescent="0.35">
      <c r="A21" s="5" t="s">
        <v>13</v>
      </c>
      <c r="B21" s="6" t="s">
        <v>33</v>
      </c>
      <c r="C21" s="7">
        <v>28.1</v>
      </c>
      <c r="D21" s="7">
        <v>0</v>
      </c>
      <c r="E21" s="7">
        <v>0</v>
      </c>
      <c r="F21" s="7">
        <v>2.6</v>
      </c>
      <c r="G21" s="7">
        <v>1.8</v>
      </c>
      <c r="H21" s="7">
        <v>5.2</v>
      </c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</row>
    <row r="22" spans="1:25" ht="15" customHeight="1" thickBot="1" x14ac:dyDescent="0.35">
      <c r="A22" s="5" t="s">
        <v>13</v>
      </c>
      <c r="B22" s="6" t="s">
        <v>34</v>
      </c>
      <c r="C22" s="7">
        <v>38</v>
      </c>
      <c r="D22" s="7">
        <v>0</v>
      </c>
      <c r="E22" s="7">
        <v>0</v>
      </c>
      <c r="F22" s="7">
        <v>2.2999999999999998</v>
      </c>
      <c r="G22" s="7">
        <v>1.8</v>
      </c>
      <c r="H22" s="7">
        <v>2.7</v>
      </c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</row>
    <row r="23" spans="1:25" ht="15" customHeight="1" thickBot="1" x14ac:dyDescent="0.35">
      <c r="A23" s="5" t="s">
        <v>13</v>
      </c>
      <c r="B23" s="6" t="s">
        <v>35</v>
      </c>
      <c r="C23" s="7">
        <v>22.4</v>
      </c>
      <c r="D23" s="7">
        <v>0</v>
      </c>
      <c r="E23" s="7">
        <v>0</v>
      </c>
      <c r="F23" s="7">
        <v>0</v>
      </c>
      <c r="G23" s="7">
        <v>1.6</v>
      </c>
      <c r="H23" s="7">
        <v>2.9</v>
      </c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</row>
    <row r="24" spans="1:25" ht="15" customHeight="1" thickBot="1" x14ac:dyDescent="0.35">
      <c r="A24" s="5" t="s">
        <v>13</v>
      </c>
      <c r="B24" s="6" t="s">
        <v>36</v>
      </c>
      <c r="C24" s="7">
        <v>23.7</v>
      </c>
      <c r="D24" s="7">
        <v>7.7</v>
      </c>
      <c r="E24" s="7">
        <v>5.9</v>
      </c>
      <c r="F24" s="7">
        <v>0</v>
      </c>
      <c r="G24" s="7">
        <v>2.5</v>
      </c>
      <c r="H24" s="7">
        <v>1.8</v>
      </c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</row>
    <row r="25" spans="1:25" ht="15" customHeight="1" thickBot="1" x14ac:dyDescent="0.35">
      <c r="A25" s="5" t="s">
        <v>13</v>
      </c>
      <c r="B25" s="6" t="s">
        <v>37</v>
      </c>
      <c r="C25" s="7">
        <v>23.1</v>
      </c>
      <c r="D25" s="7">
        <v>0</v>
      </c>
      <c r="E25" s="7">
        <v>0</v>
      </c>
      <c r="F25" s="7">
        <v>3.3</v>
      </c>
      <c r="G25" s="7">
        <v>1.6</v>
      </c>
      <c r="H25" s="7">
        <v>1.6</v>
      </c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</row>
    <row r="26" spans="1:25" ht="15" customHeight="1" thickBot="1" x14ac:dyDescent="0.35">
      <c r="A26" s="5" t="s">
        <v>13</v>
      </c>
      <c r="B26" s="6" t="s">
        <v>38</v>
      </c>
      <c r="C26" s="7">
        <v>5.4</v>
      </c>
      <c r="D26" s="7">
        <v>0</v>
      </c>
      <c r="E26" s="7">
        <v>0</v>
      </c>
      <c r="F26" s="7">
        <v>1.2</v>
      </c>
      <c r="G26" s="7">
        <v>0</v>
      </c>
      <c r="H26" s="7">
        <v>0</v>
      </c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</row>
    <row r="27" spans="1:25" ht="15" customHeight="1" thickBot="1" x14ac:dyDescent="0.35">
      <c r="A27" s="5" t="s">
        <v>13</v>
      </c>
      <c r="B27" s="6" t="s">
        <v>39</v>
      </c>
      <c r="C27" s="7">
        <v>7.1</v>
      </c>
      <c r="D27" s="7">
        <v>10</v>
      </c>
      <c r="E27" s="7">
        <v>7.1</v>
      </c>
      <c r="F27" s="7">
        <v>1.3</v>
      </c>
      <c r="G27" s="7">
        <v>0</v>
      </c>
      <c r="H27" s="7">
        <v>1.6</v>
      </c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</row>
    <row r="28" spans="1:25" ht="15" customHeight="1" thickBot="1" x14ac:dyDescent="0.35">
      <c r="A28" s="5" t="s">
        <v>13</v>
      </c>
      <c r="B28" s="6" t="s">
        <v>40</v>
      </c>
      <c r="C28" s="7">
        <v>7.1</v>
      </c>
      <c r="D28" s="7">
        <v>0</v>
      </c>
      <c r="E28" s="7">
        <v>0</v>
      </c>
      <c r="F28" s="7">
        <v>1.6</v>
      </c>
      <c r="G28" s="7">
        <v>0.9</v>
      </c>
      <c r="H28" s="7">
        <v>0</v>
      </c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</row>
    <row r="29" spans="1:25" ht="15" customHeight="1" thickBot="1" x14ac:dyDescent="0.35">
      <c r="A29" s="5" t="s">
        <v>13</v>
      </c>
      <c r="B29" s="6" t="s">
        <v>41</v>
      </c>
      <c r="C29" s="7">
        <v>8.3000000000000007</v>
      </c>
      <c r="D29" s="7">
        <v>0</v>
      </c>
      <c r="E29" s="7">
        <v>0</v>
      </c>
      <c r="F29" s="7">
        <v>0</v>
      </c>
      <c r="G29" s="7">
        <v>0</v>
      </c>
      <c r="H29" s="7">
        <v>2.1</v>
      </c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</row>
    <row r="30" spans="1:25" ht="15" customHeight="1" thickBot="1" x14ac:dyDescent="0.35">
      <c r="A30" s="5" t="s">
        <v>13</v>
      </c>
      <c r="B30" s="6" t="s">
        <v>42</v>
      </c>
      <c r="C30" s="7">
        <v>5.9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</row>
    <row r="31" spans="1:25" ht="15" customHeight="1" thickBot="1" x14ac:dyDescent="0.35">
      <c r="A31" s="5" t="s">
        <v>13</v>
      </c>
      <c r="B31" s="6" t="s">
        <v>43</v>
      </c>
      <c r="C31" s="7">
        <v>7.4</v>
      </c>
      <c r="D31" s="7">
        <v>0</v>
      </c>
      <c r="E31" s="7">
        <v>0</v>
      </c>
      <c r="F31" s="7">
        <v>0</v>
      </c>
      <c r="G31" s="7">
        <v>1.1000000000000001</v>
      </c>
      <c r="H31" s="7">
        <v>0</v>
      </c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</row>
    <row r="32" spans="1:25" ht="15" customHeight="1" thickBot="1" x14ac:dyDescent="0.35">
      <c r="A32" s="5" t="s">
        <v>13</v>
      </c>
      <c r="B32" s="6" t="s">
        <v>44</v>
      </c>
      <c r="C32" s="7">
        <v>8.3000000000000007</v>
      </c>
      <c r="D32" s="7">
        <v>0</v>
      </c>
      <c r="E32" s="7">
        <v>0</v>
      </c>
      <c r="F32" s="7">
        <v>2</v>
      </c>
      <c r="G32" s="7">
        <v>0</v>
      </c>
      <c r="H32" s="7">
        <v>1.4</v>
      </c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</row>
    <row r="33" spans="1:25" ht="15" customHeight="1" thickBot="1" x14ac:dyDescent="0.35">
      <c r="A33" s="5" t="s">
        <v>13</v>
      </c>
      <c r="B33" s="6" t="s">
        <v>45</v>
      </c>
      <c r="C33" s="7">
        <v>0</v>
      </c>
      <c r="D33" s="7">
        <v>0</v>
      </c>
      <c r="E33" s="7">
        <v>0</v>
      </c>
      <c r="F33" s="7">
        <v>0</v>
      </c>
      <c r="G33" s="7">
        <v>1.4</v>
      </c>
      <c r="H33" s="7">
        <v>0</v>
      </c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</row>
    <row r="34" spans="1:25" ht="15" customHeight="1" thickBot="1" x14ac:dyDescent="0.35">
      <c r="A34" s="5" t="s">
        <v>13</v>
      </c>
      <c r="B34" s="6" t="s">
        <v>46</v>
      </c>
      <c r="C34" s="7">
        <v>0</v>
      </c>
      <c r="D34" s="7">
        <v>0</v>
      </c>
      <c r="E34" s="7">
        <v>0</v>
      </c>
      <c r="F34" s="7">
        <v>0</v>
      </c>
      <c r="G34" s="7">
        <v>0</v>
      </c>
      <c r="H34" s="7">
        <v>0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</row>
    <row r="35" spans="1:25" ht="15" customHeight="1" thickBot="1" x14ac:dyDescent="0.35">
      <c r="A35" s="5" t="s">
        <v>13</v>
      </c>
      <c r="B35" s="6" t="s">
        <v>47</v>
      </c>
      <c r="C35" s="7">
        <v>0</v>
      </c>
      <c r="D35" s="7">
        <v>0</v>
      </c>
      <c r="E35" s="7">
        <v>0</v>
      </c>
      <c r="F35" s="7">
        <v>0</v>
      </c>
      <c r="G35" s="7">
        <v>0</v>
      </c>
      <c r="H35" s="7">
        <v>0</v>
      </c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</row>
    <row r="36" spans="1:25" ht="15" customHeight="1" thickBot="1" x14ac:dyDescent="0.35">
      <c r="A36" s="5" t="s">
        <v>13</v>
      </c>
      <c r="B36" s="6" t="s">
        <v>48</v>
      </c>
      <c r="C36" s="7">
        <v>0</v>
      </c>
      <c r="D36" s="7">
        <v>0</v>
      </c>
      <c r="E36" s="7">
        <v>9.1</v>
      </c>
      <c r="F36" s="7">
        <v>0</v>
      </c>
      <c r="G36" s="7">
        <v>0</v>
      </c>
      <c r="H36" s="7">
        <v>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</row>
    <row r="37" spans="1:25" ht="15" customHeight="1" thickBot="1" x14ac:dyDescent="0.35">
      <c r="A37" s="5" t="s">
        <v>13</v>
      </c>
      <c r="B37" s="6" t="s">
        <v>49</v>
      </c>
      <c r="C37" s="7">
        <v>0</v>
      </c>
      <c r="D37" s="7">
        <v>0</v>
      </c>
      <c r="E37" s="7">
        <v>0</v>
      </c>
      <c r="F37" s="7">
        <v>0</v>
      </c>
      <c r="G37" s="7">
        <v>0</v>
      </c>
      <c r="H37" s="7">
        <v>0</v>
      </c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</row>
    <row r="38" spans="1:25" ht="15" customHeight="1" thickBot="1" x14ac:dyDescent="0.35">
      <c r="A38" s="5" t="s">
        <v>13</v>
      </c>
      <c r="B38" s="6" t="s">
        <v>50</v>
      </c>
      <c r="C38" s="7">
        <v>5.6</v>
      </c>
      <c r="D38" s="7">
        <v>0</v>
      </c>
      <c r="E38" s="7">
        <v>0</v>
      </c>
      <c r="F38" s="7">
        <v>0</v>
      </c>
      <c r="G38" s="7">
        <v>0</v>
      </c>
      <c r="H38" s="7">
        <v>0</v>
      </c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</row>
    <row r="39" spans="1:25" ht="15" customHeight="1" thickBot="1" x14ac:dyDescent="0.35">
      <c r="A39" s="5" t="s">
        <v>13</v>
      </c>
      <c r="B39" s="6" t="s">
        <v>51</v>
      </c>
      <c r="C39" s="7">
        <v>0</v>
      </c>
      <c r="D39" s="7">
        <v>0</v>
      </c>
      <c r="E39" s="7">
        <v>0</v>
      </c>
      <c r="F39" s="7">
        <v>0</v>
      </c>
      <c r="G39" s="7">
        <v>0</v>
      </c>
      <c r="H39" s="7">
        <v>0</v>
      </c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</row>
    <row r="40" spans="1:25" ht="15" customHeight="1" thickBot="1" x14ac:dyDescent="0.35">
      <c r="A40" s="5" t="s">
        <v>13</v>
      </c>
      <c r="B40" s="6" t="s">
        <v>52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</row>
    <row r="41" spans="1:25" ht="15" customHeight="1" thickBot="1" x14ac:dyDescent="0.35">
      <c r="A41" s="5" t="s">
        <v>13</v>
      </c>
      <c r="B41" s="6" t="s">
        <v>53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</row>
    <row r="42" spans="1:25" ht="15" customHeight="1" thickBot="1" x14ac:dyDescent="0.35">
      <c r="A42" s="5" t="s">
        <v>13</v>
      </c>
      <c r="B42" s="6" t="s">
        <v>54</v>
      </c>
      <c r="C42" s="7">
        <v>0</v>
      </c>
      <c r="D42" s="7">
        <v>0</v>
      </c>
      <c r="E42" s="7">
        <v>0</v>
      </c>
      <c r="F42" s="7">
        <v>0</v>
      </c>
      <c r="G42" s="7">
        <v>0</v>
      </c>
      <c r="H42" s="7">
        <v>0</v>
      </c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</row>
    <row r="43" spans="1:25" ht="15" customHeight="1" thickBot="1" x14ac:dyDescent="0.35">
      <c r="A43" s="5" t="s">
        <v>13</v>
      </c>
      <c r="B43" s="6" t="s">
        <v>55</v>
      </c>
      <c r="C43" s="7">
        <v>0</v>
      </c>
      <c r="D43" s="7">
        <v>0</v>
      </c>
      <c r="E43" s="7">
        <v>0</v>
      </c>
      <c r="F43" s="7">
        <v>0</v>
      </c>
      <c r="G43" s="7">
        <v>0</v>
      </c>
      <c r="H43" s="7">
        <v>0</v>
      </c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</row>
    <row r="44" spans="1:25" ht="15" customHeight="1" thickBot="1" x14ac:dyDescent="0.35">
      <c r="A44" s="5" t="s">
        <v>13</v>
      </c>
      <c r="B44" s="6" t="s">
        <v>56</v>
      </c>
      <c r="C44" s="7">
        <v>0</v>
      </c>
      <c r="D44" s="7">
        <v>0</v>
      </c>
      <c r="E44" s="7">
        <v>0</v>
      </c>
      <c r="F44" s="7">
        <v>0</v>
      </c>
      <c r="G44" s="7">
        <v>0</v>
      </c>
      <c r="H44" s="7">
        <v>1.5</v>
      </c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</row>
    <row r="45" spans="1:25" ht="15" customHeight="1" thickBot="1" x14ac:dyDescent="0.35">
      <c r="A45" s="5" t="s">
        <v>13</v>
      </c>
      <c r="B45" s="6" t="s">
        <v>57</v>
      </c>
      <c r="C45" s="7">
        <v>0</v>
      </c>
      <c r="D45" s="7">
        <v>0</v>
      </c>
      <c r="E45" s="7">
        <v>0</v>
      </c>
      <c r="F45" s="7">
        <v>0</v>
      </c>
      <c r="G45" s="7">
        <v>0</v>
      </c>
      <c r="H45" s="7">
        <v>1.7</v>
      </c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</row>
    <row r="46" spans="1:25" ht="15" customHeight="1" thickBot="1" x14ac:dyDescent="0.35">
      <c r="A46" s="5" t="s">
        <v>13</v>
      </c>
      <c r="B46" s="6" t="s">
        <v>58</v>
      </c>
      <c r="C46" s="7">
        <v>4.5</v>
      </c>
      <c r="D46" s="7">
        <v>0</v>
      </c>
      <c r="E46" s="7">
        <v>0</v>
      </c>
      <c r="F46" s="7">
        <v>0</v>
      </c>
      <c r="G46" s="7">
        <v>0</v>
      </c>
      <c r="H46" s="7">
        <v>1.4</v>
      </c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</row>
    <row r="47" spans="1:25" ht="15" customHeight="1" thickBot="1" x14ac:dyDescent="0.35">
      <c r="A47" s="5" t="s">
        <v>13</v>
      </c>
      <c r="B47" s="6" t="s">
        <v>59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</row>
    <row r="48" spans="1:25" ht="15" customHeight="1" thickBot="1" x14ac:dyDescent="0.35">
      <c r="A48" s="5" t="s">
        <v>13</v>
      </c>
      <c r="B48" s="6" t="s">
        <v>60</v>
      </c>
      <c r="C48" s="7">
        <v>0</v>
      </c>
      <c r="D48" s="7">
        <v>0</v>
      </c>
      <c r="E48" s="7">
        <v>0</v>
      </c>
      <c r="F48" s="7">
        <v>0</v>
      </c>
      <c r="G48" s="7">
        <v>0</v>
      </c>
      <c r="H48" s="7">
        <v>0</v>
      </c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</row>
    <row r="49" spans="1:25" ht="15" customHeight="1" thickBot="1" x14ac:dyDescent="0.35">
      <c r="A49" s="5" t="s">
        <v>13</v>
      </c>
      <c r="B49" s="6" t="s">
        <v>61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</row>
    <row r="50" spans="1:25" ht="15" customHeight="1" thickBot="1" x14ac:dyDescent="0.35">
      <c r="A50" s="5" t="s">
        <v>13</v>
      </c>
      <c r="B50" s="6" t="s">
        <v>62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</row>
    <row r="51" spans="1:25" ht="15" customHeight="1" thickBot="1" x14ac:dyDescent="0.35">
      <c r="A51" s="5" t="s">
        <v>13</v>
      </c>
      <c r="B51" s="6" t="s">
        <v>63</v>
      </c>
      <c r="C51" s="7">
        <v>7.1</v>
      </c>
      <c r="D51" s="7">
        <v>0</v>
      </c>
      <c r="E51" s="7">
        <v>0</v>
      </c>
      <c r="F51" s="7">
        <v>0</v>
      </c>
      <c r="G51" s="7">
        <v>1.7</v>
      </c>
      <c r="H51" s="7">
        <v>0</v>
      </c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</row>
    <row r="52" spans="1:25" ht="15" customHeight="1" thickBot="1" x14ac:dyDescent="0.35">
      <c r="A52" s="5" t="s">
        <v>13</v>
      </c>
      <c r="B52" s="6" t="s">
        <v>64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</row>
    <row r="53" spans="1:25" ht="15" customHeight="1" thickBot="1" x14ac:dyDescent="0.35">
      <c r="A53" s="5" t="s">
        <v>13</v>
      </c>
      <c r="B53" s="6" t="s">
        <v>65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</row>
    <row r="54" spans="1:25" ht="15" customHeight="1" thickBot="1" x14ac:dyDescent="0.35">
      <c r="A54" s="5" t="s">
        <v>13</v>
      </c>
      <c r="B54" s="6" t="s">
        <v>66</v>
      </c>
      <c r="C54" s="7">
        <v>0</v>
      </c>
      <c r="D54" s="7">
        <v>0</v>
      </c>
      <c r="E54" s="7">
        <v>0</v>
      </c>
      <c r="F54" s="7">
        <v>0</v>
      </c>
      <c r="G54" s="7">
        <v>0</v>
      </c>
      <c r="H54" s="7">
        <v>0</v>
      </c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</row>
    <row r="55" spans="1:25" ht="15" customHeight="1" thickBot="1" x14ac:dyDescent="0.35">
      <c r="A55" s="5" t="s">
        <v>13</v>
      </c>
      <c r="B55" s="6" t="s">
        <v>67</v>
      </c>
      <c r="C55" s="7">
        <v>4.2</v>
      </c>
      <c r="D55" s="7">
        <v>0</v>
      </c>
      <c r="E55" s="7">
        <v>0</v>
      </c>
      <c r="F55" s="7">
        <v>0</v>
      </c>
      <c r="G55" s="7">
        <v>0</v>
      </c>
      <c r="H55" s="7">
        <v>0</v>
      </c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</row>
    <row r="56" spans="1:25" ht="15" customHeight="1" thickBot="1" x14ac:dyDescent="0.35">
      <c r="A56" s="5" t="s">
        <v>13</v>
      </c>
      <c r="B56" s="6" t="s">
        <v>68</v>
      </c>
      <c r="C56" s="7">
        <v>5.3</v>
      </c>
      <c r="D56" s="7">
        <v>0</v>
      </c>
      <c r="E56" s="7">
        <v>0</v>
      </c>
      <c r="F56" s="7">
        <v>0</v>
      </c>
      <c r="G56" s="7">
        <v>0</v>
      </c>
      <c r="H56" s="7">
        <v>0</v>
      </c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</row>
    <row r="57" spans="1:25" ht="15" customHeight="1" thickBot="1" x14ac:dyDescent="0.35">
      <c r="A57" s="5" t="s">
        <v>13</v>
      </c>
      <c r="B57" s="6" t="s">
        <v>69</v>
      </c>
      <c r="C57" s="7">
        <v>4</v>
      </c>
      <c r="D57" s="7">
        <v>0</v>
      </c>
      <c r="E57" s="7">
        <v>0</v>
      </c>
      <c r="F57" s="7">
        <v>0</v>
      </c>
      <c r="G57" s="7">
        <v>0</v>
      </c>
      <c r="H57" s="7">
        <v>0</v>
      </c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</row>
    <row r="58" spans="1:25" ht="15" customHeight="1" thickBot="1" x14ac:dyDescent="0.35">
      <c r="A58" s="5" t="s">
        <v>13</v>
      </c>
      <c r="B58" s="6" t="s">
        <v>70</v>
      </c>
      <c r="C58" s="7">
        <v>0</v>
      </c>
      <c r="D58" s="7">
        <v>0</v>
      </c>
      <c r="E58" s="7">
        <v>0</v>
      </c>
      <c r="F58" s="7">
        <v>0</v>
      </c>
      <c r="G58" s="7">
        <v>0</v>
      </c>
      <c r="H58" s="7">
        <v>0</v>
      </c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</row>
    <row r="59" spans="1:25" ht="15" customHeight="1" thickBot="1" x14ac:dyDescent="0.35">
      <c r="A59" s="5" t="s">
        <v>13</v>
      </c>
      <c r="B59" s="6" t="s">
        <v>71</v>
      </c>
      <c r="C59" s="7">
        <v>8</v>
      </c>
      <c r="D59" s="7">
        <v>0</v>
      </c>
      <c r="E59" s="7">
        <v>0</v>
      </c>
      <c r="F59" s="7">
        <v>0</v>
      </c>
      <c r="G59" s="7">
        <v>1.4</v>
      </c>
      <c r="H59" s="7">
        <v>0</v>
      </c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</row>
    <row r="60" spans="1:25" ht="15" customHeight="1" thickBot="1" x14ac:dyDescent="0.35">
      <c r="A60" s="5" t="s">
        <v>13</v>
      </c>
      <c r="B60" s="6" t="s">
        <v>72</v>
      </c>
      <c r="C60" s="7">
        <v>22.2</v>
      </c>
      <c r="D60" s="7">
        <v>0</v>
      </c>
      <c r="E60" s="7">
        <v>0</v>
      </c>
      <c r="F60" s="7">
        <v>0</v>
      </c>
      <c r="G60" s="7">
        <v>0</v>
      </c>
      <c r="H60" s="7">
        <v>0</v>
      </c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</row>
    <row r="61" spans="1:25" ht="15" customHeight="1" thickBot="1" x14ac:dyDescent="0.35">
      <c r="A61" s="5" t="s">
        <v>13</v>
      </c>
      <c r="B61" s="6" t="s">
        <v>73</v>
      </c>
      <c r="C61" s="7">
        <v>22.6</v>
      </c>
      <c r="D61" s="7">
        <v>0</v>
      </c>
      <c r="E61" s="7">
        <v>0</v>
      </c>
      <c r="F61" s="7">
        <v>0</v>
      </c>
      <c r="G61" s="7">
        <v>1.2</v>
      </c>
      <c r="H61" s="7">
        <v>0</v>
      </c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</row>
    <row r="62" spans="1:25" ht="15" customHeight="1" thickBot="1" x14ac:dyDescent="0.35">
      <c r="A62" s="5" t="s">
        <v>13</v>
      </c>
      <c r="B62" s="6" t="s">
        <v>74</v>
      </c>
      <c r="C62" s="7">
        <v>58.3</v>
      </c>
      <c r="D62" s="7">
        <v>0</v>
      </c>
      <c r="E62" s="7">
        <v>0</v>
      </c>
      <c r="F62" s="7">
        <v>0</v>
      </c>
      <c r="G62" s="7">
        <v>1.3</v>
      </c>
      <c r="H62" s="7">
        <v>4.0999999999999996</v>
      </c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</row>
    <row r="63" spans="1:25" ht="15" customHeight="1" thickBot="1" x14ac:dyDescent="0.35">
      <c r="A63" s="5" t="s">
        <v>13</v>
      </c>
      <c r="B63" s="6" t="s">
        <v>75</v>
      </c>
      <c r="C63" s="7">
        <v>47.4</v>
      </c>
      <c r="D63" s="7">
        <v>0</v>
      </c>
      <c r="E63" s="7">
        <v>0</v>
      </c>
      <c r="F63" s="7">
        <v>3.8</v>
      </c>
      <c r="G63" s="7">
        <v>5.3</v>
      </c>
      <c r="H63" s="7">
        <v>1</v>
      </c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</row>
    <row r="64" spans="1:25" ht="15" customHeight="1" thickBot="1" x14ac:dyDescent="0.35">
      <c r="A64" s="5" t="s">
        <v>13</v>
      </c>
      <c r="B64" s="6" t="s">
        <v>76</v>
      </c>
      <c r="C64" s="7">
        <v>52.2</v>
      </c>
      <c r="D64" s="7">
        <v>0</v>
      </c>
      <c r="E64" s="7">
        <v>0</v>
      </c>
      <c r="F64" s="7">
        <v>3.7</v>
      </c>
      <c r="G64" s="7">
        <v>3.4</v>
      </c>
      <c r="H64" s="7">
        <v>3.3</v>
      </c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</row>
    <row r="65" spans="1:25" ht="15" customHeight="1" thickBot="1" x14ac:dyDescent="0.35">
      <c r="A65" s="5" t="s">
        <v>13</v>
      </c>
      <c r="B65" s="6" t="s">
        <v>77</v>
      </c>
      <c r="C65" s="7">
        <v>63.4</v>
      </c>
      <c r="D65" s="7">
        <v>0</v>
      </c>
      <c r="E65" s="7">
        <v>0</v>
      </c>
      <c r="F65" s="7">
        <v>2.6</v>
      </c>
      <c r="G65" s="7">
        <v>2.5</v>
      </c>
      <c r="H65" s="7">
        <v>3.5</v>
      </c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</row>
    <row r="66" spans="1:25" ht="15" customHeight="1" thickBot="1" x14ac:dyDescent="0.35">
      <c r="A66" s="5" t="s">
        <v>13</v>
      </c>
      <c r="B66" s="6" t="s">
        <v>78</v>
      </c>
      <c r="C66" s="7">
        <v>67.5</v>
      </c>
      <c r="D66" s="7">
        <v>33.299999999999997</v>
      </c>
      <c r="E66" s="7">
        <v>0</v>
      </c>
      <c r="F66" s="7">
        <v>1.5</v>
      </c>
      <c r="G66" s="7">
        <v>5.4</v>
      </c>
      <c r="H66" s="7">
        <v>3.1</v>
      </c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</row>
    <row r="67" spans="1:25" ht="15" customHeight="1" thickBot="1" x14ac:dyDescent="0.35">
      <c r="A67" s="5" t="s">
        <v>13</v>
      </c>
      <c r="B67" s="6" t="s">
        <v>79</v>
      </c>
      <c r="C67" s="7">
        <v>79.400000000000006</v>
      </c>
      <c r="D67" s="7">
        <v>25</v>
      </c>
      <c r="E67" s="7">
        <v>0</v>
      </c>
      <c r="F67" s="7">
        <v>3.8</v>
      </c>
      <c r="G67" s="7">
        <v>5.7</v>
      </c>
      <c r="H67" s="7">
        <v>9.5</v>
      </c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</row>
    <row r="68" spans="1:25" ht="15" customHeight="1" thickBot="1" x14ac:dyDescent="0.35">
      <c r="A68" s="5" t="s">
        <v>13</v>
      </c>
      <c r="B68" s="6" t="s">
        <v>80</v>
      </c>
      <c r="C68" s="7">
        <v>66.7</v>
      </c>
      <c r="D68" s="7">
        <v>0</v>
      </c>
      <c r="E68" s="7">
        <v>0</v>
      </c>
      <c r="F68" s="7">
        <v>5</v>
      </c>
      <c r="G68" s="7">
        <v>5.6</v>
      </c>
      <c r="H68" s="7">
        <v>4.8</v>
      </c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</row>
    <row r="69" spans="1:25" ht="15" customHeight="1" thickBot="1" x14ac:dyDescent="0.35">
      <c r="A69" s="5" t="s">
        <v>13</v>
      </c>
      <c r="B69" s="6" t="s">
        <v>81</v>
      </c>
      <c r="C69" s="7">
        <v>66.3</v>
      </c>
      <c r="D69" s="7">
        <v>0</v>
      </c>
      <c r="E69" s="7">
        <v>0</v>
      </c>
      <c r="F69" s="7">
        <v>6.2</v>
      </c>
      <c r="G69" s="7">
        <v>9.6</v>
      </c>
      <c r="H69" s="7">
        <v>8</v>
      </c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</row>
    <row r="70" spans="1:25" ht="15" customHeight="1" thickBot="1" x14ac:dyDescent="0.35">
      <c r="A70" s="5" t="s">
        <v>13</v>
      </c>
      <c r="B70" s="6" t="s">
        <v>82</v>
      </c>
      <c r="C70" s="7">
        <v>82.5</v>
      </c>
      <c r="D70" s="7">
        <v>0</v>
      </c>
      <c r="E70" s="7">
        <v>8.3000000000000007</v>
      </c>
      <c r="F70" s="7">
        <v>5.0999999999999996</v>
      </c>
      <c r="G70" s="7">
        <v>10.6</v>
      </c>
      <c r="H70" s="7">
        <v>7.9</v>
      </c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</row>
    <row r="71" spans="1:25" ht="15" customHeight="1" thickBot="1" x14ac:dyDescent="0.35">
      <c r="A71" s="5" t="s">
        <v>13</v>
      </c>
      <c r="B71" s="6" t="s">
        <v>83</v>
      </c>
      <c r="C71" s="7">
        <v>73.099999999999994</v>
      </c>
      <c r="D71" s="7">
        <v>10</v>
      </c>
      <c r="E71" s="7">
        <v>0</v>
      </c>
      <c r="F71" s="7">
        <v>6</v>
      </c>
      <c r="G71" s="7">
        <v>8.1</v>
      </c>
      <c r="H71" s="7">
        <v>10.6</v>
      </c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</row>
    <row r="72" spans="1:25" ht="15" customHeight="1" thickBot="1" x14ac:dyDescent="0.35">
      <c r="A72" s="5" t="s">
        <v>13</v>
      </c>
      <c r="B72" s="13" t="s">
        <v>84</v>
      </c>
      <c r="C72" s="6">
        <v>65.900000000000006</v>
      </c>
      <c r="D72" s="6">
        <v>9.1</v>
      </c>
      <c r="E72" s="6">
        <v>0</v>
      </c>
      <c r="F72" s="6">
        <v>8.3000000000000007</v>
      </c>
      <c r="G72" s="6">
        <v>9.6999999999999993</v>
      </c>
      <c r="H72" s="6">
        <v>11.2</v>
      </c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</row>
    <row r="73" spans="1:25" ht="15" customHeight="1" thickBot="1" x14ac:dyDescent="0.35">
      <c r="A73" s="5" t="s">
        <v>13</v>
      </c>
      <c r="B73" s="13" t="s">
        <v>85</v>
      </c>
      <c r="C73" s="6">
        <v>63.3</v>
      </c>
      <c r="D73" s="6">
        <v>8.3000000000000007</v>
      </c>
      <c r="E73" s="6">
        <v>0</v>
      </c>
      <c r="F73" s="6">
        <v>6.6</v>
      </c>
      <c r="G73" s="6">
        <v>7.1</v>
      </c>
      <c r="H73" s="6">
        <v>6.2</v>
      </c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</row>
    <row r="74" spans="1:25" ht="15" customHeight="1" thickBot="1" x14ac:dyDescent="0.35">
      <c r="A74" s="5" t="s">
        <v>13</v>
      </c>
      <c r="B74" s="13" t="s">
        <v>86</v>
      </c>
      <c r="C74" s="6">
        <v>59.3</v>
      </c>
      <c r="D74" s="6">
        <v>0</v>
      </c>
      <c r="E74" s="6">
        <v>0</v>
      </c>
      <c r="F74" s="6">
        <v>10.8</v>
      </c>
      <c r="G74" s="6">
        <v>10.199999999999999</v>
      </c>
      <c r="H74" s="6">
        <v>8.6999999999999993</v>
      </c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</row>
    <row r="75" spans="1:25" ht="15" customHeight="1" thickBot="1" x14ac:dyDescent="0.35">
      <c r="A75" s="5" t="s">
        <v>13</v>
      </c>
      <c r="B75" s="13" t="s">
        <v>87</v>
      </c>
      <c r="C75" s="6">
        <v>48</v>
      </c>
      <c r="D75" s="6">
        <v>14.3</v>
      </c>
      <c r="E75" s="6">
        <v>0</v>
      </c>
      <c r="F75" s="6">
        <v>1.9</v>
      </c>
      <c r="G75" s="6">
        <v>9.3000000000000007</v>
      </c>
      <c r="H75" s="6">
        <v>8.5</v>
      </c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</row>
    <row r="76" spans="1:25" ht="15" customHeight="1" thickBot="1" x14ac:dyDescent="0.35">
      <c r="A76" s="5" t="s">
        <v>13</v>
      </c>
      <c r="B76" s="13" t="s">
        <v>88</v>
      </c>
      <c r="C76" s="6">
        <v>51.2</v>
      </c>
      <c r="D76" s="6">
        <v>0</v>
      </c>
      <c r="E76" s="6">
        <v>0</v>
      </c>
      <c r="F76" s="6">
        <v>6.8</v>
      </c>
      <c r="G76" s="6">
        <v>8.1</v>
      </c>
      <c r="H76" s="6">
        <v>11.5</v>
      </c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</row>
    <row r="77" spans="1:25" ht="15" customHeight="1" thickBot="1" x14ac:dyDescent="0.35">
      <c r="A77" s="5" t="s">
        <v>13</v>
      </c>
      <c r="B77" s="13" t="s">
        <v>89</v>
      </c>
      <c r="C77" s="6">
        <v>37.299999999999997</v>
      </c>
      <c r="D77" s="6">
        <v>0</v>
      </c>
      <c r="E77" s="6">
        <v>11.1</v>
      </c>
      <c r="F77" s="6">
        <v>3.7</v>
      </c>
      <c r="G77" s="6">
        <v>6.1</v>
      </c>
      <c r="H77" s="6">
        <v>8.4</v>
      </c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</row>
    <row r="78" spans="1:25" ht="15" customHeight="1" thickBot="1" x14ac:dyDescent="0.35">
      <c r="A78" s="5" t="s">
        <v>13</v>
      </c>
      <c r="B78" s="13" t="s">
        <v>90</v>
      </c>
      <c r="C78" s="6">
        <v>26.7</v>
      </c>
      <c r="D78" s="6">
        <v>0</v>
      </c>
      <c r="E78" s="6">
        <v>0</v>
      </c>
      <c r="F78" s="6">
        <v>4</v>
      </c>
      <c r="G78" s="6">
        <v>5.8</v>
      </c>
      <c r="H78" s="6">
        <v>4.5</v>
      </c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</row>
    <row r="79" spans="1:25" ht="15" customHeight="1" thickBot="1" x14ac:dyDescent="0.35">
      <c r="A79" s="5" t="s">
        <v>13</v>
      </c>
      <c r="B79" s="13" t="s">
        <v>91</v>
      </c>
      <c r="C79" s="6">
        <v>33.299999999999997</v>
      </c>
      <c r="D79" s="6">
        <v>0</v>
      </c>
      <c r="E79" s="6">
        <v>6.7</v>
      </c>
      <c r="F79" s="6">
        <v>5.0999999999999996</v>
      </c>
      <c r="G79" s="6">
        <v>4.7</v>
      </c>
      <c r="H79" s="6">
        <v>9.1999999999999993</v>
      </c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</row>
    <row r="80" spans="1:25" ht="15" customHeight="1" thickBot="1" x14ac:dyDescent="0.35">
      <c r="A80" s="5" t="s">
        <v>13</v>
      </c>
      <c r="B80" s="13" t="s">
        <v>92</v>
      </c>
      <c r="C80" s="6">
        <v>23.7</v>
      </c>
      <c r="D80" s="6">
        <v>0</v>
      </c>
      <c r="E80" s="6">
        <v>20</v>
      </c>
      <c r="F80" s="6">
        <v>9</v>
      </c>
      <c r="G80" s="6">
        <v>4.3</v>
      </c>
      <c r="H80" s="6">
        <v>4.5</v>
      </c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</row>
    <row r="81" spans="1:25" ht="15" customHeight="1" thickBot="1" x14ac:dyDescent="0.35">
      <c r="A81" s="5" t="s">
        <v>13</v>
      </c>
      <c r="B81" s="13" t="s">
        <v>93</v>
      </c>
      <c r="C81" s="6">
        <v>25</v>
      </c>
      <c r="D81" s="6">
        <v>0</v>
      </c>
      <c r="E81" s="6">
        <v>0</v>
      </c>
      <c r="F81" s="6">
        <v>10.4</v>
      </c>
      <c r="G81" s="6">
        <v>8.4</v>
      </c>
      <c r="H81" s="6">
        <v>7.5</v>
      </c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</row>
    <row r="82" spans="1:25" ht="15" customHeight="1" thickBot="1" x14ac:dyDescent="0.35">
      <c r="A82" s="5" t="s">
        <v>13</v>
      </c>
      <c r="B82" s="13" t="s">
        <v>94</v>
      </c>
      <c r="C82" s="6">
        <v>21.7</v>
      </c>
      <c r="D82" s="6">
        <v>0</v>
      </c>
      <c r="E82" s="6">
        <v>0</v>
      </c>
      <c r="F82" s="6">
        <v>5.0999999999999996</v>
      </c>
      <c r="G82" s="6">
        <v>3.4</v>
      </c>
      <c r="H82" s="6">
        <v>3.2</v>
      </c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</row>
    <row r="83" spans="1:25" ht="15" customHeight="1" thickBot="1" x14ac:dyDescent="0.35">
      <c r="A83" s="5" t="s">
        <v>13</v>
      </c>
      <c r="B83" s="13" t="s">
        <v>95</v>
      </c>
      <c r="C83" s="6">
        <v>17.600000000000001</v>
      </c>
      <c r="D83" s="6">
        <v>0</v>
      </c>
      <c r="E83" s="6">
        <v>0</v>
      </c>
      <c r="F83" s="6">
        <v>3.7</v>
      </c>
      <c r="G83" s="6">
        <v>7.4</v>
      </c>
      <c r="H83" s="6">
        <v>6.7</v>
      </c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</row>
    <row r="84" spans="1:25" ht="15" customHeight="1" thickBot="1" x14ac:dyDescent="0.35">
      <c r="A84" s="5" t="s">
        <v>13</v>
      </c>
      <c r="B84" s="13" t="s">
        <v>96</v>
      </c>
      <c r="C84" s="6">
        <v>20</v>
      </c>
      <c r="D84" s="6">
        <v>0</v>
      </c>
      <c r="E84" s="6">
        <v>0</v>
      </c>
      <c r="F84" s="6">
        <v>10.7</v>
      </c>
      <c r="G84" s="6">
        <v>1.7</v>
      </c>
      <c r="H84" s="6">
        <v>4.3</v>
      </c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</row>
    <row r="85" spans="1:25" ht="15" customHeight="1" thickBot="1" x14ac:dyDescent="0.35">
      <c r="A85" s="5" t="s">
        <v>13</v>
      </c>
      <c r="B85" s="13" t="s">
        <v>97</v>
      </c>
      <c r="C85" s="6">
        <v>17.600000000000001</v>
      </c>
      <c r="D85" s="6">
        <v>0</v>
      </c>
      <c r="E85" s="6">
        <v>0</v>
      </c>
      <c r="F85" s="6">
        <v>0</v>
      </c>
      <c r="G85" s="6">
        <v>2.8</v>
      </c>
      <c r="H85" s="6">
        <v>1.4</v>
      </c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</row>
    <row r="86" spans="1:25" ht="15" customHeight="1" thickBot="1" x14ac:dyDescent="0.35">
      <c r="A86" s="5" t="s">
        <v>13</v>
      </c>
      <c r="B86" s="13" t="s">
        <v>98</v>
      </c>
      <c r="C86" s="6">
        <v>15.4</v>
      </c>
      <c r="D86" s="6">
        <v>0</v>
      </c>
      <c r="E86" s="6">
        <v>25</v>
      </c>
      <c r="F86" s="6">
        <v>0</v>
      </c>
      <c r="G86" s="6">
        <v>0</v>
      </c>
      <c r="H86" s="6">
        <v>4.8</v>
      </c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</row>
    <row r="87" spans="1:25" ht="15" customHeight="1" thickBot="1" x14ac:dyDescent="0.35">
      <c r="A87" s="5" t="s">
        <v>13</v>
      </c>
      <c r="B87" s="13" t="s">
        <v>99</v>
      </c>
      <c r="C87" s="6">
        <v>0</v>
      </c>
      <c r="D87" s="6"/>
      <c r="E87" s="6">
        <v>0</v>
      </c>
      <c r="F87" s="6">
        <v>0</v>
      </c>
      <c r="G87" s="6">
        <v>3.4</v>
      </c>
      <c r="H87" s="6">
        <v>4.2</v>
      </c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</row>
    <row r="88" spans="1:25" ht="15" customHeight="1" thickBot="1" x14ac:dyDescent="0.35">
      <c r="A88" s="5" t="s">
        <v>13</v>
      </c>
      <c r="B88" s="13" t="s">
        <v>100</v>
      </c>
      <c r="C88" s="6">
        <v>0</v>
      </c>
      <c r="D88" s="6"/>
      <c r="E88" s="6">
        <v>0</v>
      </c>
      <c r="F88" s="6">
        <v>4.2</v>
      </c>
      <c r="G88" s="6">
        <v>0</v>
      </c>
      <c r="H88" s="6">
        <v>1.6</v>
      </c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</row>
    <row r="89" spans="1:25" ht="15" customHeight="1" thickBot="1" x14ac:dyDescent="0.35">
      <c r="A89" s="5" t="s">
        <v>13</v>
      </c>
      <c r="B89" s="13" t="s">
        <v>101</v>
      </c>
      <c r="C89" s="6">
        <v>0</v>
      </c>
      <c r="D89" s="6">
        <v>0</v>
      </c>
      <c r="E89" s="6">
        <v>0</v>
      </c>
      <c r="F89" s="6">
        <v>0</v>
      </c>
      <c r="G89" s="6">
        <v>0</v>
      </c>
      <c r="H89" s="6">
        <v>0</v>
      </c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</row>
    <row r="90" spans="1:25" ht="15" customHeight="1" thickBot="1" x14ac:dyDescent="0.35">
      <c r="A90" s="5" t="s">
        <v>13</v>
      </c>
      <c r="B90" s="13" t="s">
        <v>102</v>
      </c>
      <c r="C90" s="6">
        <v>0</v>
      </c>
      <c r="D90" s="6">
        <v>0</v>
      </c>
      <c r="E90" s="6"/>
      <c r="F90" s="6">
        <v>3.4</v>
      </c>
      <c r="G90" s="6">
        <v>0</v>
      </c>
      <c r="H90" s="6">
        <v>1.4</v>
      </c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</row>
    <row r="91" spans="1:25" ht="15" customHeight="1" thickBot="1" x14ac:dyDescent="0.35">
      <c r="A91" s="5" t="s">
        <v>13</v>
      </c>
      <c r="B91" s="13" t="s">
        <v>103</v>
      </c>
      <c r="C91" s="6">
        <v>5.9</v>
      </c>
      <c r="D91" s="6">
        <v>0</v>
      </c>
      <c r="E91" s="6">
        <v>0</v>
      </c>
      <c r="F91" s="6">
        <v>0</v>
      </c>
      <c r="G91" s="6">
        <v>2.9</v>
      </c>
      <c r="H91" s="6">
        <v>0</v>
      </c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</row>
    <row r="92" spans="1:25" ht="15" customHeight="1" thickBot="1" x14ac:dyDescent="0.35">
      <c r="A92" s="5" t="s">
        <v>13</v>
      </c>
      <c r="B92" s="13" t="s">
        <v>104</v>
      </c>
      <c r="C92" s="6">
        <v>0</v>
      </c>
      <c r="D92" s="6">
        <v>0</v>
      </c>
      <c r="E92" s="6"/>
      <c r="F92" s="6">
        <v>0</v>
      </c>
      <c r="G92" s="6">
        <v>0</v>
      </c>
      <c r="H92" s="6">
        <v>0</v>
      </c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</row>
    <row r="93" spans="1:25" ht="15" customHeight="1" thickBot="1" x14ac:dyDescent="0.35">
      <c r="A93" s="5" t="s">
        <v>13</v>
      </c>
      <c r="B93" s="13" t="s">
        <v>105</v>
      </c>
      <c r="C93" s="6">
        <v>0</v>
      </c>
      <c r="D93" s="6"/>
      <c r="E93" s="6">
        <v>0</v>
      </c>
      <c r="F93" s="6">
        <v>0</v>
      </c>
      <c r="G93" s="6">
        <v>0</v>
      </c>
      <c r="H93" s="6">
        <v>0</v>
      </c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</row>
    <row r="94" spans="1:25" ht="15" customHeight="1" thickBot="1" x14ac:dyDescent="0.35">
      <c r="A94" s="5" t="s">
        <v>13</v>
      </c>
      <c r="B94" s="13" t="s">
        <v>106</v>
      </c>
      <c r="C94" s="6">
        <v>0</v>
      </c>
      <c r="D94" s="6">
        <v>0</v>
      </c>
      <c r="E94" s="6">
        <v>0</v>
      </c>
      <c r="F94" s="6">
        <v>0</v>
      </c>
      <c r="G94" s="6">
        <v>0</v>
      </c>
      <c r="H94" s="6">
        <v>0</v>
      </c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</row>
    <row r="95" spans="1:25" ht="15" customHeight="1" thickBot="1" x14ac:dyDescent="0.35">
      <c r="A95" s="5" t="s">
        <v>13</v>
      </c>
      <c r="B95" s="13" t="s">
        <v>107</v>
      </c>
      <c r="C95" s="6">
        <v>0</v>
      </c>
      <c r="D95" s="6"/>
      <c r="E95" s="6">
        <v>0</v>
      </c>
      <c r="F95" s="6">
        <v>0</v>
      </c>
      <c r="G95" s="6">
        <v>0</v>
      </c>
      <c r="H95" s="6">
        <v>0</v>
      </c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</row>
    <row r="96" spans="1:25" ht="15" customHeight="1" thickBot="1" x14ac:dyDescent="0.35">
      <c r="A96" s="5" t="s">
        <v>13</v>
      </c>
      <c r="B96" s="13" t="s">
        <v>108</v>
      </c>
      <c r="C96" s="6">
        <v>0</v>
      </c>
      <c r="D96" s="6"/>
      <c r="E96" s="6">
        <v>0</v>
      </c>
      <c r="F96" s="6">
        <v>0</v>
      </c>
      <c r="G96" s="6">
        <v>0</v>
      </c>
      <c r="H96" s="6">
        <v>1.7</v>
      </c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</row>
    <row r="97" spans="1:25" ht="15" customHeight="1" thickBot="1" x14ac:dyDescent="0.35">
      <c r="A97" s="5" t="s">
        <v>13</v>
      </c>
      <c r="B97" s="13" t="s">
        <v>109</v>
      </c>
      <c r="C97" s="6">
        <v>0</v>
      </c>
      <c r="D97" s="6"/>
      <c r="E97" s="6">
        <v>0</v>
      </c>
      <c r="F97" s="6">
        <v>0</v>
      </c>
      <c r="G97" s="6">
        <v>0</v>
      </c>
      <c r="H97" s="6">
        <v>0</v>
      </c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</row>
    <row r="98" spans="1:25" ht="15" customHeight="1" thickBot="1" x14ac:dyDescent="0.35">
      <c r="A98" s="5" t="s">
        <v>13</v>
      </c>
      <c r="B98" s="13" t="s">
        <v>110</v>
      </c>
      <c r="C98" s="6">
        <v>0</v>
      </c>
      <c r="D98" s="6">
        <v>0</v>
      </c>
      <c r="E98" s="6">
        <v>0</v>
      </c>
      <c r="F98" s="6">
        <v>0</v>
      </c>
      <c r="G98" s="6">
        <v>0</v>
      </c>
      <c r="H98" s="6">
        <v>0</v>
      </c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</row>
    <row r="99" spans="1:25" ht="15" customHeight="1" thickBot="1" x14ac:dyDescent="0.35">
      <c r="A99" s="5" t="s">
        <v>13</v>
      </c>
      <c r="B99" s="13" t="s">
        <v>111</v>
      </c>
      <c r="C99" s="6">
        <v>0</v>
      </c>
      <c r="D99" s="6"/>
      <c r="E99" s="6"/>
      <c r="F99" s="6">
        <v>0</v>
      </c>
      <c r="G99" s="6">
        <v>0</v>
      </c>
      <c r="H99" s="6">
        <v>0</v>
      </c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</row>
    <row r="100" spans="1:25" ht="15" customHeight="1" thickBot="1" x14ac:dyDescent="0.35">
      <c r="A100" s="5" t="s">
        <v>13</v>
      </c>
      <c r="B100" s="13" t="s">
        <v>112</v>
      </c>
      <c r="C100" s="6">
        <v>0</v>
      </c>
      <c r="D100" s="6"/>
      <c r="E100" s="6">
        <v>0</v>
      </c>
      <c r="F100" s="6">
        <v>0</v>
      </c>
      <c r="G100" s="6">
        <v>0</v>
      </c>
      <c r="H100" s="6">
        <v>0</v>
      </c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</row>
    <row r="101" spans="1:25" ht="15" customHeight="1" thickBot="1" x14ac:dyDescent="0.35">
      <c r="A101" s="5" t="s">
        <v>13</v>
      </c>
      <c r="B101" s="13" t="s">
        <v>113</v>
      </c>
      <c r="C101" s="6">
        <v>0</v>
      </c>
      <c r="D101" s="6">
        <v>0</v>
      </c>
      <c r="E101" s="6">
        <v>0</v>
      </c>
      <c r="F101" s="6">
        <v>0</v>
      </c>
      <c r="G101" s="6">
        <v>0</v>
      </c>
      <c r="H101" s="6">
        <v>0</v>
      </c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</row>
    <row r="102" spans="1:25" ht="15" customHeight="1" thickBot="1" x14ac:dyDescent="0.35">
      <c r="A102" s="5" t="s">
        <v>13</v>
      </c>
      <c r="B102" s="13" t="s">
        <v>114</v>
      </c>
      <c r="C102" s="6">
        <v>0</v>
      </c>
      <c r="D102" s="6">
        <v>0</v>
      </c>
      <c r="E102" s="6">
        <v>0</v>
      </c>
      <c r="F102" s="6">
        <v>0</v>
      </c>
      <c r="G102" s="6">
        <v>0</v>
      </c>
      <c r="H102" s="6">
        <v>0</v>
      </c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</row>
    <row r="103" spans="1:25" ht="15" customHeight="1" thickBot="1" x14ac:dyDescent="0.35">
      <c r="A103" s="5" t="s">
        <v>13</v>
      </c>
      <c r="B103" s="13" t="s">
        <v>115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</row>
    <row r="104" spans="1:25" ht="15" customHeight="1" thickBot="1" x14ac:dyDescent="0.35">
      <c r="A104" s="5" t="s">
        <v>13</v>
      </c>
      <c r="B104" s="13" t="s">
        <v>116</v>
      </c>
      <c r="C104" s="6">
        <v>14.3</v>
      </c>
      <c r="D104" s="6">
        <v>0</v>
      </c>
      <c r="E104" s="6">
        <v>0</v>
      </c>
      <c r="F104" s="6">
        <v>7.7</v>
      </c>
      <c r="G104" s="6">
        <v>0</v>
      </c>
      <c r="H104" s="6">
        <v>0</v>
      </c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</row>
    <row r="105" spans="1:25" ht="15" customHeight="1" thickBot="1" x14ac:dyDescent="0.35">
      <c r="A105" s="5" t="s">
        <v>13</v>
      </c>
      <c r="B105" s="13" t="s">
        <v>117</v>
      </c>
      <c r="C105" s="6">
        <v>0</v>
      </c>
      <c r="D105" s="6">
        <v>0</v>
      </c>
      <c r="E105" s="6">
        <v>0</v>
      </c>
      <c r="F105" s="6">
        <v>2.5</v>
      </c>
      <c r="G105" s="6">
        <v>0</v>
      </c>
      <c r="H105" s="6">
        <v>0</v>
      </c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</row>
    <row r="106" spans="1:25" ht="15" customHeight="1" thickBot="1" x14ac:dyDescent="0.35">
      <c r="A106" s="5" t="s">
        <v>13</v>
      </c>
      <c r="B106" s="13" t="s">
        <v>118</v>
      </c>
      <c r="C106" s="6">
        <v>0</v>
      </c>
      <c r="D106" s="6">
        <v>0</v>
      </c>
      <c r="E106" s="6">
        <v>0</v>
      </c>
      <c r="F106" s="6">
        <v>0</v>
      </c>
      <c r="G106" s="6">
        <v>0</v>
      </c>
      <c r="H106" s="6">
        <v>0</v>
      </c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</row>
    <row r="107" spans="1:25" ht="15" customHeight="1" thickBot="1" x14ac:dyDescent="0.35">
      <c r="A107" s="5" t="s">
        <v>13</v>
      </c>
      <c r="B107" s="13" t="s">
        <v>119</v>
      </c>
      <c r="C107" s="6">
        <v>0</v>
      </c>
      <c r="D107" s="6">
        <v>0</v>
      </c>
      <c r="E107" s="6">
        <v>0</v>
      </c>
      <c r="F107" s="6">
        <v>0</v>
      </c>
      <c r="G107" s="6">
        <v>1.5</v>
      </c>
      <c r="H107" s="6">
        <v>1.2</v>
      </c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</row>
    <row r="108" spans="1:25" ht="15" customHeight="1" thickBot="1" x14ac:dyDescent="0.35">
      <c r="A108" s="5" t="s">
        <v>13</v>
      </c>
      <c r="B108" s="13" t="s">
        <v>120</v>
      </c>
      <c r="C108" s="6">
        <v>0</v>
      </c>
      <c r="D108" s="6">
        <v>0</v>
      </c>
      <c r="E108" s="6">
        <v>0</v>
      </c>
      <c r="F108" s="6">
        <v>0</v>
      </c>
      <c r="G108" s="6">
        <v>0</v>
      </c>
      <c r="H108" s="6">
        <v>0</v>
      </c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</row>
    <row r="109" spans="1:25" ht="15" customHeight="1" thickBot="1" x14ac:dyDescent="0.35">
      <c r="A109" s="5" t="s">
        <v>13</v>
      </c>
      <c r="B109" s="13" t="s">
        <v>121</v>
      </c>
      <c r="C109" s="6">
        <v>14.3</v>
      </c>
      <c r="D109" s="6">
        <v>0</v>
      </c>
      <c r="E109" s="6">
        <v>0</v>
      </c>
      <c r="F109" s="6">
        <v>0</v>
      </c>
      <c r="G109" s="6">
        <v>0</v>
      </c>
      <c r="H109" s="6">
        <v>0</v>
      </c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</row>
    <row r="110" spans="1:25" ht="15" customHeight="1" thickBot="1" x14ac:dyDescent="0.35">
      <c r="A110" s="5" t="s">
        <v>13</v>
      </c>
      <c r="B110" s="13" t="s">
        <v>122</v>
      </c>
      <c r="C110" s="6">
        <v>8.3000000000000007</v>
      </c>
      <c r="D110" s="6">
        <v>0</v>
      </c>
      <c r="E110" s="6">
        <v>0</v>
      </c>
      <c r="F110" s="6">
        <v>0</v>
      </c>
      <c r="G110" s="6">
        <v>0</v>
      </c>
      <c r="H110" s="6">
        <v>0</v>
      </c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</row>
    <row r="111" spans="1:25" ht="15" customHeight="1" thickBot="1" x14ac:dyDescent="0.35">
      <c r="A111" s="5" t="s">
        <v>13</v>
      </c>
      <c r="B111" s="13" t="s">
        <v>123</v>
      </c>
      <c r="C111" s="6">
        <v>10</v>
      </c>
      <c r="D111" s="6">
        <v>0</v>
      </c>
      <c r="E111" s="6">
        <v>0</v>
      </c>
      <c r="F111" s="6">
        <v>0</v>
      </c>
      <c r="G111" s="6">
        <v>0</v>
      </c>
      <c r="H111" s="6">
        <v>1.1000000000000001</v>
      </c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</row>
    <row r="112" spans="1:25" ht="15" customHeight="1" thickBot="1" x14ac:dyDescent="0.35">
      <c r="A112" s="5" t="s">
        <v>13</v>
      </c>
      <c r="B112" s="13" t="s">
        <v>124</v>
      </c>
      <c r="C112" s="6">
        <v>18.8</v>
      </c>
      <c r="D112" s="6">
        <v>0</v>
      </c>
      <c r="E112" s="6">
        <v>50</v>
      </c>
      <c r="F112" s="6">
        <v>0</v>
      </c>
      <c r="G112" s="6">
        <v>0</v>
      </c>
      <c r="H112" s="6">
        <v>0</v>
      </c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</row>
    <row r="113" spans="1:25" ht="15" customHeight="1" thickBot="1" x14ac:dyDescent="0.35">
      <c r="A113" s="5" t="s">
        <v>13</v>
      </c>
      <c r="B113" s="13" t="s">
        <v>125</v>
      </c>
      <c r="C113" s="6">
        <v>20</v>
      </c>
      <c r="D113" s="6">
        <v>0</v>
      </c>
      <c r="E113" s="6">
        <v>0</v>
      </c>
      <c r="F113" s="6">
        <v>0</v>
      </c>
      <c r="G113" s="6">
        <v>0</v>
      </c>
      <c r="H113" s="6">
        <v>0</v>
      </c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</row>
    <row r="114" spans="1:25" ht="15" customHeight="1" thickBot="1" x14ac:dyDescent="0.35">
      <c r="A114" s="5" t="s">
        <v>13</v>
      </c>
      <c r="B114" s="13" t="s">
        <v>126</v>
      </c>
      <c r="C114" s="6">
        <v>15.4</v>
      </c>
      <c r="D114" s="6">
        <v>0</v>
      </c>
      <c r="E114" s="6">
        <v>0</v>
      </c>
      <c r="F114" s="6">
        <v>2.4</v>
      </c>
      <c r="G114" s="6">
        <v>0</v>
      </c>
      <c r="H114" s="6">
        <v>1</v>
      </c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</row>
    <row r="115" spans="1:25" ht="15" customHeight="1" thickBot="1" x14ac:dyDescent="0.35">
      <c r="A115" s="5" t="s">
        <v>13</v>
      </c>
      <c r="B115" s="13" t="s">
        <v>127</v>
      </c>
      <c r="C115" s="6">
        <v>4.5</v>
      </c>
      <c r="D115" s="6">
        <v>0</v>
      </c>
      <c r="E115" s="6">
        <v>0</v>
      </c>
      <c r="F115" s="6">
        <v>0</v>
      </c>
      <c r="G115" s="6">
        <v>1</v>
      </c>
      <c r="H115" s="6">
        <v>0.9</v>
      </c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</row>
    <row r="116" spans="1:25" ht="15" customHeight="1" thickBot="1" x14ac:dyDescent="0.35">
      <c r="A116" s="5" t="s">
        <v>13</v>
      </c>
      <c r="B116" s="13" t="s">
        <v>128</v>
      </c>
      <c r="C116" s="6">
        <v>12.9</v>
      </c>
      <c r="D116" s="6">
        <v>0</v>
      </c>
      <c r="E116" s="6">
        <v>0</v>
      </c>
      <c r="F116" s="6">
        <v>0</v>
      </c>
      <c r="G116" s="6">
        <v>0.9</v>
      </c>
      <c r="H116" s="6">
        <v>2.8</v>
      </c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</row>
    <row r="117" spans="1:25" ht="15" customHeight="1" thickBot="1" x14ac:dyDescent="0.35">
      <c r="A117" s="5" t="s">
        <v>13</v>
      </c>
      <c r="B117" s="13" t="s">
        <v>129</v>
      </c>
      <c r="C117" s="6">
        <v>18.5</v>
      </c>
      <c r="D117" s="6">
        <v>0</v>
      </c>
      <c r="E117" s="6">
        <v>14.3</v>
      </c>
      <c r="F117" s="6">
        <v>1.5</v>
      </c>
      <c r="G117" s="6">
        <v>0</v>
      </c>
      <c r="H117" s="6">
        <v>2.9</v>
      </c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</row>
    <row r="118" spans="1:25" ht="15" customHeight="1" thickBot="1" x14ac:dyDescent="0.35">
      <c r="A118" s="5" t="s">
        <v>13</v>
      </c>
      <c r="B118" s="13" t="s">
        <v>130</v>
      </c>
      <c r="C118" s="6">
        <v>52.9</v>
      </c>
      <c r="D118" s="6">
        <v>0</v>
      </c>
      <c r="E118" s="6">
        <v>0</v>
      </c>
      <c r="F118" s="6">
        <v>0</v>
      </c>
      <c r="G118" s="6">
        <v>0.9</v>
      </c>
      <c r="H118" s="6">
        <v>2</v>
      </c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</row>
    <row r="119" spans="1:25" ht="15" thickBot="1" x14ac:dyDescent="0.35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</row>
    <row r="120" spans="1:25" ht="15" thickBot="1" x14ac:dyDescent="0.35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</row>
    <row r="121" spans="1:25" ht="15" thickBot="1" x14ac:dyDescent="0.35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</row>
    <row r="122" spans="1:25" ht="15" thickBot="1" x14ac:dyDescent="0.35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</row>
    <row r="123" spans="1:25" ht="15" thickBot="1" x14ac:dyDescent="0.35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</row>
    <row r="124" spans="1:25" ht="15" thickBot="1" x14ac:dyDescent="0.35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</row>
    <row r="125" spans="1:25" ht="15" thickBot="1" x14ac:dyDescent="0.35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</row>
    <row r="126" spans="1:25" ht="15" thickBot="1" x14ac:dyDescent="0.35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</row>
    <row r="127" spans="1:25" ht="15" thickBot="1" x14ac:dyDescent="0.35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</row>
    <row r="128" spans="1:25" ht="15" thickBot="1" x14ac:dyDescent="0.35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</row>
    <row r="129" spans="1:25" ht="15" thickBot="1" x14ac:dyDescent="0.35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</row>
    <row r="130" spans="1:25" ht="15" thickBot="1" x14ac:dyDescent="0.35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</row>
    <row r="131" spans="1:25" ht="15" thickBot="1" x14ac:dyDescent="0.35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</row>
    <row r="132" spans="1:25" ht="15" thickBot="1" x14ac:dyDescent="0.35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</row>
    <row r="133" spans="1:25" ht="15" thickBot="1" x14ac:dyDescent="0.35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</row>
    <row r="134" spans="1:25" ht="15" thickBot="1" x14ac:dyDescent="0.35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</row>
    <row r="135" spans="1:25" ht="15" thickBot="1" x14ac:dyDescent="0.35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</row>
    <row r="136" spans="1:25" ht="15" thickBot="1" x14ac:dyDescent="0.35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</row>
    <row r="137" spans="1:25" ht="15" thickBot="1" x14ac:dyDescent="0.35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</row>
    <row r="138" spans="1:25" ht="15" thickBot="1" x14ac:dyDescent="0.35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</row>
    <row r="139" spans="1:25" ht="15" thickBot="1" x14ac:dyDescent="0.35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</row>
    <row r="140" spans="1:25" ht="15" thickBot="1" x14ac:dyDescent="0.35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</row>
    <row r="141" spans="1:25" ht="15" thickBot="1" x14ac:dyDescent="0.35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</row>
    <row r="142" spans="1:25" ht="15" thickBot="1" x14ac:dyDescent="0.35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</row>
    <row r="143" spans="1:25" ht="15" thickBot="1" x14ac:dyDescent="0.35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</row>
    <row r="144" spans="1:25" ht="15" thickBot="1" x14ac:dyDescent="0.35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</row>
    <row r="145" spans="1:25" ht="15" thickBot="1" x14ac:dyDescent="0.35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</row>
    <row r="146" spans="1:25" ht="15" thickBot="1" x14ac:dyDescent="0.35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</row>
    <row r="147" spans="1:25" ht="15" thickBot="1" x14ac:dyDescent="0.35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</row>
    <row r="148" spans="1:25" ht="15" thickBot="1" x14ac:dyDescent="0.35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</row>
    <row r="149" spans="1:25" ht="15" thickBot="1" x14ac:dyDescent="0.35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</row>
    <row r="150" spans="1:25" ht="15" thickBot="1" x14ac:dyDescent="0.35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</row>
    <row r="151" spans="1:25" ht="15" thickBot="1" x14ac:dyDescent="0.35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</row>
    <row r="152" spans="1:25" ht="15" thickBot="1" x14ac:dyDescent="0.35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</row>
    <row r="153" spans="1:25" ht="15" thickBot="1" x14ac:dyDescent="0.35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</row>
    <row r="154" spans="1:25" ht="15" thickBot="1" x14ac:dyDescent="0.35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</row>
    <row r="155" spans="1:25" ht="15" thickBot="1" x14ac:dyDescent="0.35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</row>
    <row r="156" spans="1:25" ht="15" thickBot="1" x14ac:dyDescent="0.35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</row>
    <row r="157" spans="1:25" ht="15" thickBot="1" x14ac:dyDescent="0.35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</row>
    <row r="158" spans="1:25" ht="15" thickBot="1" x14ac:dyDescent="0.35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</row>
    <row r="159" spans="1:25" ht="15" thickBot="1" x14ac:dyDescent="0.35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</row>
    <row r="160" spans="1:25" ht="15" thickBot="1" x14ac:dyDescent="0.35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</row>
    <row r="161" spans="1:25" ht="15" thickBot="1" x14ac:dyDescent="0.35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</row>
    <row r="162" spans="1:25" ht="15" thickBot="1" x14ac:dyDescent="0.35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</row>
    <row r="163" spans="1:25" ht="15" thickBot="1" x14ac:dyDescent="0.35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</row>
    <row r="164" spans="1:25" ht="15" thickBot="1" x14ac:dyDescent="0.35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</row>
    <row r="165" spans="1:25" ht="15" thickBot="1" x14ac:dyDescent="0.35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</row>
    <row r="166" spans="1:25" ht="15" thickBot="1" x14ac:dyDescent="0.35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</row>
    <row r="167" spans="1:25" ht="15" thickBot="1" x14ac:dyDescent="0.35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</row>
    <row r="168" spans="1:25" ht="15" thickBot="1" x14ac:dyDescent="0.35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</row>
    <row r="169" spans="1:25" ht="15" thickBot="1" x14ac:dyDescent="0.35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</row>
    <row r="170" spans="1:25" ht="15" thickBot="1" x14ac:dyDescent="0.35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</row>
    <row r="171" spans="1:25" ht="15" thickBot="1" x14ac:dyDescent="0.35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</row>
    <row r="172" spans="1:25" ht="15" thickBot="1" x14ac:dyDescent="0.35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</row>
    <row r="173" spans="1:25" ht="15" thickBot="1" x14ac:dyDescent="0.35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</row>
    <row r="174" spans="1:25" ht="15" thickBot="1" x14ac:dyDescent="0.35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</row>
    <row r="175" spans="1:25" ht="15" thickBot="1" x14ac:dyDescent="0.35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</row>
    <row r="176" spans="1:25" ht="15" thickBot="1" x14ac:dyDescent="0.35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</row>
    <row r="177" spans="1:25" ht="15" thickBot="1" x14ac:dyDescent="0.35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</row>
    <row r="178" spans="1:25" ht="15" thickBot="1" x14ac:dyDescent="0.35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</row>
    <row r="179" spans="1:25" ht="15" thickBot="1" x14ac:dyDescent="0.35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</row>
    <row r="180" spans="1:25" ht="15" thickBot="1" x14ac:dyDescent="0.35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</row>
    <row r="181" spans="1:25" ht="15" thickBot="1" x14ac:dyDescent="0.35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</row>
    <row r="182" spans="1:25" ht="15" thickBot="1" x14ac:dyDescent="0.35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</row>
    <row r="183" spans="1:25" ht="15" thickBot="1" x14ac:dyDescent="0.35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</row>
    <row r="184" spans="1:25" ht="15" thickBot="1" x14ac:dyDescent="0.35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</row>
    <row r="185" spans="1:25" ht="15" thickBot="1" x14ac:dyDescent="0.35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</row>
    <row r="186" spans="1:25" ht="15" thickBot="1" x14ac:dyDescent="0.35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</row>
    <row r="187" spans="1:25" ht="15" thickBot="1" x14ac:dyDescent="0.35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</row>
    <row r="188" spans="1:25" ht="15" thickBot="1" x14ac:dyDescent="0.35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</row>
    <row r="189" spans="1:25" ht="15" thickBot="1" x14ac:dyDescent="0.35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</row>
    <row r="190" spans="1:25" ht="15" thickBot="1" x14ac:dyDescent="0.35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</row>
    <row r="191" spans="1:25" ht="15" thickBot="1" x14ac:dyDescent="0.35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</row>
    <row r="192" spans="1:25" ht="15" thickBot="1" x14ac:dyDescent="0.35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</row>
    <row r="193" spans="1:25" ht="15" thickBot="1" x14ac:dyDescent="0.35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</row>
    <row r="194" spans="1:25" ht="15" thickBot="1" x14ac:dyDescent="0.35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</row>
    <row r="195" spans="1:25" ht="15" thickBot="1" x14ac:dyDescent="0.35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</row>
    <row r="196" spans="1:25" ht="15" thickBot="1" x14ac:dyDescent="0.35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</row>
    <row r="197" spans="1:25" ht="15" thickBot="1" x14ac:dyDescent="0.35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</row>
    <row r="198" spans="1:25" ht="15" thickBot="1" x14ac:dyDescent="0.35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</row>
    <row r="199" spans="1:25" ht="15" thickBot="1" x14ac:dyDescent="0.35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</row>
    <row r="200" spans="1:25" ht="15" thickBot="1" x14ac:dyDescent="0.35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</row>
    <row r="201" spans="1:25" ht="15" thickBot="1" x14ac:dyDescent="0.35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</row>
    <row r="202" spans="1:25" ht="15" thickBot="1" x14ac:dyDescent="0.35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</row>
    <row r="203" spans="1:25" ht="15" thickBot="1" x14ac:dyDescent="0.35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</row>
    <row r="204" spans="1:25" ht="15" thickBot="1" x14ac:dyDescent="0.35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</row>
    <row r="205" spans="1:25" ht="15" thickBot="1" x14ac:dyDescent="0.35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</row>
    <row r="206" spans="1:25" ht="15" thickBot="1" x14ac:dyDescent="0.35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</row>
    <row r="207" spans="1:25" ht="15" thickBot="1" x14ac:dyDescent="0.35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</row>
    <row r="208" spans="1:25" ht="15" thickBot="1" x14ac:dyDescent="0.35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</row>
    <row r="209" spans="1:25" ht="15" thickBot="1" x14ac:dyDescent="0.35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</row>
    <row r="210" spans="1:25" ht="15" thickBot="1" x14ac:dyDescent="0.35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</row>
    <row r="211" spans="1:25" ht="15" thickBot="1" x14ac:dyDescent="0.35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</row>
    <row r="212" spans="1:25" ht="15" thickBot="1" x14ac:dyDescent="0.35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</row>
    <row r="213" spans="1:25" ht="15" thickBot="1" x14ac:dyDescent="0.35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</row>
    <row r="214" spans="1:25" ht="15" thickBot="1" x14ac:dyDescent="0.35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</row>
    <row r="215" spans="1:25" ht="15" thickBot="1" x14ac:dyDescent="0.35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</row>
    <row r="216" spans="1:25" ht="15" thickBot="1" x14ac:dyDescent="0.35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</row>
    <row r="217" spans="1:25" ht="15" thickBot="1" x14ac:dyDescent="0.35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</row>
    <row r="218" spans="1:25" ht="15" thickBot="1" x14ac:dyDescent="0.35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</row>
    <row r="219" spans="1:25" ht="15" thickBot="1" x14ac:dyDescent="0.35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</row>
    <row r="220" spans="1:25" ht="15" thickBot="1" x14ac:dyDescent="0.35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</row>
    <row r="221" spans="1:25" ht="15" thickBot="1" x14ac:dyDescent="0.35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</row>
    <row r="222" spans="1:25" ht="15" thickBot="1" x14ac:dyDescent="0.35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</row>
    <row r="223" spans="1:25" ht="15" thickBot="1" x14ac:dyDescent="0.35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</row>
    <row r="224" spans="1:25" ht="15" thickBot="1" x14ac:dyDescent="0.35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</row>
    <row r="225" spans="1:25" ht="15" thickBot="1" x14ac:dyDescent="0.35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</row>
    <row r="226" spans="1:25" ht="15" thickBot="1" x14ac:dyDescent="0.35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</row>
    <row r="227" spans="1:25" ht="15" thickBot="1" x14ac:dyDescent="0.35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</row>
    <row r="228" spans="1:25" ht="15" thickBot="1" x14ac:dyDescent="0.35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</row>
    <row r="229" spans="1:25" ht="15" thickBot="1" x14ac:dyDescent="0.35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</row>
    <row r="230" spans="1:25" ht="15" thickBot="1" x14ac:dyDescent="0.35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</row>
    <row r="231" spans="1:25" ht="15" thickBot="1" x14ac:dyDescent="0.35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</row>
    <row r="232" spans="1:25" ht="15" thickBot="1" x14ac:dyDescent="0.35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</row>
    <row r="233" spans="1:25" ht="15" thickBot="1" x14ac:dyDescent="0.35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</row>
    <row r="234" spans="1:25" ht="15" thickBot="1" x14ac:dyDescent="0.35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</row>
    <row r="235" spans="1:25" ht="15" thickBot="1" x14ac:dyDescent="0.35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</row>
    <row r="236" spans="1:25" ht="15" thickBot="1" x14ac:dyDescent="0.35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</row>
    <row r="237" spans="1:25" ht="15" thickBot="1" x14ac:dyDescent="0.35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</row>
    <row r="238" spans="1:25" ht="15" thickBot="1" x14ac:dyDescent="0.35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</row>
    <row r="239" spans="1:25" ht="15" thickBot="1" x14ac:dyDescent="0.35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</row>
    <row r="240" spans="1:25" ht="15" thickBot="1" x14ac:dyDescent="0.35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</row>
    <row r="241" spans="1:25" ht="15" thickBot="1" x14ac:dyDescent="0.35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</row>
    <row r="242" spans="1:25" ht="15" thickBot="1" x14ac:dyDescent="0.35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</row>
    <row r="243" spans="1:25" ht="15" thickBot="1" x14ac:dyDescent="0.35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</row>
    <row r="244" spans="1:25" ht="15" thickBot="1" x14ac:dyDescent="0.35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</row>
    <row r="245" spans="1:25" ht="15" thickBot="1" x14ac:dyDescent="0.35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</row>
    <row r="246" spans="1:25" ht="15" thickBot="1" x14ac:dyDescent="0.35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</row>
    <row r="247" spans="1:25" ht="15" thickBot="1" x14ac:dyDescent="0.35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</row>
    <row r="248" spans="1:25" ht="15" thickBot="1" x14ac:dyDescent="0.35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</row>
    <row r="249" spans="1:25" ht="15" thickBot="1" x14ac:dyDescent="0.35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</row>
    <row r="250" spans="1:25" ht="15" thickBot="1" x14ac:dyDescent="0.35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</row>
    <row r="251" spans="1:25" ht="15" thickBot="1" x14ac:dyDescent="0.35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</row>
    <row r="252" spans="1:25" ht="15" thickBot="1" x14ac:dyDescent="0.35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</row>
    <row r="253" spans="1:25" ht="15" thickBot="1" x14ac:dyDescent="0.35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</row>
    <row r="254" spans="1:25" ht="15" thickBot="1" x14ac:dyDescent="0.35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</row>
    <row r="255" spans="1:25" ht="15" thickBot="1" x14ac:dyDescent="0.35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</row>
    <row r="256" spans="1:25" ht="15" thickBot="1" x14ac:dyDescent="0.35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</row>
    <row r="257" spans="1:25" ht="15" thickBot="1" x14ac:dyDescent="0.35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</row>
    <row r="258" spans="1:25" ht="15" thickBot="1" x14ac:dyDescent="0.35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</row>
    <row r="259" spans="1:25" ht="15" thickBot="1" x14ac:dyDescent="0.35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</row>
    <row r="260" spans="1:25" ht="15" thickBot="1" x14ac:dyDescent="0.35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</row>
    <row r="261" spans="1:25" ht="15" thickBot="1" x14ac:dyDescent="0.35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</row>
    <row r="262" spans="1:25" ht="15" thickBot="1" x14ac:dyDescent="0.35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</row>
    <row r="263" spans="1:25" ht="15" thickBot="1" x14ac:dyDescent="0.35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</row>
    <row r="264" spans="1:25" ht="15" thickBot="1" x14ac:dyDescent="0.35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</row>
    <row r="265" spans="1:25" ht="15" thickBot="1" x14ac:dyDescent="0.35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</row>
    <row r="266" spans="1:25" ht="15" thickBot="1" x14ac:dyDescent="0.35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</row>
    <row r="267" spans="1:25" ht="15" thickBot="1" x14ac:dyDescent="0.35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</row>
    <row r="268" spans="1:25" ht="15" thickBot="1" x14ac:dyDescent="0.35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</row>
    <row r="269" spans="1:25" ht="15" thickBot="1" x14ac:dyDescent="0.35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</row>
    <row r="270" spans="1:25" ht="15" thickBot="1" x14ac:dyDescent="0.35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</row>
    <row r="271" spans="1:25" ht="15" thickBot="1" x14ac:dyDescent="0.35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</row>
    <row r="272" spans="1:25" ht="15" thickBot="1" x14ac:dyDescent="0.35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</row>
    <row r="273" spans="1:25" ht="15" thickBot="1" x14ac:dyDescent="0.35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</row>
    <row r="274" spans="1:25" ht="15" thickBot="1" x14ac:dyDescent="0.35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</row>
    <row r="275" spans="1:25" ht="15" thickBot="1" x14ac:dyDescent="0.35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</row>
    <row r="276" spans="1:25" ht="15" thickBot="1" x14ac:dyDescent="0.35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</row>
    <row r="277" spans="1:25" ht="15" thickBot="1" x14ac:dyDescent="0.35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</row>
    <row r="278" spans="1:25" ht="15" thickBot="1" x14ac:dyDescent="0.35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</row>
    <row r="279" spans="1:25" ht="15" thickBot="1" x14ac:dyDescent="0.35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</row>
    <row r="280" spans="1:25" ht="15" thickBot="1" x14ac:dyDescent="0.35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</row>
    <row r="281" spans="1:25" ht="15" thickBot="1" x14ac:dyDescent="0.35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</row>
    <row r="282" spans="1:25" ht="15" thickBot="1" x14ac:dyDescent="0.35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</row>
    <row r="283" spans="1:25" ht="15" thickBot="1" x14ac:dyDescent="0.35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</row>
    <row r="284" spans="1:25" ht="15" thickBot="1" x14ac:dyDescent="0.35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</row>
    <row r="285" spans="1:25" ht="15" thickBot="1" x14ac:dyDescent="0.35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</row>
    <row r="286" spans="1:25" ht="15" thickBot="1" x14ac:dyDescent="0.35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</row>
    <row r="287" spans="1:25" ht="15" thickBot="1" x14ac:dyDescent="0.35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</row>
    <row r="288" spans="1:25" ht="15" thickBot="1" x14ac:dyDescent="0.35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</row>
    <row r="289" spans="1:25" ht="15" thickBot="1" x14ac:dyDescent="0.35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</row>
    <row r="290" spans="1:25" ht="15" thickBot="1" x14ac:dyDescent="0.35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</row>
    <row r="291" spans="1:25" ht="15" thickBot="1" x14ac:dyDescent="0.35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</row>
    <row r="292" spans="1:25" ht="15" thickBot="1" x14ac:dyDescent="0.35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</row>
    <row r="293" spans="1:25" ht="15" thickBot="1" x14ac:dyDescent="0.35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</row>
    <row r="294" spans="1:25" ht="15" thickBot="1" x14ac:dyDescent="0.35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</row>
    <row r="295" spans="1:25" ht="15" thickBot="1" x14ac:dyDescent="0.35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</row>
    <row r="296" spans="1:25" ht="15" thickBot="1" x14ac:dyDescent="0.35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</row>
    <row r="297" spans="1:25" ht="15" thickBot="1" x14ac:dyDescent="0.35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</row>
    <row r="298" spans="1:25" ht="15" thickBot="1" x14ac:dyDescent="0.35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</row>
    <row r="299" spans="1:25" ht="15" thickBot="1" x14ac:dyDescent="0.35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</row>
    <row r="300" spans="1:25" ht="15" thickBot="1" x14ac:dyDescent="0.35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</row>
    <row r="301" spans="1:25" ht="15" thickBot="1" x14ac:dyDescent="0.35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</row>
    <row r="302" spans="1:25" ht="15" thickBot="1" x14ac:dyDescent="0.35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</row>
    <row r="303" spans="1:25" ht="15" thickBot="1" x14ac:dyDescent="0.35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</row>
    <row r="304" spans="1:25" ht="15" thickBot="1" x14ac:dyDescent="0.35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</row>
    <row r="305" spans="1:25" ht="15" thickBot="1" x14ac:dyDescent="0.35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</row>
    <row r="306" spans="1:25" ht="15" thickBot="1" x14ac:dyDescent="0.35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</row>
    <row r="307" spans="1:25" ht="15" thickBot="1" x14ac:dyDescent="0.35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</row>
    <row r="308" spans="1:25" ht="15" thickBot="1" x14ac:dyDescent="0.35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</row>
    <row r="309" spans="1:25" ht="15" thickBot="1" x14ac:dyDescent="0.35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</row>
    <row r="310" spans="1:25" ht="15" thickBot="1" x14ac:dyDescent="0.35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</row>
    <row r="311" spans="1:25" ht="15" thickBot="1" x14ac:dyDescent="0.35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</row>
    <row r="312" spans="1:25" ht="15" thickBot="1" x14ac:dyDescent="0.35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</row>
    <row r="313" spans="1:25" ht="15" thickBot="1" x14ac:dyDescent="0.35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</row>
    <row r="314" spans="1:25" ht="15" thickBot="1" x14ac:dyDescent="0.35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</row>
    <row r="315" spans="1:25" ht="15" thickBot="1" x14ac:dyDescent="0.35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</row>
    <row r="316" spans="1:25" ht="15" thickBot="1" x14ac:dyDescent="0.35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</row>
    <row r="317" spans="1:25" ht="15" thickBot="1" x14ac:dyDescent="0.35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</row>
    <row r="318" spans="1:25" ht="15" thickBot="1" x14ac:dyDescent="0.35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</row>
    <row r="319" spans="1:25" ht="15" thickBot="1" x14ac:dyDescent="0.35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</row>
    <row r="320" spans="1:25" ht="15" thickBot="1" x14ac:dyDescent="0.35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</row>
    <row r="321" spans="1:25" ht="15" thickBot="1" x14ac:dyDescent="0.35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</row>
    <row r="322" spans="1:25" ht="15" thickBot="1" x14ac:dyDescent="0.35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</row>
    <row r="323" spans="1:25" ht="15" thickBot="1" x14ac:dyDescent="0.35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</row>
    <row r="324" spans="1:25" ht="15" thickBot="1" x14ac:dyDescent="0.35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</row>
    <row r="325" spans="1:25" ht="15" thickBot="1" x14ac:dyDescent="0.35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</row>
    <row r="326" spans="1:25" ht="15" thickBot="1" x14ac:dyDescent="0.35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</row>
    <row r="327" spans="1:25" ht="15" thickBot="1" x14ac:dyDescent="0.35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</row>
    <row r="328" spans="1:25" ht="15" thickBot="1" x14ac:dyDescent="0.35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</row>
    <row r="329" spans="1:25" ht="15" thickBot="1" x14ac:dyDescent="0.35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</row>
    <row r="330" spans="1:25" ht="15" thickBot="1" x14ac:dyDescent="0.35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</row>
    <row r="331" spans="1:25" ht="15" thickBot="1" x14ac:dyDescent="0.35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</row>
    <row r="332" spans="1:25" ht="15" thickBot="1" x14ac:dyDescent="0.35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</row>
    <row r="333" spans="1:25" ht="15" thickBot="1" x14ac:dyDescent="0.35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</row>
    <row r="334" spans="1:25" ht="15" thickBot="1" x14ac:dyDescent="0.35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</row>
    <row r="335" spans="1:25" ht="15" thickBot="1" x14ac:dyDescent="0.35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</row>
    <row r="336" spans="1:25" ht="15" thickBot="1" x14ac:dyDescent="0.35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</row>
    <row r="337" spans="1:25" ht="15" thickBot="1" x14ac:dyDescent="0.35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</row>
    <row r="338" spans="1:25" ht="15" thickBot="1" x14ac:dyDescent="0.35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</row>
    <row r="339" spans="1:25" ht="15" thickBot="1" x14ac:dyDescent="0.35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</row>
    <row r="340" spans="1:25" ht="15" thickBot="1" x14ac:dyDescent="0.35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</row>
    <row r="341" spans="1:25" ht="15" thickBot="1" x14ac:dyDescent="0.35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</row>
    <row r="342" spans="1:25" ht="15" thickBot="1" x14ac:dyDescent="0.35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</row>
    <row r="343" spans="1:25" ht="15" thickBot="1" x14ac:dyDescent="0.35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</row>
    <row r="344" spans="1:25" ht="15" thickBot="1" x14ac:dyDescent="0.35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</row>
    <row r="345" spans="1:25" ht="15" thickBot="1" x14ac:dyDescent="0.35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</row>
    <row r="346" spans="1:25" ht="15" thickBot="1" x14ac:dyDescent="0.35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</row>
    <row r="347" spans="1:25" ht="15" thickBot="1" x14ac:dyDescent="0.35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</row>
    <row r="348" spans="1:25" ht="15" thickBot="1" x14ac:dyDescent="0.35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</row>
    <row r="349" spans="1:25" ht="15" thickBot="1" x14ac:dyDescent="0.35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</row>
    <row r="350" spans="1:25" ht="15" thickBot="1" x14ac:dyDescent="0.35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</row>
    <row r="351" spans="1:25" ht="15" thickBot="1" x14ac:dyDescent="0.35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</row>
    <row r="352" spans="1:25" ht="15" thickBot="1" x14ac:dyDescent="0.35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</row>
    <row r="353" spans="1:25" ht="15" thickBot="1" x14ac:dyDescent="0.35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</row>
    <row r="354" spans="1:25" ht="15" thickBot="1" x14ac:dyDescent="0.35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</row>
    <row r="355" spans="1:25" ht="15" thickBot="1" x14ac:dyDescent="0.35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</row>
    <row r="356" spans="1:25" ht="15" thickBot="1" x14ac:dyDescent="0.35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</row>
    <row r="357" spans="1:25" ht="15" thickBot="1" x14ac:dyDescent="0.35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</row>
    <row r="358" spans="1:25" ht="15" thickBot="1" x14ac:dyDescent="0.35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</row>
    <row r="359" spans="1:25" ht="15" thickBot="1" x14ac:dyDescent="0.35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</row>
    <row r="360" spans="1:25" ht="15" thickBot="1" x14ac:dyDescent="0.35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</row>
    <row r="361" spans="1:25" ht="15" thickBot="1" x14ac:dyDescent="0.35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</row>
    <row r="362" spans="1:25" ht="15" thickBot="1" x14ac:dyDescent="0.35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</row>
    <row r="363" spans="1:25" ht="15" thickBot="1" x14ac:dyDescent="0.35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</row>
    <row r="364" spans="1:25" ht="15" thickBot="1" x14ac:dyDescent="0.35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</row>
    <row r="365" spans="1:25" ht="15" thickBot="1" x14ac:dyDescent="0.35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</row>
    <row r="366" spans="1:25" ht="15" thickBot="1" x14ac:dyDescent="0.35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</row>
    <row r="367" spans="1:25" ht="15" thickBot="1" x14ac:dyDescent="0.35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</row>
    <row r="368" spans="1:25" ht="15" thickBot="1" x14ac:dyDescent="0.35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</row>
    <row r="369" spans="1:25" ht="15" thickBot="1" x14ac:dyDescent="0.35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</row>
    <row r="370" spans="1:25" ht="15" thickBot="1" x14ac:dyDescent="0.35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</row>
    <row r="371" spans="1:25" ht="15" thickBot="1" x14ac:dyDescent="0.35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</row>
    <row r="372" spans="1:25" ht="15" thickBot="1" x14ac:dyDescent="0.35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</row>
    <row r="373" spans="1:25" ht="15" thickBot="1" x14ac:dyDescent="0.35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</row>
    <row r="374" spans="1:25" ht="15" thickBot="1" x14ac:dyDescent="0.35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</row>
    <row r="375" spans="1:25" ht="15" thickBot="1" x14ac:dyDescent="0.35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</row>
    <row r="376" spans="1:25" ht="15" thickBot="1" x14ac:dyDescent="0.35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</row>
    <row r="377" spans="1:25" ht="15" thickBot="1" x14ac:dyDescent="0.35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</row>
    <row r="378" spans="1:25" ht="15" thickBot="1" x14ac:dyDescent="0.35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</row>
    <row r="379" spans="1:25" ht="15" thickBot="1" x14ac:dyDescent="0.35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</row>
    <row r="380" spans="1:25" ht="15" thickBot="1" x14ac:dyDescent="0.35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</row>
    <row r="381" spans="1:25" ht="15" thickBot="1" x14ac:dyDescent="0.35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</row>
    <row r="382" spans="1:25" ht="15" thickBot="1" x14ac:dyDescent="0.35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</row>
    <row r="383" spans="1:25" ht="15" thickBot="1" x14ac:dyDescent="0.35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</row>
    <row r="384" spans="1:25" ht="15" thickBot="1" x14ac:dyDescent="0.35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</row>
    <row r="385" spans="1:25" ht="15" thickBot="1" x14ac:dyDescent="0.35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</row>
    <row r="386" spans="1:25" ht="15" thickBot="1" x14ac:dyDescent="0.35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</row>
    <row r="387" spans="1:25" ht="15" thickBot="1" x14ac:dyDescent="0.35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</row>
    <row r="388" spans="1:25" ht="15" thickBot="1" x14ac:dyDescent="0.35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</row>
    <row r="389" spans="1:25" ht="15" thickBot="1" x14ac:dyDescent="0.35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</row>
    <row r="390" spans="1:25" ht="15" thickBot="1" x14ac:dyDescent="0.35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</row>
    <row r="391" spans="1:25" ht="15" thickBot="1" x14ac:dyDescent="0.35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</row>
    <row r="392" spans="1:25" ht="15" thickBot="1" x14ac:dyDescent="0.35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</row>
    <row r="393" spans="1:25" ht="15" thickBot="1" x14ac:dyDescent="0.35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</row>
    <row r="394" spans="1:25" ht="15" thickBot="1" x14ac:dyDescent="0.35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</row>
    <row r="395" spans="1:25" ht="15" thickBot="1" x14ac:dyDescent="0.35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</row>
    <row r="396" spans="1:25" ht="15" thickBot="1" x14ac:dyDescent="0.35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</row>
    <row r="397" spans="1:25" ht="15" thickBot="1" x14ac:dyDescent="0.35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</row>
    <row r="398" spans="1:25" ht="15" thickBot="1" x14ac:dyDescent="0.35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</row>
    <row r="399" spans="1:25" ht="15" thickBot="1" x14ac:dyDescent="0.35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</row>
    <row r="400" spans="1:25" ht="15" thickBot="1" x14ac:dyDescent="0.35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</row>
    <row r="401" spans="1:25" ht="15" thickBot="1" x14ac:dyDescent="0.35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</row>
    <row r="402" spans="1:25" ht="15" thickBot="1" x14ac:dyDescent="0.35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</row>
    <row r="403" spans="1:25" ht="15" thickBot="1" x14ac:dyDescent="0.35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</row>
    <row r="404" spans="1:25" ht="15" thickBot="1" x14ac:dyDescent="0.35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</row>
    <row r="405" spans="1:25" ht="15" thickBot="1" x14ac:dyDescent="0.35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</row>
    <row r="406" spans="1:25" ht="15" thickBot="1" x14ac:dyDescent="0.35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</row>
    <row r="407" spans="1:25" ht="15" thickBot="1" x14ac:dyDescent="0.35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</row>
    <row r="408" spans="1:25" ht="15" thickBot="1" x14ac:dyDescent="0.35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</row>
    <row r="409" spans="1:25" ht="15" thickBot="1" x14ac:dyDescent="0.35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</row>
    <row r="410" spans="1:25" ht="15" thickBot="1" x14ac:dyDescent="0.35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</row>
    <row r="411" spans="1:25" ht="15" thickBot="1" x14ac:dyDescent="0.35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</row>
    <row r="412" spans="1:25" ht="15" thickBot="1" x14ac:dyDescent="0.35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</row>
    <row r="413" spans="1:25" ht="15" thickBot="1" x14ac:dyDescent="0.35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</row>
    <row r="414" spans="1:25" ht="15" thickBot="1" x14ac:dyDescent="0.35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</row>
    <row r="415" spans="1:25" ht="15" thickBot="1" x14ac:dyDescent="0.35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</row>
    <row r="416" spans="1:25" ht="15" thickBot="1" x14ac:dyDescent="0.35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</row>
    <row r="417" spans="1:25" ht="15" thickBot="1" x14ac:dyDescent="0.35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</row>
    <row r="418" spans="1:25" ht="15" thickBot="1" x14ac:dyDescent="0.35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</row>
    <row r="419" spans="1:25" ht="15" thickBot="1" x14ac:dyDescent="0.35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</row>
    <row r="420" spans="1:25" ht="15" thickBot="1" x14ac:dyDescent="0.35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</row>
    <row r="421" spans="1:25" ht="15" thickBot="1" x14ac:dyDescent="0.35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</row>
    <row r="422" spans="1:25" ht="15" thickBot="1" x14ac:dyDescent="0.35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</row>
    <row r="423" spans="1:25" ht="15" thickBot="1" x14ac:dyDescent="0.35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</row>
    <row r="424" spans="1:25" ht="15" thickBot="1" x14ac:dyDescent="0.35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</row>
    <row r="425" spans="1:25" ht="15" thickBot="1" x14ac:dyDescent="0.35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</row>
    <row r="426" spans="1:25" ht="15" thickBot="1" x14ac:dyDescent="0.35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</row>
    <row r="427" spans="1:25" ht="15" thickBot="1" x14ac:dyDescent="0.35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</row>
    <row r="428" spans="1:25" ht="15" thickBot="1" x14ac:dyDescent="0.35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</row>
    <row r="429" spans="1:25" ht="15" thickBot="1" x14ac:dyDescent="0.35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</row>
    <row r="430" spans="1:25" ht="15" thickBot="1" x14ac:dyDescent="0.35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</row>
    <row r="431" spans="1:25" ht="15" thickBot="1" x14ac:dyDescent="0.35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</row>
    <row r="432" spans="1:25" ht="15" thickBot="1" x14ac:dyDescent="0.35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</row>
    <row r="433" spans="1:25" ht="15" thickBot="1" x14ac:dyDescent="0.35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</row>
    <row r="434" spans="1:25" ht="15" thickBot="1" x14ac:dyDescent="0.35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</row>
    <row r="435" spans="1:25" ht="15" thickBot="1" x14ac:dyDescent="0.35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</row>
    <row r="436" spans="1:25" ht="15" thickBot="1" x14ac:dyDescent="0.35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</row>
    <row r="437" spans="1:25" ht="15" thickBot="1" x14ac:dyDescent="0.35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</row>
    <row r="438" spans="1:25" ht="15" thickBot="1" x14ac:dyDescent="0.35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</row>
    <row r="439" spans="1:25" ht="15" thickBot="1" x14ac:dyDescent="0.35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</row>
    <row r="440" spans="1:25" ht="15" thickBot="1" x14ac:dyDescent="0.35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</row>
    <row r="441" spans="1:25" ht="15" thickBot="1" x14ac:dyDescent="0.35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</row>
    <row r="442" spans="1:25" ht="15" thickBot="1" x14ac:dyDescent="0.35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</row>
    <row r="443" spans="1:25" ht="15" thickBot="1" x14ac:dyDescent="0.35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</row>
    <row r="444" spans="1:25" ht="15" thickBot="1" x14ac:dyDescent="0.35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</row>
    <row r="445" spans="1:25" ht="15" thickBot="1" x14ac:dyDescent="0.35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</row>
    <row r="446" spans="1:25" ht="15" thickBot="1" x14ac:dyDescent="0.35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</row>
    <row r="447" spans="1:25" ht="15" thickBot="1" x14ac:dyDescent="0.35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</row>
    <row r="448" spans="1:25" ht="15" thickBot="1" x14ac:dyDescent="0.35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</row>
    <row r="449" spans="1:25" ht="15" thickBot="1" x14ac:dyDescent="0.35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</row>
    <row r="450" spans="1:25" ht="15" thickBot="1" x14ac:dyDescent="0.35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</row>
    <row r="451" spans="1:25" ht="15" thickBot="1" x14ac:dyDescent="0.35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</row>
    <row r="452" spans="1:25" ht="15" thickBot="1" x14ac:dyDescent="0.35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</row>
    <row r="453" spans="1:25" ht="15" thickBot="1" x14ac:dyDescent="0.35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</row>
    <row r="454" spans="1:25" ht="15" thickBot="1" x14ac:dyDescent="0.35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</row>
    <row r="455" spans="1:25" ht="15" thickBot="1" x14ac:dyDescent="0.35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</row>
    <row r="456" spans="1:25" ht="15" thickBot="1" x14ac:dyDescent="0.35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</row>
    <row r="457" spans="1:25" ht="15" thickBot="1" x14ac:dyDescent="0.35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</row>
    <row r="458" spans="1:25" ht="15" thickBot="1" x14ac:dyDescent="0.35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</row>
    <row r="459" spans="1:25" ht="15" thickBot="1" x14ac:dyDescent="0.35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</row>
    <row r="460" spans="1:25" ht="15" thickBot="1" x14ac:dyDescent="0.35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</row>
    <row r="461" spans="1:25" ht="15" thickBot="1" x14ac:dyDescent="0.35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</row>
    <row r="462" spans="1:25" ht="15" thickBot="1" x14ac:dyDescent="0.35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</row>
    <row r="463" spans="1:25" ht="15" thickBot="1" x14ac:dyDescent="0.35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</row>
    <row r="464" spans="1:25" ht="15" thickBot="1" x14ac:dyDescent="0.35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</row>
    <row r="465" spans="1:25" ht="15" thickBot="1" x14ac:dyDescent="0.35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</row>
    <row r="466" spans="1:25" ht="15" thickBot="1" x14ac:dyDescent="0.35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</row>
    <row r="467" spans="1:25" ht="15" thickBot="1" x14ac:dyDescent="0.35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</row>
    <row r="468" spans="1:25" ht="15" thickBot="1" x14ac:dyDescent="0.35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</row>
    <row r="469" spans="1:25" ht="15" thickBot="1" x14ac:dyDescent="0.35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</row>
    <row r="470" spans="1:25" ht="15" thickBot="1" x14ac:dyDescent="0.35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</row>
    <row r="471" spans="1:25" ht="15" thickBot="1" x14ac:dyDescent="0.35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</row>
    <row r="472" spans="1:25" ht="15" thickBot="1" x14ac:dyDescent="0.35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</row>
    <row r="473" spans="1:25" ht="15" thickBot="1" x14ac:dyDescent="0.35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</row>
    <row r="474" spans="1:25" ht="15" thickBot="1" x14ac:dyDescent="0.35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</row>
    <row r="475" spans="1:25" ht="15" thickBot="1" x14ac:dyDescent="0.35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</row>
    <row r="476" spans="1:25" ht="15" thickBot="1" x14ac:dyDescent="0.35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</row>
    <row r="477" spans="1:25" ht="15" thickBot="1" x14ac:dyDescent="0.35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</row>
    <row r="478" spans="1:25" ht="15" thickBot="1" x14ac:dyDescent="0.35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</row>
    <row r="479" spans="1:25" ht="15" thickBot="1" x14ac:dyDescent="0.35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</row>
    <row r="480" spans="1:25" ht="15" thickBot="1" x14ac:dyDescent="0.35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</row>
    <row r="481" spans="1:25" ht="15" thickBot="1" x14ac:dyDescent="0.35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</row>
    <row r="482" spans="1:25" ht="15" thickBot="1" x14ac:dyDescent="0.35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</row>
    <row r="483" spans="1:25" ht="15" thickBot="1" x14ac:dyDescent="0.35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</row>
    <row r="484" spans="1:25" ht="15" thickBot="1" x14ac:dyDescent="0.35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</row>
    <row r="485" spans="1:25" ht="15" thickBot="1" x14ac:dyDescent="0.35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</row>
    <row r="486" spans="1:25" ht="15" thickBot="1" x14ac:dyDescent="0.35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</row>
    <row r="487" spans="1:25" ht="15" thickBot="1" x14ac:dyDescent="0.35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</row>
    <row r="488" spans="1:25" ht="15" thickBot="1" x14ac:dyDescent="0.35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</row>
    <row r="489" spans="1:25" ht="15" thickBot="1" x14ac:dyDescent="0.35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</row>
    <row r="490" spans="1:25" ht="15" thickBot="1" x14ac:dyDescent="0.35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</row>
    <row r="491" spans="1:25" ht="15" thickBot="1" x14ac:dyDescent="0.35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</row>
    <row r="492" spans="1:25" ht="15" thickBot="1" x14ac:dyDescent="0.35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</row>
    <row r="493" spans="1:25" ht="15" thickBot="1" x14ac:dyDescent="0.35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</row>
    <row r="494" spans="1:25" ht="15" thickBot="1" x14ac:dyDescent="0.35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</row>
    <row r="495" spans="1:25" ht="15" thickBot="1" x14ac:dyDescent="0.35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</row>
    <row r="496" spans="1:25" ht="15" thickBot="1" x14ac:dyDescent="0.35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</row>
    <row r="497" spans="1:25" ht="15" thickBot="1" x14ac:dyDescent="0.35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</row>
    <row r="498" spans="1:25" ht="15" thickBot="1" x14ac:dyDescent="0.35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</row>
    <row r="499" spans="1:25" ht="15" thickBot="1" x14ac:dyDescent="0.35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</row>
    <row r="500" spans="1:25" ht="15" thickBot="1" x14ac:dyDescent="0.35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</row>
    <row r="501" spans="1:25" ht="15" thickBot="1" x14ac:dyDescent="0.35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</row>
    <row r="502" spans="1:25" ht="15" thickBot="1" x14ac:dyDescent="0.35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</row>
    <row r="503" spans="1:25" ht="15" thickBot="1" x14ac:dyDescent="0.35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</row>
    <row r="504" spans="1:25" ht="15" thickBot="1" x14ac:dyDescent="0.35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</row>
    <row r="505" spans="1:25" ht="15" thickBot="1" x14ac:dyDescent="0.35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</row>
    <row r="506" spans="1:25" ht="15" thickBot="1" x14ac:dyDescent="0.35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</row>
    <row r="507" spans="1:25" ht="15" thickBot="1" x14ac:dyDescent="0.35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</row>
    <row r="508" spans="1:25" ht="15" thickBot="1" x14ac:dyDescent="0.35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</row>
    <row r="509" spans="1:25" ht="15" thickBot="1" x14ac:dyDescent="0.35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</row>
    <row r="510" spans="1:25" ht="15" thickBot="1" x14ac:dyDescent="0.35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</row>
    <row r="511" spans="1:25" ht="15" thickBot="1" x14ac:dyDescent="0.35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</row>
    <row r="512" spans="1:25" ht="15" thickBot="1" x14ac:dyDescent="0.35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</row>
    <row r="513" spans="1:25" ht="15" thickBot="1" x14ac:dyDescent="0.35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</row>
    <row r="514" spans="1:25" ht="15" thickBot="1" x14ac:dyDescent="0.35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</row>
    <row r="515" spans="1:25" ht="15" thickBot="1" x14ac:dyDescent="0.35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</row>
    <row r="516" spans="1:25" ht="15" thickBot="1" x14ac:dyDescent="0.35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</row>
    <row r="517" spans="1:25" ht="15" thickBot="1" x14ac:dyDescent="0.35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</row>
    <row r="518" spans="1:25" ht="15" thickBot="1" x14ac:dyDescent="0.35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</row>
    <row r="519" spans="1:25" ht="15" thickBot="1" x14ac:dyDescent="0.35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</row>
    <row r="520" spans="1:25" ht="15" thickBot="1" x14ac:dyDescent="0.35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</row>
    <row r="521" spans="1:25" ht="15" thickBot="1" x14ac:dyDescent="0.35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</row>
    <row r="522" spans="1:25" ht="15" thickBot="1" x14ac:dyDescent="0.35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</row>
    <row r="523" spans="1:25" ht="15" thickBot="1" x14ac:dyDescent="0.35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</row>
    <row r="524" spans="1:25" ht="15" thickBot="1" x14ac:dyDescent="0.35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</row>
    <row r="525" spans="1:25" ht="15" thickBot="1" x14ac:dyDescent="0.35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</row>
    <row r="526" spans="1:25" ht="15" thickBot="1" x14ac:dyDescent="0.35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</row>
    <row r="527" spans="1:25" ht="15" thickBot="1" x14ac:dyDescent="0.35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</row>
    <row r="528" spans="1:25" ht="15" thickBot="1" x14ac:dyDescent="0.35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</row>
    <row r="529" spans="1:25" ht="15" thickBot="1" x14ac:dyDescent="0.35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</row>
    <row r="530" spans="1:25" ht="15" thickBot="1" x14ac:dyDescent="0.35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</row>
    <row r="531" spans="1:25" ht="15" thickBot="1" x14ac:dyDescent="0.35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</row>
    <row r="532" spans="1:25" ht="15" thickBot="1" x14ac:dyDescent="0.35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</row>
    <row r="533" spans="1:25" ht="15" thickBot="1" x14ac:dyDescent="0.35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</row>
    <row r="534" spans="1:25" ht="15" thickBot="1" x14ac:dyDescent="0.35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</row>
    <row r="535" spans="1:25" ht="15" thickBot="1" x14ac:dyDescent="0.35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</row>
    <row r="536" spans="1:25" ht="15" thickBot="1" x14ac:dyDescent="0.35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</row>
    <row r="537" spans="1:25" ht="15" thickBot="1" x14ac:dyDescent="0.35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</row>
    <row r="538" spans="1:25" ht="15" thickBot="1" x14ac:dyDescent="0.35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</row>
    <row r="539" spans="1:25" ht="15" thickBot="1" x14ac:dyDescent="0.35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</row>
    <row r="540" spans="1:25" ht="15" thickBot="1" x14ac:dyDescent="0.35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</row>
    <row r="541" spans="1:25" ht="15" thickBot="1" x14ac:dyDescent="0.35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</row>
    <row r="542" spans="1:25" ht="15" thickBot="1" x14ac:dyDescent="0.35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</row>
    <row r="543" spans="1:25" ht="15" thickBot="1" x14ac:dyDescent="0.35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</row>
    <row r="544" spans="1:25" ht="15" thickBot="1" x14ac:dyDescent="0.35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</row>
    <row r="545" spans="1:25" ht="15" thickBot="1" x14ac:dyDescent="0.35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</row>
    <row r="546" spans="1:25" ht="15" thickBot="1" x14ac:dyDescent="0.35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</row>
    <row r="547" spans="1:25" ht="15" thickBot="1" x14ac:dyDescent="0.35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</row>
    <row r="548" spans="1:25" ht="15" thickBot="1" x14ac:dyDescent="0.35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</row>
    <row r="549" spans="1:25" ht="15" thickBot="1" x14ac:dyDescent="0.35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</row>
    <row r="550" spans="1:25" ht="15" thickBot="1" x14ac:dyDescent="0.35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</row>
    <row r="551" spans="1:25" ht="15" thickBot="1" x14ac:dyDescent="0.35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</row>
    <row r="552" spans="1:25" ht="15" thickBot="1" x14ac:dyDescent="0.35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</row>
    <row r="553" spans="1:25" ht="15" thickBot="1" x14ac:dyDescent="0.35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</row>
    <row r="554" spans="1:25" ht="15" thickBot="1" x14ac:dyDescent="0.35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</row>
    <row r="555" spans="1:25" ht="15" thickBot="1" x14ac:dyDescent="0.35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</row>
    <row r="556" spans="1:25" ht="15" thickBot="1" x14ac:dyDescent="0.35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</row>
    <row r="557" spans="1:25" ht="15" thickBot="1" x14ac:dyDescent="0.35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</row>
    <row r="558" spans="1:25" ht="15" thickBot="1" x14ac:dyDescent="0.35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</row>
    <row r="559" spans="1:25" ht="15" thickBot="1" x14ac:dyDescent="0.35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</row>
    <row r="560" spans="1:25" ht="15" thickBot="1" x14ac:dyDescent="0.35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</row>
    <row r="561" spans="1:25" ht="15" thickBot="1" x14ac:dyDescent="0.35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</row>
    <row r="562" spans="1:25" ht="15" thickBot="1" x14ac:dyDescent="0.35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</row>
    <row r="563" spans="1:25" ht="15" thickBot="1" x14ac:dyDescent="0.35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</row>
    <row r="564" spans="1:25" ht="15" thickBot="1" x14ac:dyDescent="0.35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</row>
    <row r="565" spans="1:25" ht="15" thickBot="1" x14ac:dyDescent="0.35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</row>
    <row r="566" spans="1:25" ht="15" thickBot="1" x14ac:dyDescent="0.35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</row>
    <row r="567" spans="1:25" ht="15" thickBot="1" x14ac:dyDescent="0.35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</row>
    <row r="568" spans="1:25" ht="15" thickBot="1" x14ac:dyDescent="0.35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</row>
    <row r="569" spans="1:25" ht="15" thickBot="1" x14ac:dyDescent="0.35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</row>
    <row r="570" spans="1:25" ht="15" thickBot="1" x14ac:dyDescent="0.35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</row>
    <row r="571" spans="1:25" ht="15" thickBot="1" x14ac:dyDescent="0.35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</row>
    <row r="572" spans="1:25" ht="15" thickBot="1" x14ac:dyDescent="0.35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</row>
    <row r="573" spans="1:25" ht="15" thickBot="1" x14ac:dyDescent="0.35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</row>
    <row r="574" spans="1:25" ht="15" thickBot="1" x14ac:dyDescent="0.35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</row>
    <row r="575" spans="1:25" ht="15" thickBot="1" x14ac:dyDescent="0.35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</row>
    <row r="576" spans="1:25" ht="15" thickBot="1" x14ac:dyDescent="0.35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</row>
    <row r="577" spans="1:25" ht="15" thickBot="1" x14ac:dyDescent="0.35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</row>
    <row r="578" spans="1:25" ht="15" thickBot="1" x14ac:dyDescent="0.35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</row>
    <row r="579" spans="1:25" ht="15" thickBot="1" x14ac:dyDescent="0.35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</row>
    <row r="580" spans="1:25" ht="15" thickBot="1" x14ac:dyDescent="0.35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</row>
    <row r="581" spans="1:25" ht="15" thickBot="1" x14ac:dyDescent="0.35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</row>
    <row r="582" spans="1:25" ht="15" thickBot="1" x14ac:dyDescent="0.35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</row>
    <row r="583" spans="1:25" ht="15" thickBot="1" x14ac:dyDescent="0.35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</row>
    <row r="584" spans="1:25" ht="15" thickBot="1" x14ac:dyDescent="0.35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</row>
    <row r="585" spans="1:25" ht="15" thickBot="1" x14ac:dyDescent="0.35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</row>
    <row r="586" spans="1:25" ht="15" thickBot="1" x14ac:dyDescent="0.35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</row>
    <row r="587" spans="1:25" ht="15" thickBot="1" x14ac:dyDescent="0.35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</row>
    <row r="588" spans="1:25" ht="15" thickBot="1" x14ac:dyDescent="0.35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</row>
    <row r="589" spans="1:25" ht="15" thickBot="1" x14ac:dyDescent="0.35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</row>
    <row r="590" spans="1:25" ht="15" thickBot="1" x14ac:dyDescent="0.35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</row>
    <row r="591" spans="1:25" ht="15" thickBot="1" x14ac:dyDescent="0.35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</row>
    <row r="592" spans="1:25" ht="15" thickBot="1" x14ac:dyDescent="0.35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</row>
    <row r="593" spans="1:25" ht="15" thickBot="1" x14ac:dyDescent="0.35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</row>
    <row r="594" spans="1:25" ht="15" thickBot="1" x14ac:dyDescent="0.35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</row>
    <row r="595" spans="1:25" ht="15" thickBot="1" x14ac:dyDescent="0.35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</row>
    <row r="596" spans="1:25" ht="15" thickBot="1" x14ac:dyDescent="0.35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</row>
    <row r="597" spans="1:25" ht="15" thickBot="1" x14ac:dyDescent="0.35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</row>
    <row r="598" spans="1:25" ht="15" thickBot="1" x14ac:dyDescent="0.35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</row>
    <row r="599" spans="1:25" ht="15" thickBot="1" x14ac:dyDescent="0.35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</row>
    <row r="600" spans="1:25" ht="15" thickBot="1" x14ac:dyDescent="0.35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</row>
    <row r="601" spans="1:25" ht="15" thickBot="1" x14ac:dyDescent="0.35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</row>
    <row r="602" spans="1:25" ht="15" thickBot="1" x14ac:dyDescent="0.35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</row>
    <row r="603" spans="1:25" ht="15" thickBot="1" x14ac:dyDescent="0.35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</row>
    <row r="604" spans="1:25" ht="15" thickBot="1" x14ac:dyDescent="0.35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</row>
    <row r="605" spans="1:25" ht="15" thickBot="1" x14ac:dyDescent="0.35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</row>
    <row r="606" spans="1:25" ht="15" thickBot="1" x14ac:dyDescent="0.35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</row>
    <row r="607" spans="1:25" ht="15" thickBot="1" x14ac:dyDescent="0.35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</row>
    <row r="608" spans="1:25" ht="15" thickBot="1" x14ac:dyDescent="0.35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</row>
    <row r="609" spans="1:25" ht="15" thickBot="1" x14ac:dyDescent="0.35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</row>
    <row r="610" spans="1:25" ht="15" thickBot="1" x14ac:dyDescent="0.35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</row>
    <row r="611" spans="1:25" ht="15" thickBot="1" x14ac:dyDescent="0.35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</row>
    <row r="612" spans="1:25" ht="15" thickBot="1" x14ac:dyDescent="0.35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</row>
    <row r="613" spans="1:25" ht="15" thickBot="1" x14ac:dyDescent="0.35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</row>
    <row r="614" spans="1:25" ht="15" thickBot="1" x14ac:dyDescent="0.35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</row>
    <row r="615" spans="1:25" ht="15" thickBot="1" x14ac:dyDescent="0.35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</row>
    <row r="616" spans="1:25" ht="15" thickBot="1" x14ac:dyDescent="0.35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</row>
    <row r="617" spans="1:25" ht="15" thickBot="1" x14ac:dyDescent="0.35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</row>
    <row r="618" spans="1:25" ht="15" thickBot="1" x14ac:dyDescent="0.35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</row>
    <row r="619" spans="1:25" ht="15" thickBot="1" x14ac:dyDescent="0.35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</row>
    <row r="620" spans="1:25" ht="15" thickBot="1" x14ac:dyDescent="0.35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</row>
    <row r="621" spans="1:25" ht="15" thickBot="1" x14ac:dyDescent="0.35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</row>
    <row r="622" spans="1:25" ht="15" thickBot="1" x14ac:dyDescent="0.35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</row>
    <row r="623" spans="1:25" ht="15" thickBot="1" x14ac:dyDescent="0.35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</row>
    <row r="624" spans="1:25" ht="15" thickBot="1" x14ac:dyDescent="0.35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</row>
    <row r="625" spans="1:25" ht="15" thickBot="1" x14ac:dyDescent="0.35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</row>
    <row r="626" spans="1:25" ht="15" thickBot="1" x14ac:dyDescent="0.35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</row>
    <row r="627" spans="1:25" ht="15" thickBot="1" x14ac:dyDescent="0.35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</row>
    <row r="628" spans="1:25" ht="15" thickBot="1" x14ac:dyDescent="0.35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</row>
    <row r="629" spans="1:25" ht="15" thickBot="1" x14ac:dyDescent="0.35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</row>
    <row r="630" spans="1:25" ht="15" thickBot="1" x14ac:dyDescent="0.35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</row>
    <row r="631" spans="1:25" ht="15" thickBot="1" x14ac:dyDescent="0.35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</row>
    <row r="632" spans="1:25" ht="15" thickBot="1" x14ac:dyDescent="0.35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</row>
    <row r="633" spans="1:25" ht="15" thickBot="1" x14ac:dyDescent="0.35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</row>
    <row r="634" spans="1:25" ht="15" thickBot="1" x14ac:dyDescent="0.35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</row>
    <row r="635" spans="1:25" ht="15" thickBot="1" x14ac:dyDescent="0.35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</row>
    <row r="636" spans="1:25" ht="15" thickBot="1" x14ac:dyDescent="0.35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</row>
    <row r="637" spans="1:25" ht="15" thickBot="1" x14ac:dyDescent="0.35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</row>
    <row r="638" spans="1:25" ht="15" thickBot="1" x14ac:dyDescent="0.35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</row>
    <row r="639" spans="1:25" ht="15" thickBot="1" x14ac:dyDescent="0.35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</row>
    <row r="640" spans="1:25" ht="15" thickBot="1" x14ac:dyDescent="0.35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</row>
    <row r="641" spans="1:25" ht="15" thickBot="1" x14ac:dyDescent="0.35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</row>
    <row r="642" spans="1:25" ht="15" thickBot="1" x14ac:dyDescent="0.35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</row>
    <row r="643" spans="1:25" ht="15" thickBot="1" x14ac:dyDescent="0.35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</row>
    <row r="644" spans="1:25" ht="15" thickBot="1" x14ac:dyDescent="0.35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</row>
    <row r="645" spans="1:25" ht="15" thickBot="1" x14ac:dyDescent="0.35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</row>
    <row r="646" spans="1:25" ht="15" thickBot="1" x14ac:dyDescent="0.35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</row>
    <row r="647" spans="1:25" ht="15" thickBot="1" x14ac:dyDescent="0.35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</row>
    <row r="648" spans="1:25" ht="15" thickBot="1" x14ac:dyDescent="0.35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</row>
    <row r="649" spans="1:25" ht="15" thickBot="1" x14ac:dyDescent="0.35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</row>
    <row r="650" spans="1:25" ht="15" thickBot="1" x14ac:dyDescent="0.35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</row>
    <row r="651" spans="1:25" ht="15" thickBot="1" x14ac:dyDescent="0.35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</row>
    <row r="652" spans="1:25" ht="15" thickBot="1" x14ac:dyDescent="0.35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</row>
    <row r="653" spans="1:25" ht="15" thickBot="1" x14ac:dyDescent="0.35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</row>
    <row r="654" spans="1:25" ht="15" thickBot="1" x14ac:dyDescent="0.35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</row>
    <row r="655" spans="1:25" ht="15" thickBot="1" x14ac:dyDescent="0.35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</row>
    <row r="656" spans="1:25" ht="15" thickBot="1" x14ac:dyDescent="0.35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</row>
    <row r="657" spans="1:25" ht="15" thickBot="1" x14ac:dyDescent="0.35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</row>
    <row r="658" spans="1:25" ht="15" thickBot="1" x14ac:dyDescent="0.35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</row>
    <row r="659" spans="1:25" ht="15" thickBot="1" x14ac:dyDescent="0.35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</row>
    <row r="660" spans="1:25" ht="15" thickBot="1" x14ac:dyDescent="0.35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</row>
    <row r="661" spans="1:25" ht="15" thickBot="1" x14ac:dyDescent="0.35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</row>
    <row r="662" spans="1:25" ht="15" thickBot="1" x14ac:dyDescent="0.35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</row>
    <row r="663" spans="1:25" ht="15" thickBot="1" x14ac:dyDescent="0.35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</row>
    <row r="664" spans="1:25" ht="15" thickBot="1" x14ac:dyDescent="0.35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</row>
    <row r="665" spans="1:25" ht="15" thickBot="1" x14ac:dyDescent="0.35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</row>
    <row r="666" spans="1:25" ht="15" thickBot="1" x14ac:dyDescent="0.35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</row>
    <row r="667" spans="1:25" ht="15" thickBot="1" x14ac:dyDescent="0.35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</row>
    <row r="668" spans="1:25" ht="15" thickBot="1" x14ac:dyDescent="0.35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</row>
    <row r="669" spans="1:25" ht="15" thickBot="1" x14ac:dyDescent="0.35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</row>
    <row r="670" spans="1:25" ht="15" thickBot="1" x14ac:dyDescent="0.35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</row>
    <row r="671" spans="1:25" ht="15" thickBot="1" x14ac:dyDescent="0.35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</row>
    <row r="672" spans="1:25" ht="15" thickBot="1" x14ac:dyDescent="0.35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</row>
    <row r="673" spans="1:25" ht="15" thickBot="1" x14ac:dyDescent="0.35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</row>
    <row r="674" spans="1:25" ht="15" thickBot="1" x14ac:dyDescent="0.35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</row>
    <row r="675" spans="1:25" ht="15" thickBot="1" x14ac:dyDescent="0.35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</row>
    <row r="676" spans="1:25" ht="15" thickBot="1" x14ac:dyDescent="0.35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</row>
    <row r="677" spans="1:25" ht="15" thickBot="1" x14ac:dyDescent="0.35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</row>
    <row r="678" spans="1:25" ht="15" thickBot="1" x14ac:dyDescent="0.35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</row>
    <row r="679" spans="1:25" ht="15" thickBot="1" x14ac:dyDescent="0.35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</row>
    <row r="680" spans="1:25" ht="15" thickBot="1" x14ac:dyDescent="0.35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</row>
    <row r="681" spans="1:25" ht="15" thickBot="1" x14ac:dyDescent="0.35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</row>
    <row r="682" spans="1:25" ht="15" thickBot="1" x14ac:dyDescent="0.35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</row>
    <row r="683" spans="1:25" ht="15" thickBot="1" x14ac:dyDescent="0.35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</row>
    <row r="684" spans="1:25" ht="15" thickBot="1" x14ac:dyDescent="0.35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</row>
    <row r="685" spans="1:25" ht="15" thickBot="1" x14ac:dyDescent="0.35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</row>
    <row r="686" spans="1:25" ht="15" thickBot="1" x14ac:dyDescent="0.35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</row>
    <row r="687" spans="1:25" ht="15" thickBot="1" x14ac:dyDescent="0.35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</row>
    <row r="688" spans="1:25" ht="15" thickBot="1" x14ac:dyDescent="0.35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</row>
    <row r="689" spans="1:25" ht="15" thickBot="1" x14ac:dyDescent="0.35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</row>
    <row r="690" spans="1:25" ht="15" thickBot="1" x14ac:dyDescent="0.35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</row>
    <row r="691" spans="1:25" ht="15" thickBot="1" x14ac:dyDescent="0.35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</row>
    <row r="692" spans="1:25" ht="15" thickBot="1" x14ac:dyDescent="0.35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</row>
    <row r="693" spans="1:25" ht="15" thickBot="1" x14ac:dyDescent="0.35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</row>
    <row r="694" spans="1:25" ht="15" thickBot="1" x14ac:dyDescent="0.35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</row>
    <row r="695" spans="1:25" ht="15" thickBot="1" x14ac:dyDescent="0.35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</row>
    <row r="696" spans="1:25" ht="15" thickBot="1" x14ac:dyDescent="0.35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</row>
    <row r="697" spans="1:25" ht="15" thickBot="1" x14ac:dyDescent="0.35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</row>
    <row r="698" spans="1:25" ht="15" thickBot="1" x14ac:dyDescent="0.35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</row>
    <row r="699" spans="1:25" ht="15" thickBot="1" x14ac:dyDescent="0.35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</row>
    <row r="700" spans="1:25" ht="15" thickBot="1" x14ac:dyDescent="0.35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</row>
    <row r="701" spans="1:25" ht="15" thickBot="1" x14ac:dyDescent="0.35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</row>
    <row r="702" spans="1:25" ht="15" thickBot="1" x14ac:dyDescent="0.35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</row>
    <row r="703" spans="1:25" ht="15" thickBot="1" x14ac:dyDescent="0.35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</row>
    <row r="704" spans="1:25" ht="15" thickBot="1" x14ac:dyDescent="0.35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</row>
    <row r="705" spans="1:25" ht="15" thickBot="1" x14ac:dyDescent="0.35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</row>
    <row r="706" spans="1:25" ht="15" thickBot="1" x14ac:dyDescent="0.35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</row>
    <row r="707" spans="1:25" ht="15" thickBot="1" x14ac:dyDescent="0.35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</row>
    <row r="708" spans="1:25" ht="15" thickBot="1" x14ac:dyDescent="0.35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</row>
    <row r="709" spans="1:25" ht="15" thickBot="1" x14ac:dyDescent="0.35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</row>
    <row r="710" spans="1:25" ht="15" thickBot="1" x14ac:dyDescent="0.35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</row>
    <row r="711" spans="1:25" ht="15" thickBot="1" x14ac:dyDescent="0.35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</row>
    <row r="712" spans="1:25" ht="15" thickBot="1" x14ac:dyDescent="0.35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</row>
    <row r="713" spans="1:25" ht="15" thickBot="1" x14ac:dyDescent="0.35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</row>
    <row r="714" spans="1:25" ht="15" thickBot="1" x14ac:dyDescent="0.35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</row>
    <row r="715" spans="1:25" ht="15" thickBot="1" x14ac:dyDescent="0.35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</row>
    <row r="716" spans="1:25" ht="15" thickBot="1" x14ac:dyDescent="0.35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</row>
    <row r="717" spans="1:25" ht="15" thickBot="1" x14ac:dyDescent="0.35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</row>
    <row r="718" spans="1:25" ht="15" thickBot="1" x14ac:dyDescent="0.35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</row>
    <row r="719" spans="1:25" ht="15" thickBot="1" x14ac:dyDescent="0.35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</row>
    <row r="720" spans="1:25" ht="15" thickBot="1" x14ac:dyDescent="0.35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</row>
    <row r="721" spans="1:25" ht="15" thickBot="1" x14ac:dyDescent="0.35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</row>
    <row r="722" spans="1:25" ht="15" thickBot="1" x14ac:dyDescent="0.35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</row>
    <row r="723" spans="1:25" ht="15" thickBot="1" x14ac:dyDescent="0.35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</row>
    <row r="724" spans="1:25" ht="15" thickBot="1" x14ac:dyDescent="0.35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</row>
    <row r="725" spans="1:25" ht="15" thickBot="1" x14ac:dyDescent="0.35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</row>
    <row r="726" spans="1:25" ht="15" thickBot="1" x14ac:dyDescent="0.35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</row>
    <row r="727" spans="1:25" ht="15" thickBot="1" x14ac:dyDescent="0.35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</row>
    <row r="728" spans="1:25" ht="15" thickBot="1" x14ac:dyDescent="0.35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</row>
    <row r="729" spans="1:25" ht="15" thickBot="1" x14ac:dyDescent="0.35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</row>
    <row r="730" spans="1:25" ht="15" thickBot="1" x14ac:dyDescent="0.35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</row>
    <row r="731" spans="1:25" ht="15" thickBot="1" x14ac:dyDescent="0.35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</row>
    <row r="732" spans="1:25" ht="15" thickBot="1" x14ac:dyDescent="0.35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</row>
    <row r="733" spans="1:25" ht="15" thickBot="1" x14ac:dyDescent="0.35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</row>
    <row r="734" spans="1:25" ht="15" thickBot="1" x14ac:dyDescent="0.35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</row>
    <row r="735" spans="1:25" ht="15" thickBot="1" x14ac:dyDescent="0.35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</row>
    <row r="736" spans="1:25" ht="15" thickBot="1" x14ac:dyDescent="0.35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</row>
    <row r="737" spans="1:25" ht="15" thickBot="1" x14ac:dyDescent="0.35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</row>
    <row r="738" spans="1:25" ht="15" thickBot="1" x14ac:dyDescent="0.35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</row>
    <row r="739" spans="1:25" ht="15" thickBot="1" x14ac:dyDescent="0.35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</row>
    <row r="740" spans="1:25" ht="15" thickBot="1" x14ac:dyDescent="0.35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</row>
    <row r="741" spans="1:25" ht="15" thickBot="1" x14ac:dyDescent="0.35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</row>
    <row r="742" spans="1:25" ht="15" thickBot="1" x14ac:dyDescent="0.35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</row>
    <row r="743" spans="1:25" ht="15" thickBot="1" x14ac:dyDescent="0.35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</row>
    <row r="744" spans="1:25" ht="15" thickBot="1" x14ac:dyDescent="0.35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</row>
    <row r="745" spans="1:25" ht="15" thickBot="1" x14ac:dyDescent="0.35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</row>
    <row r="746" spans="1:25" ht="15" thickBot="1" x14ac:dyDescent="0.35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</row>
    <row r="747" spans="1:25" ht="15" thickBot="1" x14ac:dyDescent="0.35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</row>
    <row r="748" spans="1:25" ht="15" thickBot="1" x14ac:dyDescent="0.35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</row>
    <row r="749" spans="1:25" ht="15" thickBot="1" x14ac:dyDescent="0.35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</row>
    <row r="750" spans="1:25" ht="15" thickBot="1" x14ac:dyDescent="0.35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</row>
    <row r="751" spans="1:25" ht="15" thickBot="1" x14ac:dyDescent="0.35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</row>
    <row r="752" spans="1:25" ht="15" thickBot="1" x14ac:dyDescent="0.35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</row>
    <row r="753" spans="1:25" ht="15" thickBot="1" x14ac:dyDescent="0.35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</row>
    <row r="754" spans="1:25" ht="15" thickBot="1" x14ac:dyDescent="0.35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</row>
    <row r="755" spans="1:25" ht="15" thickBot="1" x14ac:dyDescent="0.35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</row>
    <row r="756" spans="1:25" ht="15" thickBot="1" x14ac:dyDescent="0.35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</row>
    <row r="757" spans="1:25" ht="15" thickBot="1" x14ac:dyDescent="0.35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</row>
    <row r="758" spans="1:25" ht="15" thickBot="1" x14ac:dyDescent="0.35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</row>
    <row r="759" spans="1:25" ht="15" thickBot="1" x14ac:dyDescent="0.35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</row>
    <row r="760" spans="1:25" ht="15" thickBot="1" x14ac:dyDescent="0.35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</row>
    <row r="761" spans="1:25" ht="15" thickBot="1" x14ac:dyDescent="0.35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</row>
    <row r="762" spans="1:25" ht="15" thickBot="1" x14ac:dyDescent="0.35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</row>
    <row r="763" spans="1:25" ht="15" thickBot="1" x14ac:dyDescent="0.35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</row>
    <row r="764" spans="1:25" ht="15" thickBot="1" x14ac:dyDescent="0.35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</row>
    <row r="765" spans="1:25" ht="15" thickBot="1" x14ac:dyDescent="0.35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</row>
    <row r="766" spans="1:25" ht="15" thickBot="1" x14ac:dyDescent="0.35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</row>
    <row r="767" spans="1:25" ht="15" thickBot="1" x14ac:dyDescent="0.35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</row>
    <row r="768" spans="1:25" ht="15" thickBot="1" x14ac:dyDescent="0.35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</row>
    <row r="769" spans="1:25" ht="15" thickBot="1" x14ac:dyDescent="0.35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</row>
    <row r="770" spans="1:25" ht="15" thickBot="1" x14ac:dyDescent="0.35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</row>
    <row r="771" spans="1:25" ht="15" thickBot="1" x14ac:dyDescent="0.35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</row>
    <row r="772" spans="1:25" ht="15" thickBot="1" x14ac:dyDescent="0.35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</row>
    <row r="773" spans="1:25" ht="15" thickBot="1" x14ac:dyDescent="0.35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</row>
    <row r="774" spans="1:25" ht="15" thickBot="1" x14ac:dyDescent="0.35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</row>
    <row r="775" spans="1:25" ht="15" thickBot="1" x14ac:dyDescent="0.35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</row>
    <row r="776" spans="1:25" ht="15" thickBot="1" x14ac:dyDescent="0.35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</row>
    <row r="777" spans="1:25" ht="15" thickBot="1" x14ac:dyDescent="0.35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</row>
    <row r="778" spans="1:25" ht="15" thickBot="1" x14ac:dyDescent="0.35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</row>
    <row r="779" spans="1:25" ht="15" thickBot="1" x14ac:dyDescent="0.35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</row>
    <row r="780" spans="1:25" ht="15" thickBot="1" x14ac:dyDescent="0.35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</row>
    <row r="781" spans="1:25" ht="15" thickBot="1" x14ac:dyDescent="0.35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</row>
    <row r="782" spans="1:25" ht="15" thickBot="1" x14ac:dyDescent="0.35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</row>
    <row r="783" spans="1:25" ht="15" thickBot="1" x14ac:dyDescent="0.35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</row>
    <row r="784" spans="1:25" ht="15" thickBot="1" x14ac:dyDescent="0.35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</row>
    <row r="785" spans="1:25" ht="15" thickBot="1" x14ac:dyDescent="0.35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</row>
    <row r="786" spans="1:25" ht="15" thickBot="1" x14ac:dyDescent="0.35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</row>
    <row r="787" spans="1:25" ht="15" thickBot="1" x14ac:dyDescent="0.35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</row>
    <row r="788" spans="1:25" ht="15" thickBot="1" x14ac:dyDescent="0.35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</row>
    <row r="789" spans="1:25" ht="15" thickBot="1" x14ac:dyDescent="0.35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</row>
    <row r="790" spans="1:25" ht="15" thickBot="1" x14ac:dyDescent="0.35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</row>
    <row r="791" spans="1:25" ht="15" thickBot="1" x14ac:dyDescent="0.35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</row>
    <row r="792" spans="1:25" ht="15" thickBot="1" x14ac:dyDescent="0.35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</row>
    <row r="793" spans="1:25" ht="15" thickBot="1" x14ac:dyDescent="0.35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</row>
    <row r="794" spans="1:25" ht="15" thickBot="1" x14ac:dyDescent="0.35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</row>
    <row r="795" spans="1:25" ht="15" thickBot="1" x14ac:dyDescent="0.35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</row>
    <row r="796" spans="1:25" ht="15" thickBot="1" x14ac:dyDescent="0.35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</row>
    <row r="797" spans="1:25" ht="15" thickBot="1" x14ac:dyDescent="0.35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</row>
    <row r="798" spans="1:25" ht="15" thickBot="1" x14ac:dyDescent="0.35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</row>
    <row r="799" spans="1:25" ht="15" thickBot="1" x14ac:dyDescent="0.35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</row>
    <row r="800" spans="1:25" ht="15" thickBot="1" x14ac:dyDescent="0.35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</row>
    <row r="801" spans="1:25" ht="15" thickBot="1" x14ac:dyDescent="0.35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</row>
    <row r="802" spans="1:25" ht="15" thickBot="1" x14ac:dyDescent="0.35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</row>
    <row r="803" spans="1:25" ht="15" thickBot="1" x14ac:dyDescent="0.35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</row>
    <row r="804" spans="1:25" ht="15" thickBot="1" x14ac:dyDescent="0.35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</row>
    <row r="805" spans="1:25" ht="15" thickBot="1" x14ac:dyDescent="0.35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</row>
    <row r="806" spans="1:25" ht="15" thickBot="1" x14ac:dyDescent="0.35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</row>
    <row r="807" spans="1:25" ht="15" thickBot="1" x14ac:dyDescent="0.35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</row>
    <row r="808" spans="1:25" ht="15" thickBot="1" x14ac:dyDescent="0.35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</row>
    <row r="809" spans="1:25" ht="15" thickBot="1" x14ac:dyDescent="0.35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</row>
    <row r="810" spans="1:25" ht="15" thickBot="1" x14ac:dyDescent="0.35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</row>
    <row r="811" spans="1:25" ht="15" thickBot="1" x14ac:dyDescent="0.35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</row>
    <row r="812" spans="1:25" ht="15" thickBot="1" x14ac:dyDescent="0.35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</row>
    <row r="813" spans="1:25" ht="15" thickBot="1" x14ac:dyDescent="0.35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</row>
    <row r="814" spans="1:25" ht="15" thickBot="1" x14ac:dyDescent="0.35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</row>
    <row r="815" spans="1:25" ht="15" thickBot="1" x14ac:dyDescent="0.35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</row>
    <row r="816" spans="1:25" ht="15" thickBot="1" x14ac:dyDescent="0.35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</row>
    <row r="817" spans="1:25" ht="15" thickBot="1" x14ac:dyDescent="0.35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</row>
    <row r="818" spans="1:25" ht="15" thickBot="1" x14ac:dyDescent="0.35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</row>
    <row r="819" spans="1:25" ht="15" thickBot="1" x14ac:dyDescent="0.35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</row>
    <row r="820" spans="1:25" ht="15" thickBot="1" x14ac:dyDescent="0.35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</row>
    <row r="821" spans="1:25" ht="15" thickBot="1" x14ac:dyDescent="0.35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</row>
    <row r="822" spans="1:25" ht="15" thickBot="1" x14ac:dyDescent="0.35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</row>
    <row r="823" spans="1:25" ht="15" thickBot="1" x14ac:dyDescent="0.35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</row>
    <row r="824" spans="1:25" ht="15" thickBot="1" x14ac:dyDescent="0.35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</row>
    <row r="825" spans="1:25" ht="15" thickBot="1" x14ac:dyDescent="0.35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</row>
    <row r="826" spans="1:25" ht="15" thickBot="1" x14ac:dyDescent="0.35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</row>
    <row r="827" spans="1:25" ht="15" thickBot="1" x14ac:dyDescent="0.35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</row>
    <row r="828" spans="1:25" ht="15" thickBot="1" x14ac:dyDescent="0.35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</row>
    <row r="829" spans="1:25" ht="15" thickBot="1" x14ac:dyDescent="0.35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</row>
    <row r="830" spans="1:25" ht="15" thickBot="1" x14ac:dyDescent="0.35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</row>
    <row r="831" spans="1:25" ht="15" thickBot="1" x14ac:dyDescent="0.35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</row>
    <row r="832" spans="1:25" ht="15" thickBot="1" x14ac:dyDescent="0.35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</row>
    <row r="833" spans="1:25" ht="15" thickBot="1" x14ac:dyDescent="0.35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</row>
    <row r="834" spans="1:25" ht="15" thickBot="1" x14ac:dyDescent="0.35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</row>
    <row r="835" spans="1:25" ht="15" thickBot="1" x14ac:dyDescent="0.35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</row>
    <row r="836" spans="1:25" ht="15" thickBot="1" x14ac:dyDescent="0.35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</row>
    <row r="837" spans="1:25" ht="15" thickBot="1" x14ac:dyDescent="0.35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</row>
    <row r="838" spans="1:25" ht="15" thickBot="1" x14ac:dyDescent="0.35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</row>
    <row r="839" spans="1:25" ht="15" thickBot="1" x14ac:dyDescent="0.35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</row>
    <row r="840" spans="1:25" ht="15" thickBot="1" x14ac:dyDescent="0.35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</row>
    <row r="841" spans="1:25" ht="15" thickBot="1" x14ac:dyDescent="0.35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</row>
    <row r="842" spans="1:25" ht="15" thickBot="1" x14ac:dyDescent="0.35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</row>
    <row r="843" spans="1:25" ht="15" thickBot="1" x14ac:dyDescent="0.35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</row>
    <row r="844" spans="1:25" ht="15" thickBot="1" x14ac:dyDescent="0.35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</row>
    <row r="845" spans="1:25" ht="15" thickBot="1" x14ac:dyDescent="0.35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</row>
    <row r="846" spans="1:25" ht="15" thickBot="1" x14ac:dyDescent="0.35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</row>
    <row r="847" spans="1:25" ht="15" thickBot="1" x14ac:dyDescent="0.35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</row>
    <row r="848" spans="1:25" ht="15" thickBot="1" x14ac:dyDescent="0.35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</row>
    <row r="849" spans="1:25" ht="15" thickBot="1" x14ac:dyDescent="0.35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</row>
    <row r="850" spans="1:25" ht="15" thickBot="1" x14ac:dyDescent="0.35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</row>
    <row r="851" spans="1:25" ht="15" thickBot="1" x14ac:dyDescent="0.35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</row>
    <row r="852" spans="1:25" ht="15" thickBot="1" x14ac:dyDescent="0.35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</row>
    <row r="853" spans="1:25" ht="15" thickBot="1" x14ac:dyDescent="0.35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</row>
    <row r="854" spans="1:25" ht="15" thickBot="1" x14ac:dyDescent="0.35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</row>
    <row r="855" spans="1:25" ht="15" thickBot="1" x14ac:dyDescent="0.35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</row>
    <row r="856" spans="1:25" ht="15" thickBot="1" x14ac:dyDescent="0.35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</row>
    <row r="857" spans="1:25" ht="15" thickBot="1" x14ac:dyDescent="0.35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</row>
    <row r="858" spans="1:25" ht="15" thickBot="1" x14ac:dyDescent="0.35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</row>
    <row r="859" spans="1:25" ht="15" thickBot="1" x14ac:dyDescent="0.35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</row>
    <row r="860" spans="1:25" ht="15" thickBot="1" x14ac:dyDescent="0.35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</row>
    <row r="861" spans="1:25" ht="15" thickBot="1" x14ac:dyDescent="0.35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</row>
    <row r="862" spans="1:25" ht="15" thickBot="1" x14ac:dyDescent="0.35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</row>
    <row r="863" spans="1:25" ht="15" thickBot="1" x14ac:dyDescent="0.35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</row>
    <row r="864" spans="1:25" ht="15" thickBot="1" x14ac:dyDescent="0.35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</row>
    <row r="865" spans="1:25" ht="15" thickBot="1" x14ac:dyDescent="0.35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</row>
    <row r="866" spans="1:25" ht="15" thickBot="1" x14ac:dyDescent="0.35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</row>
    <row r="867" spans="1:25" ht="15" thickBot="1" x14ac:dyDescent="0.35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</row>
    <row r="868" spans="1:25" ht="15" thickBot="1" x14ac:dyDescent="0.35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</row>
    <row r="869" spans="1:25" ht="15" thickBot="1" x14ac:dyDescent="0.35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</row>
    <row r="870" spans="1:25" ht="15" thickBot="1" x14ac:dyDescent="0.35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</row>
    <row r="871" spans="1:25" ht="15" thickBot="1" x14ac:dyDescent="0.35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</row>
    <row r="872" spans="1:25" ht="15" thickBot="1" x14ac:dyDescent="0.35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</row>
    <row r="873" spans="1:25" ht="15" thickBot="1" x14ac:dyDescent="0.35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</row>
    <row r="874" spans="1:25" ht="15" thickBot="1" x14ac:dyDescent="0.35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</row>
    <row r="875" spans="1:25" ht="15" thickBot="1" x14ac:dyDescent="0.35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</row>
    <row r="876" spans="1:25" ht="15" thickBot="1" x14ac:dyDescent="0.35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</row>
    <row r="877" spans="1:25" ht="15" thickBot="1" x14ac:dyDescent="0.35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</row>
    <row r="878" spans="1:25" ht="15" thickBot="1" x14ac:dyDescent="0.35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</row>
    <row r="879" spans="1:25" ht="15" thickBot="1" x14ac:dyDescent="0.35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</row>
    <row r="880" spans="1:25" ht="15" thickBot="1" x14ac:dyDescent="0.35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</row>
    <row r="881" spans="1:25" ht="15" thickBot="1" x14ac:dyDescent="0.35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</row>
    <row r="882" spans="1:25" ht="15" thickBot="1" x14ac:dyDescent="0.35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</row>
    <row r="883" spans="1:25" ht="15" thickBot="1" x14ac:dyDescent="0.35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</row>
    <row r="884" spans="1:25" ht="15" thickBot="1" x14ac:dyDescent="0.35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</row>
    <row r="885" spans="1:25" ht="15" thickBot="1" x14ac:dyDescent="0.35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</row>
    <row r="886" spans="1:25" ht="15" thickBot="1" x14ac:dyDescent="0.35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</row>
    <row r="887" spans="1:25" ht="15" thickBot="1" x14ac:dyDescent="0.35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</row>
    <row r="888" spans="1:25" ht="15" thickBot="1" x14ac:dyDescent="0.35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</row>
    <row r="889" spans="1:25" ht="15" thickBot="1" x14ac:dyDescent="0.35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</row>
    <row r="890" spans="1:25" ht="15" thickBot="1" x14ac:dyDescent="0.35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</row>
    <row r="891" spans="1:25" ht="15" thickBot="1" x14ac:dyDescent="0.35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</row>
    <row r="892" spans="1:25" ht="15" thickBot="1" x14ac:dyDescent="0.35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</row>
    <row r="893" spans="1:25" ht="15" thickBot="1" x14ac:dyDescent="0.35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</row>
    <row r="894" spans="1:25" ht="15" thickBot="1" x14ac:dyDescent="0.35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</row>
    <row r="895" spans="1:25" ht="15" thickBot="1" x14ac:dyDescent="0.35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</row>
    <row r="896" spans="1:25" ht="15" thickBot="1" x14ac:dyDescent="0.35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</row>
    <row r="897" spans="1:25" ht="15" thickBot="1" x14ac:dyDescent="0.35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</row>
    <row r="898" spans="1:25" ht="15" thickBot="1" x14ac:dyDescent="0.35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</row>
    <row r="899" spans="1:25" ht="15" thickBot="1" x14ac:dyDescent="0.35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</row>
    <row r="900" spans="1:25" ht="15" thickBot="1" x14ac:dyDescent="0.35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</row>
    <row r="901" spans="1:25" ht="15" thickBot="1" x14ac:dyDescent="0.35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</row>
    <row r="902" spans="1:25" ht="15" thickBot="1" x14ac:dyDescent="0.35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</row>
    <row r="903" spans="1:25" ht="15" thickBot="1" x14ac:dyDescent="0.35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</row>
    <row r="904" spans="1:25" ht="15" thickBot="1" x14ac:dyDescent="0.35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</row>
    <row r="905" spans="1:25" ht="15" thickBot="1" x14ac:dyDescent="0.35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</row>
    <row r="906" spans="1:25" ht="15" thickBot="1" x14ac:dyDescent="0.35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</row>
    <row r="907" spans="1:25" ht="15" thickBot="1" x14ac:dyDescent="0.35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</row>
    <row r="908" spans="1:25" ht="15" thickBot="1" x14ac:dyDescent="0.35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</row>
    <row r="909" spans="1:25" ht="15" thickBot="1" x14ac:dyDescent="0.35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</row>
    <row r="910" spans="1:25" ht="15" thickBot="1" x14ac:dyDescent="0.35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</row>
    <row r="911" spans="1:25" ht="15" thickBot="1" x14ac:dyDescent="0.35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</row>
    <row r="912" spans="1:25" ht="15" thickBot="1" x14ac:dyDescent="0.35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</row>
    <row r="913" spans="1:25" ht="15" thickBot="1" x14ac:dyDescent="0.35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</row>
    <row r="914" spans="1:25" ht="15" thickBot="1" x14ac:dyDescent="0.35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</row>
    <row r="915" spans="1:25" ht="15" thickBot="1" x14ac:dyDescent="0.35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</row>
    <row r="916" spans="1:25" ht="15" thickBot="1" x14ac:dyDescent="0.35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</row>
    <row r="917" spans="1:25" ht="15" thickBot="1" x14ac:dyDescent="0.35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</row>
    <row r="918" spans="1:25" ht="15" thickBot="1" x14ac:dyDescent="0.35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</row>
    <row r="919" spans="1:25" ht="15" thickBot="1" x14ac:dyDescent="0.35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</row>
    <row r="920" spans="1:25" ht="15" thickBot="1" x14ac:dyDescent="0.35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</row>
    <row r="921" spans="1:25" ht="15" thickBot="1" x14ac:dyDescent="0.35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</row>
    <row r="922" spans="1:25" ht="15" thickBot="1" x14ac:dyDescent="0.35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</row>
    <row r="923" spans="1:25" ht="15" thickBot="1" x14ac:dyDescent="0.35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</row>
    <row r="924" spans="1:25" ht="15" thickBot="1" x14ac:dyDescent="0.35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</row>
    <row r="925" spans="1:25" ht="15" thickBot="1" x14ac:dyDescent="0.35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</row>
    <row r="926" spans="1:25" ht="15" thickBot="1" x14ac:dyDescent="0.35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</row>
    <row r="927" spans="1:25" ht="15" thickBot="1" x14ac:dyDescent="0.35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</row>
    <row r="928" spans="1:25" ht="15" thickBot="1" x14ac:dyDescent="0.35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</row>
    <row r="929" spans="1:25" ht="15" thickBot="1" x14ac:dyDescent="0.35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</row>
    <row r="930" spans="1:25" ht="15" thickBot="1" x14ac:dyDescent="0.35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</row>
    <row r="931" spans="1:25" ht="15" thickBot="1" x14ac:dyDescent="0.35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</row>
    <row r="932" spans="1:25" ht="15" thickBot="1" x14ac:dyDescent="0.35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</row>
    <row r="933" spans="1:25" ht="15" thickBot="1" x14ac:dyDescent="0.35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</row>
    <row r="934" spans="1:25" ht="15" thickBot="1" x14ac:dyDescent="0.35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</row>
    <row r="935" spans="1:25" ht="15" thickBot="1" x14ac:dyDescent="0.35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</row>
    <row r="936" spans="1:25" ht="15" thickBot="1" x14ac:dyDescent="0.35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</row>
    <row r="937" spans="1:25" ht="15" thickBot="1" x14ac:dyDescent="0.35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</row>
    <row r="938" spans="1:25" ht="15" thickBot="1" x14ac:dyDescent="0.35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</row>
    <row r="939" spans="1:25" ht="15" thickBot="1" x14ac:dyDescent="0.35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</row>
    <row r="940" spans="1:25" ht="15" thickBot="1" x14ac:dyDescent="0.35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</row>
    <row r="941" spans="1:25" ht="15" thickBot="1" x14ac:dyDescent="0.35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</row>
    <row r="942" spans="1:25" ht="15" thickBot="1" x14ac:dyDescent="0.35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</row>
    <row r="943" spans="1:25" ht="15" thickBot="1" x14ac:dyDescent="0.35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</row>
    <row r="944" spans="1:25" ht="15" thickBot="1" x14ac:dyDescent="0.35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</row>
    <row r="945" spans="1:25" ht="15" thickBot="1" x14ac:dyDescent="0.35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</row>
    <row r="946" spans="1:25" ht="15" thickBot="1" x14ac:dyDescent="0.35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</row>
    <row r="947" spans="1:25" ht="15" thickBot="1" x14ac:dyDescent="0.35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</row>
    <row r="948" spans="1:25" ht="15" thickBot="1" x14ac:dyDescent="0.35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</row>
    <row r="949" spans="1:25" ht="15" thickBot="1" x14ac:dyDescent="0.35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</row>
    <row r="950" spans="1:25" ht="15" thickBot="1" x14ac:dyDescent="0.35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</row>
    <row r="951" spans="1:25" ht="15" thickBot="1" x14ac:dyDescent="0.35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</row>
    <row r="952" spans="1:25" ht="15" thickBot="1" x14ac:dyDescent="0.35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</row>
    <row r="953" spans="1:25" ht="15" thickBot="1" x14ac:dyDescent="0.35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</row>
    <row r="954" spans="1:25" ht="15" thickBot="1" x14ac:dyDescent="0.35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</row>
    <row r="955" spans="1:25" ht="15" thickBot="1" x14ac:dyDescent="0.35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</row>
    <row r="956" spans="1:25" ht="15" thickBot="1" x14ac:dyDescent="0.35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</row>
    <row r="957" spans="1:25" ht="15" thickBot="1" x14ac:dyDescent="0.35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</row>
    <row r="958" spans="1:25" ht="15" thickBot="1" x14ac:dyDescent="0.35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</row>
    <row r="959" spans="1:25" ht="15" thickBot="1" x14ac:dyDescent="0.35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</row>
    <row r="960" spans="1:25" ht="15" thickBot="1" x14ac:dyDescent="0.35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</row>
    <row r="961" spans="1:25" ht="15" thickBot="1" x14ac:dyDescent="0.35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</row>
    <row r="962" spans="1:25" ht="15" thickBot="1" x14ac:dyDescent="0.35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</row>
    <row r="963" spans="1:25" ht="15" thickBot="1" x14ac:dyDescent="0.35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</row>
    <row r="964" spans="1:25" ht="15" thickBot="1" x14ac:dyDescent="0.35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</row>
    <row r="965" spans="1:25" ht="15" thickBot="1" x14ac:dyDescent="0.35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</row>
    <row r="966" spans="1:25" ht="15" thickBot="1" x14ac:dyDescent="0.35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</row>
    <row r="967" spans="1:25" ht="15" thickBot="1" x14ac:dyDescent="0.35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</row>
    <row r="968" spans="1:25" ht="15" thickBot="1" x14ac:dyDescent="0.35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</row>
    <row r="969" spans="1:25" ht="15" thickBot="1" x14ac:dyDescent="0.35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</row>
    <row r="970" spans="1:25" ht="15" thickBot="1" x14ac:dyDescent="0.35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</row>
    <row r="971" spans="1:25" ht="15" thickBot="1" x14ac:dyDescent="0.35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</row>
    <row r="972" spans="1:25" ht="15" thickBot="1" x14ac:dyDescent="0.35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</row>
    <row r="973" spans="1:25" ht="15" thickBot="1" x14ac:dyDescent="0.35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</row>
    <row r="974" spans="1:25" ht="15" thickBot="1" x14ac:dyDescent="0.35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</row>
    <row r="975" spans="1:25" ht="15" thickBot="1" x14ac:dyDescent="0.35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</row>
    <row r="976" spans="1:25" ht="15" thickBot="1" x14ac:dyDescent="0.35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</row>
    <row r="977" spans="1:25" ht="15" thickBot="1" x14ac:dyDescent="0.35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</row>
    <row r="978" spans="1:25" ht="15" thickBot="1" x14ac:dyDescent="0.35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</row>
    <row r="979" spans="1:25" ht="15" thickBot="1" x14ac:dyDescent="0.35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</row>
    <row r="980" spans="1:25" ht="15" thickBot="1" x14ac:dyDescent="0.35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</row>
    <row r="981" spans="1:25" ht="15" thickBot="1" x14ac:dyDescent="0.35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</row>
    <row r="982" spans="1:25" ht="15" thickBot="1" x14ac:dyDescent="0.35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</row>
    <row r="983" spans="1:25" ht="15" thickBot="1" x14ac:dyDescent="0.35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</row>
    <row r="984" spans="1:25" ht="15" thickBot="1" x14ac:dyDescent="0.35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</row>
    <row r="985" spans="1:25" ht="15" thickBot="1" x14ac:dyDescent="0.35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</row>
    <row r="986" spans="1:25" ht="15" thickBot="1" x14ac:dyDescent="0.35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</row>
    <row r="987" spans="1:25" ht="15" thickBot="1" x14ac:dyDescent="0.35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</row>
    <row r="988" spans="1:25" ht="15" thickBot="1" x14ac:dyDescent="0.35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</row>
    <row r="989" spans="1:25" ht="15" thickBot="1" x14ac:dyDescent="0.35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</row>
    <row r="990" spans="1:25" ht="15" thickBot="1" x14ac:dyDescent="0.35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</row>
    <row r="991" spans="1:25" ht="15" thickBot="1" x14ac:dyDescent="0.35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</row>
    <row r="992" spans="1:25" ht="15" thickBot="1" x14ac:dyDescent="0.35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</row>
    <row r="993" spans="1:25" ht="15" thickBot="1" x14ac:dyDescent="0.35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</row>
    <row r="994" spans="1:25" ht="15" thickBot="1" x14ac:dyDescent="0.35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</row>
    <row r="995" spans="1:25" ht="15" thickBot="1" x14ac:dyDescent="0.35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</row>
    <row r="996" spans="1:25" ht="15" thickBot="1" x14ac:dyDescent="0.35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</row>
    <row r="997" spans="1:25" ht="15" thickBot="1" x14ac:dyDescent="0.35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</row>
    <row r="998" spans="1:25" ht="15" thickBot="1" x14ac:dyDescent="0.35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</row>
    <row r="999" spans="1:25" ht="15" thickBot="1" x14ac:dyDescent="0.35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</row>
    <row r="1000" spans="1:25" ht="15" thickBot="1" x14ac:dyDescent="0.35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 First</vt:lpstr>
      <vt:lpstr>SARI_per_10x5pop_incomplete</vt:lpstr>
      <vt:lpstr>number of SARI_cases</vt:lpstr>
      <vt:lpstr>SARI_per_10x5pop</vt:lpstr>
      <vt:lpstr>Catchment population</vt:lpstr>
      <vt:lpstr>Positivity SARS-CoV-2</vt:lpstr>
      <vt:lpstr>Positivity Influenza</vt:lpstr>
      <vt:lpstr>Positivity RSV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2026-02-16T09:22:26Z</dcterms:modified>
</cp:coreProperties>
</file>