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F4B3491B-654E-436A-99D4-C7857F373D7D}" xr6:coauthVersionLast="47" xr6:coauthVersionMax="47" xr10:uidLastSave="{00000000-0000-0000-0000-000000000000}"/>
  <bookViews>
    <workbookView xWindow="28680" yWindow="-120" windowWidth="29040" windowHeight="15720" firstSheet="3" activeTab="5" xr2:uid="{00000000-000D-0000-FFFF-FFFF00000000}"/>
  </bookViews>
  <sheets>
    <sheet name="Read First" sheetId="9" r:id="rId1"/>
    <sheet name="DONT USE_number of SARI_cases" sheetId="3" r:id="rId2"/>
    <sheet name="USE_number of SARI_resident" sheetId="10" r:id="rId3"/>
    <sheet name="Catchment population" sheetId="8" r:id="rId4"/>
    <sheet name="SARI_per_10x5pop" sheetId="7" r:id="rId5"/>
    <sheet name="Positivity SARS-CoV-2" sheetId="4" r:id="rId6"/>
  </sheets>
  <definedNames>
    <definedName name="_xlnm._FilterDatabase" localSheetId="1" hidden="1">'DONT USE_number of SARI_cases'!$A$1:$L$66</definedName>
    <definedName name="_xlnm._FilterDatabase" localSheetId="5" hidden="1">'Positivity SARS-CoV-2'!$A$1:$N$105</definedName>
    <definedName name="_xlnm._FilterDatabase" localSheetId="4" hidden="1">SARI_per_10x5pop!$A$1:$T$66</definedName>
    <definedName name="_xlnm._FilterDatabase" localSheetId="2" hidden="1">'USE_number of SARI_resident'!$A$1:$K$66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4" l="1"/>
  <c r="L3" i="4"/>
  <c r="M3" i="4"/>
  <c r="N3" i="4"/>
  <c r="I4" i="4"/>
  <c r="L4" i="4"/>
  <c r="M4" i="4"/>
  <c r="N4" i="4"/>
  <c r="I5" i="4"/>
  <c r="J5" i="4"/>
  <c r="K5" i="4"/>
  <c r="L5" i="4"/>
  <c r="M5" i="4"/>
  <c r="N5" i="4"/>
  <c r="L6" i="4"/>
  <c r="M6" i="4"/>
  <c r="N6" i="4"/>
  <c r="K7" i="4"/>
  <c r="L7" i="4"/>
  <c r="M7" i="4"/>
  <c r="N7" i="4"/>
  <c r="K8" i="4"/>
  <c r="L8" i="4"/>
  <c r="M8" i="4"/>
  <c r="N8" i="4"/>
  <c r="J9" i="4"/>
  <c r="K9" i="4"/>
  <c r="L9" i="4"/>
  <c r="M9" i="4"/>
  <c r="N9" i="4"/>
  <c r="J10" i="4"/>
  <c r="L10" i="4"/>
  <c r="M10" i="4"/>
  <c r="N10" i="4"/>
  <c r="L11" i="4"/>
  <c r="M11" i="4"/>
  <c r="N11" i="4"/>
  <c r="I12" i="4"/>
  <c r="L12" i="4"/>
  <c r="M12" i="4"/>
  <c r="N12" i="4"/>
  <c r="I13" i="4"/>
  <c r="J13" i="4"/>
  <c r="K13" i="4"/>
  <c r="L13" i="4"/>
  <c r="M13" i="4"/>
  <c r="N13" i="4"/>
  <c r="K14" i="4"/>
  <c r="L14" i="4"/>
  <c r="M14" i="4"/>
  <c r="N14" i="4"/>
  <c r="L15" i="4"/>
  <c r="M15" i="4"/>
  <c r="N15" i="4"/>
  <c r="I16" i="4"/>
  <c r="K16" i="4"/>
  <c r="L16" i="4"/>
  <c r="M16" i="4"/>
  <c r="N16" i="4"/>
  <c r="K17" i="4"/>
  <c r="L17" i="4"/>
  <c r="M17" i="4"/>
  <c r="N17" i="4"/>
  <c r="K18" i="4"/>
  <c r="M18" i="4"/>
  <c r="N18" i="4"/>
  <c r="J19" i="4"/>
  <c r="K19" i="4"/>
  <c r="L19" i="4"/>
  <c r="M19" i="4"/>
  <c r="N19" i="4"/>
  <c r="J20" i="4"/>
  <c r="L20" i="4"/>
  <c r="M20" i="4"/>
  <c r="N20" i="4"/>
  <c r="L21" i="4"/>
  <c r="M21" i="4"/>
  <c r="N21" i="4"/>
  <c r="I22" i="4"/>
  <c r="L22" i="4"/>
  <c r="M22" i="4"/>
  <c r="N22" i="4"/>
  <c r="L23" i="4"/>
  <c r="M23" i="4"/>
  <c r="N23" i="4"/>
  <c r="J24" i="4"/>
  <c r="L24" i="4"/>
  <c r="M24" i="4"/>
  <c r="N24" i="4"/>
  <c r="K25" i="4"/>
  <c r="L25" i="4"/>
  <c r="M25" i="4"/>
  <c r="N25" i="4"/>
  <c r="I26" i="4"/>
  <c r="J26" i="4"/>
  <c r="L26" i="4"/>
  <c r="M26" i="4"/>
  <c r="N26" i="4"/>
  <c r="L27" i="4"/>
  <c r="M27" i="4"/>
  <c r="N27" i="4"/>
  <c r="L28" i="4"/>
  <c r="M28" i="4"/>
  <c r="N28" i="4"/>
  <c r="J29" i="4"/>
  <c r="K29" i="4"/>
  <c r="L29" i="4"/>
  <c r="M29" i="4"/>
  <c r="N29" i="4"/>
  <c r="L30" i="4"/>
  <c r="M30" i="4"/>
  <c r="N30" i="4"/>
  <c r="I31" i="4"/>
  <c r="K31" i="4"/>
  <c r="M31" i="4"/>
  <c r="N31" i="4"/>
  <c r="K32" i="4"/>
  <c r="L32" i="4"/>
  <c r="M32" i="4"/>
  <c r="N32" i="4"/>
  <c r="J33" i="4"/>
  <c r="L33" i="4"/>
  <c r="M33" i="4"/>
  <c r="N33" i="4"/>
  <c r="I34" i="4"/>
  <c r="L34" i="4"/>
  <c r="M34" i="4"/>
  <c r="N34" i="4"/>
  <c r="I35" i="4"/>
  <c r="K35" i="4"/>
  <c r="L35" i="4"/>
  <c r="M35" i="4"/>
  <c r="N35" i="4"/>
  <c r="I36" i="4"/>
  <c r="L36" i="4"/>
  <c r="M36" i="4"/>
  <c r="N36" i="4"/>
  <c r="K37" i="4"/>
  <c r="L37" i="4"/>
  <c r="M37" i="4"/>
  <c r="N37" i="4"/>
  <c r="L38" i="4"/>
  <c r="M38" i="4"/>
  <c r="N38" i="4"/>
  <c r="I39" i="4"/>
  <c r="K39" i="4"/>
  <c r="L39" i="4"/>
  <c r="M39" i="4"/>
  <c r="N39" i="4"/>
  <c r="I40" i="4"/>
  <c r="L40" i="4"/>
  <c r="M40" i="4"/>
  <c r="N40" i="4"/>
  <c r="L41" i="4"/>
  <c r="M41" i="4"/>
  <c r="N41" i="4"/>
  <c r="I42" i="4"/>
  <c r="K42" i="4"/>
  <c r="L42" i="4"/>
  <c r="M42" i="4"/>
  <c r="N42" i="4"/>
  <c r="L43" i="4"/>
  <c r="M43" i="4"/>
  <c r="N43" i="4"/>
  <c r="L44" i="4"/>
  <c r="M44" i="4"/>
  <c r="N44" i="4"/>
  <c r="K45" i="4"/>
  <c r="L45" i="4"/>
  <c r="M45" i="4"/>
  <c r="N45" i="4"/>
  <c r="I46" i="4"/>
  <c r="L46" i="4"/>
  <c r="M46" i="4"/>
  <c r="N46" i="4"/>
  <c r="I47" i="4"/>
  <c r="L47" i="4"/>
  <c r="M47" i="4"/>
  <c r="N47" i="4"/>
  <c r="I48" i="4"/>
  <c r="L48" i="4"/>
  <c r="M48" i="4"/>
  <c r="N48" i="4"/>
  <c r="I49" i="4"/>
  <c r="L49" i="4"/>
  <c r="M49" i="4"/>
  <c r="N49" i="4"/>
  <c r="I50" i="4"/>
  <c r="L50" i="4"/>
  <c r="M50" i="4"/>
  <c r="N50" i="4"/>
  <c r="L51" i="4"/>
  <c r="M51" i="4"/>
  <c r="N51" i="4"/>
  <c r="K52" i="4"/>
  <c r="L52" i="4"/>
  <c r="M52" i="4"/>
  <c r="N52" i="4"/>
  <c r="L53" i="4"/>
  <c r="M53" i="4"/>
  <c r="N53" i="4"/>
  <c r="I54" i="4"/>
  <c r="J54" i="4"/>
  <c r="L54" i="4"/>
  <c r="M54" i="4"/>
  <c r="N54" i="4"/>
  <c r="L55" i="4"/>
  <c r="M55" i="4"/>
  <c r="N55" i="4"/>
  <c r="L56" i="4"/>
  <c r="M56" i="4"/>
  <c r="N56" i="4"/>
  <c r="K57" i="4"/>
  <c r="L57" i="4"/>
  <c r="M57" i="4"/>
  <c r="N57" i="4"/>
  <c r="L58" i="4"/>
  <c r="M58" i="4"/>
  <c r="N58" i="4"/>
  <c r="K59" i="4"/>
  <c r="L59" i="4"/>
  <c r="M59" i="4"/>
  <c r="N59" i="4"/>
  <c r="L60" i="4"/>
  <c r="M60" i="4"/>
  <c r="N60" i="4"/>
  <c r="I61" i="4"/>
  <c r="L61" i="4"/>
  <c r="M61" i="4"/>
  <c r="N61" i="4"/>
  <c r="I62" i="4"/>
  <c r="K62" i="4"/>
  <c r="L62" i="4"/>
  <c r="M62" i="4"/>
  <c r="N62" i="4"/>
  <c r="L63" i="4"/>
  <c r="M63" i="4"/>
  <c r="N63" i="4"/>
  <c r="L64" i="4"/>
  <c r="M64" i="4"/>
  <c r="N64" i="4"/>
  <c r="L65" i="4"/>
  <c r="M65" i="4"/>
  <c r="N65" i="4"/>
  <c r="L66" i="4"/>
  <c r="M66" i="4"/>
  <c r="N66" i="4"/>
  <c r="L67" i="4"/>
  <c r="M67" i="4"/>
  <c r="N67" i="4"/>
  <c r="L68" i="4"/>
  <c r="M68" i="4"/>
  <c r="N68" i="4"/>
  <c r="I69" i="4"/>
  <c r="K69" i="4"/>
  <c r="L69" i="4"/>
  <c r="M69" i="4"/>
  <c r="N69" i="4"/>
  <c r="L70" i="4"/>
  <c r="M70" i="4"/>
  <c r="N70" i="4"/>
  <c r="L71" i="4"/>
  <c r="M71" i="4"/>
  <c r="N71" i="4"/>
  <c r="L72" i="4"/>
  <c r="M72" i="4"/>
  <c r="N72" i="4"/>
  <c r="I73" i="4"/>
  <c r="L73" i="4"/>
  <c r="M73" i="4"/>
  <c r="N73" i="4"/>
  <c r="L74" i="4"/>
  <c r="M74" i="4"/>
  <c r="N74" i="4"/>
  <c r="K75" i="4"/>
  <c r="L75" i="4"/>
  <c r="M75" i="4"/>
  <c r="N75" i="4"/>
  <c r="I76" i="4"/>
  <c r="L76" i="4"/>
  <c r="M76" i="4"/>
  <c r="N76" i="4"/>
  <c r="L77" i="4"/>
  <c r="M77" i="4"/>
  <c r="N77" i="4"/>
  <c r="I78" i="4"/>
  <c r="L78" i="4"/>
  <c r="M78" i="4"/>
  <c r="N78" i="4"/>
  <c r="I79" i="4"/>
  <c r="L79" i="4"/>
  <c r="M79" i="4"/>
  <c r="N79" i="4"/>
  <c r="L80" i="4"/>
  <c r="M80" i="4"/>
  <c r="N80" i="4"/>
  <c r="K81" i="4"/>
  <c r="L81" i="4"/>
  <c r="M81" i="4"/>
  <c r="N81" i="4"/>
  <c r="L82" i="4"/>
  <c r="M82" i="4"/>
  <c r="N82" i="4"/>
  <c r="J83" i="4"/>
  <c r="L83" i="4"/>
  <c r="M83" i="4"/>
  <c r="N83" i="4"/>
  <c r="L84" i="4"/>
  <c r="M84" i="4"/>
  <c r="N84" i="4"/>
  <c r="K85" i="4"/>
  <c r="M85" i="4"/>
  <c r="N85" i="4"/>
  <c r="L86" i="4"/>
  <c r="M86" i="4"/>
  <c r="N86" i="4"/>
  <c r="M87" i="4"/>
  <c r="N87" i="4"/>
  <c r="L88" i="4"/>
  <c r="M88" i="4"/>
  <c r="N88" i="4"/>
  <c r="M89" i="4"/>
  <c r="N89" i="4"/>
  <c r="L90" i="4"/>
  <c r="M90" i="4"/>
  <c r="N90" i="4"/>
  <c r="K91" i="4"/>
  <c r="L91" i="4"/>
  <c r="M91" i="4"/>
  <c r="N91" i="4"/>
  <c r="L92" i="4"/>
  <c r="M92" i="4"/>
  <c r="N92" i="4"/>
  <c r="K93" i="4"/>
  <c r="L93" i="4"/>
  <c r="M93" i="4"/>
  <c r="N93" i="4"/>
  <c r="L94" i="4"/>
  <c r="M94" i="4"/>
  <c r="N94" i="4"/>
  <c r="J95" i="4"/>
  <c r="L95" i="4"/>
  <c r="M95" i="4"/>
  <c r="N95" i="4"/>
  <c r="L96" i="4"/>
  <c r="M96" i="4"/>
  <c r="N96" i="4"/>
  <c r="L97" i="4"/>
  <c r="M97" i="4"/>
  <c r="N97" i="4"/>
  <c r="L98" i="4"/>
  <c r="M98" i="4"/>
  <c r="N98" i="4"/>
  <c r="L99" i="4"/>
  <c r="M99" i="4"/>
  <c r="N99" i="4"/>
  <c r="L100" i="4"/>
  <c r="M100" i="4"/>
  <c r="N100" i="4"/>
  <c r="L101" i="4"/>
  <c r="M101" i="4"/>
  <c r="N101" i="4"/>
  <c r="L102" i="4"/>
  <c r="M102" i="4"/>
  <c r="N102" i="4"/>
  <c r="I103" i="4"/>
  <c r="L103" i="4"/>
  <c r="M103" i="4"/>
  <c r="N103" i="4"/>
  <c r="I104" i="4"/>
  <c r="J104" i="4"/>
  <c r="K104" i="4"/>
  <c r="L104" i="4"/>
  <c r="M104" i="4"/>
  <c r="N104" i="4"/>
  <c r="L105" i="4"/>
  <c r="M105" i="4"/>
  <c r="N105" i="4"/>
  <c r="K2" i="4"/>
  <c r="L2" i="4"/>
  <c r="M2" i="4"/>
  <c r="N2" i="4"/>
  <c r="I2" i="4"/>
  <c r="O3" i="7"/>
  <c r="P3" i="7"/>
  <c r="Q3" i="7"/>
  <c r="R3" i="7"/>
  <c r="S3" i="7"/>
  <c r="T3" i="7"/>
  <c r="O4" i="7"/>
  <c r="P4" i="7"/>
  <c r="Q4" i="7"/>
  <c r="R4" i="7"/>
  <c r="S4" i="7"/>
  <c r="T4" i="7"/>
  <c r="O5" i="7"/>
  <c r="P5" i="7"/>
  <c r="Q5" i="7"/>
  <c r="R5" i="7"/>
  <c r="S5" i="7"/>
  <c r="T5" i="7"/>
  <c r="O6" i="7"/>
  <c r="P6" i="7"/>
  <c r="Q6" i="7"/>
  <c r="R6" i="7"/>
  <c r="S6" i="7"/>
  <c r="T6" i="7"/>
  <c r="O7" i="7"/>
  <c r="P7" i="7"/>
  <c r="Q7" i="7"/>
  <c r="R7" i="7"/>
  <c r="S7" i="7"/>
  <c r="T7" i="7"/>
  <c r="O8" i="7"/>
  <c r="P8" i="7"/>
  <c r="Q8" i="7"/>
  <c r="R8" i="7"/>
  <c r="S8" i="7"/>
  <c r="T8" i="7"/>
  <c r="O9" i="7"/>
  <c r="P9" i="7"/>
  <c r="Q9" i="7"/>
  <c r="R9" i="7"/>
  <c r="S9" i="7"/>
  <c r="T9" i="7"/>
  <c r="O10" i="7"/>
  <c r="P10" i="7"/>
  <c r="Q10" i="7"/>
  <c r="R10" i="7"/>
  <c r="S10" i="7"/>
  <c r="T10" i="7"/>
  <c r="O11" i="7"/>
  <c r="P11" i="7"/>
  <c r="Q11" i="7"/>
  <c r="R11" i="7"/>
  <c r="S11" i="7"/>
  <c r="T11" i="7"/>
  <c r="O12" i="7"/>
  <c r="P12" i="7"/>
  <c r="Q12" i="7"/>
  <c r="R12" i="7"/>
  <c r="S12" i="7"/>
  <c r="T12" i="7"/>
  <c r="O13" i="7"/>
  <c r="P13" i="7"/>
  <c r="Q13" i="7"/>
  <c r="R13" i="7"/>
  <c r="S13" i="7"/>
  <c r="T13" i="7"/>
  <c r="O14" i="7"/>
  <c r="P14" i="7"/>
  <c r="Q14" i="7"/>
  <c r="R14" i="7"/>
  <c r="S14" i="7"/>
  <c r="T14" i="7"/>
  <c r="O15" i="7"/>
  <c r="P15" i="7"/>
  <c r="Q15" i="7"/>
  <c r="R15" i="7"/>
  <c r="S15" i="7"/>
  <c r="T15" i="7"/>
  <c r="O16" i="7"/>
  <c r="P16" i="7"/>
  <c r="Q16" i="7"/>
  <c r="R16" i="7"/>
  <c r="S16" i="7"/>
  <c r="T16" i="7"/>
  <c r="O17" i="7"/>
  <c r="P17" i="7"/>
  <c r="Q17" i="7"/>
  <c r="R17" i="7"/>
  <c r="S17" i="7"/>
  <c r="T17" i="7"/>
  <c r="O18" i="7"/>
  <c r="P18" i="7"/>
  <c r="Q18" i="7"/>
  <c r="R18" i="7"/>
  <c r="S18" i="7"/>
  <c r="T18" i="7"/>
  <c r="O19" i="7"/>
  <c r="P19" i="7"/>
  <c r="Q19" i="7"/>
  <c r="R19" i="7"/>
  <c r="S19" i="7"/>
  <c r="T19" i="7"/>
  <c r="O20" i="7"/>
  <c r="P20" i="7"/>
  <c r="Q20" i="7"/>
  <c r="R20" i="7"/>
  <c r="S20" i="7"/>
  <c r="T20" i="7"/>
  <c r="O21" i="7"/>
  <c r="P21" i="7"/>
  <c r="Q21" i="7"/>
  <c r="R21" i="7"/>
  <c r="S21" i="7"/>
  <c r="T21" i="7"/>
  <c r="O22" i="7"/>
  <c r="P22" i="7"/>
  <c r="Q22" i="7"/>
  <c r="R22" i="7"/>
  <c r="S22" i="7"/>
  <c r="T22" i="7"/>
  <c r="O23" i="7"/>
  <c r="P23" i="7"/>
  <c r="Q23" i="7"/>
  <c r="R23" i="7"/>
  <c r="S23" i="7"/>
  <c r="T23" i="7"/>
  <c r="O24" i="7"/>
  <c r="P24" i="7"/>
  <c r="Q24" i="7"/>
  <c r="R24" i="7"/>
  <c r="S24" i="7"/>
  <c r="T24" i="7"/>
  <c r="O25" i="7"/>
  <c r="P25" i="7"/>
  <c r="Q25" i="7"/>
  <c r="R25" i="7"/>
  <c r="S25" i="7"/>
  <c r="T25" i="7"/>
  <c r="O26" i="7"/>
  <c r="P26" i="7"/>
  <c r="Q26" i="7"/>
  <c r="R26" i="7"/>
  <c r="S26" i="7"/>
  <c r="T26" i="7"/>
  <c r="O27" i="7"/>
  <c r="P27" i="7"/>
  <c r="Q27" i="7"/>
  <c r="R27" i="7"/>
  <c r="S27" i="7"/>
  <c r="T27" i="7"/>
  <c r="O28" i="7"/>
  <c r="P28" i="7"/>
  <c r="Q28" i="7"/>
  <c r="R28" i="7"/>
  <c r="S28" i="7"/>
  <c r="T28" i="7"/>
  <c r="O29" i="7"/>
  <c r="P29" i="7"/>
  <c r="Q29" i="7"/>
  <c r="R29" i="7"/>
  <c r="S29" i="7"/>
  <c r="T29" i="7"/>
  <c r="O30" i="7"/>
  <c r="P30" i="7"/>
  <c r="Q30" i="7"/>
  <c r="R30" i="7"/>
  <c r="S30" i="7"/>
  <c r="T30" i="7"/>
  <c r="O31" i="7"/>
  <c r="P31" i="7"/>
  <c r="Q31" i="7"/>
  <c r="R31" i="7"/>
  <c r="S31" i="7"/>
  <c r="T31" i="7"/>
  <c r="O32" i="7"/>
  <c r="P32" i="7"/>
  <c r="Q32" i="7"/>
  <c r="R32" i="7"/>
  <c r="S32" i="7"/>
  <c r="T32" i="7"/>
  <c r="O33" i="7"/>
  <c r="P33" i="7"/>
  <c r="Q33" i="7"/>
  <c r="R33" i="7"/>
  <c r="S33" i="7"/>
  <c r="T33" i="7"/>
  <c r="O34" i="7"/>
  <c r="P34" i="7"/>
  <c r="Q34" i="7"/>
  <c r="R34" i="7"/>
  <c r="S34" i="7"/>
  <c r="T34" i="7"/>
  <c r="O35" i="7"/>
  <c r="P35" i="7"/>
  <c r="Q35" i="7"/>
  <c r="R35" i="7"/>
  <c r="S35" i="7"/>
  <c r="T35" i="7"/>
  <c r="O36" i="7"/>
  <c r="P36" i="7"/>
  <c r="Q36" i="7"/>
  <c r="R36" i="7"/>
  <c r="S36" i="7"/>
  <c r="T36" i="7"/>
  <c r="O37" i="7"/>
  <c r="P37" i="7"/>
  <c r="Q37" i="7"/>
  <c r="R37" i="7"/>
  <c r="S37" i="7"/>
  <c r="T37" i="7"/>
  <c r="O38" i="7"/>
  <c r="P38" i="7"/>
  <c r="Q38" i="7"/>
  <c r="R38" i="7"/>
  <c r="S38" i="7"/>
  <c r="T38" i="7"/>
  <c r="O39" i="7"/>
  <c r="P39" i="7"/>
  <c r="Q39" i="7"/>
  <c r="R39" i="7"/>
  <c r="S39" i="7"/>
  <c r="T39" i="7"/>
  <c r="O40" i="7"/>
  <c r="P40" i="7"/>
  <c r="Q40" i="7"/>
  <c r="R40" i="7"/>
  <c r="S40" i="7"/>
  <c r="T40" i="7"/>
  <c r="O41" i="7"/>
  <c r="P41" i="7"/>
  <c r="Q41" i="7"/>
  <c r="R41" i="7"/>
  <c r="S41" i="7"/>
  <c r="T41" i="7"/>
  <c r="O42" i="7"/>
  <c r="P42" i="7"/>
  <c r="Q42" i="7"/>
  <c r="R42" i="7"/>
  <c r="S42" i="7"/>
  <c r="T42" i="7"/>
  <c r="O43" i="7"/>
  <c r="P43" i="7"/>
  <c r="Q43" i="7"/>
  <c r="R43" i="7"/>
  <c r="S43" i="7"/>
  <c r="T43" i="7"/>
  <c r="O44" i="7"/>
  <c r="P44" i="7"/>
  <c r="Q44" i="7"/>
  <c r="R44" i="7"/>
  <c r="S44" i="7"/>
  <c r="T44" i="7"/>
  <c r="O45" i="7"/>
  <c r="P45" i="7"/>
  <c r="Q45" i="7"/>
  <c r="R45" i="7"/>
  <c r="S45" i="7"/>
  <c r="T45" i="7"/>
  <c r="O46" i="7"/>
  <c r="P46" i="7"/>
  <c r="Q46" i="7"/>
  <c r="R46" i="7"/>
  <c r="S46" i="7"/>
  <c r="T46" i="7"/>
  <c r="O47" i="7"/>
  <c r="P47" i="7"/>
  <c r="Q47" i="7"/>
  <c r="R47" i="7"/>
  <c r="S47" i="7"/>
  <c r="T47" i="7"/>
  <c r="O48" i="7"/>
  <c r="P48" i="7"/>
  <c r="Q48" i="7"/>
  <c r="R48" i="7"/>
  <c r="S48" i="7"/>
  <c r="T48" i="7"/>
  <c r="O49" i="7"/>
  <c r="P49" i="7"/>
  <c r="Q49" i="7"/>
  <c r="R49" i="7"/>
  <c r="S49" i="7"/>
  <c r="T49" i="7"/>
  <c r="O50" i="7"/>
  <c r="P50" i="7"/>
  <c r="Q50" i="7"/>
  <c r="R50" i="7"/>
  <c r="S50" i="7"/>
  <c r="T50" i="7"/>
  <c r="O51" i="7"/>
  <c r="P51" i="7"/>
  <c r="Q51" i="7"/>
  <c r="R51" i="7"/>
  <c r="S51" i="7"/>
  <c r="T51" i="7"/>
  <c r="O52" i="7"/>
  <c r="P52" i="7"/>
  <c r="Q52" i="7"/>
  <c r="R52" i="7"/>
  <c r="S52" i="7"/>
  <c r="T52" i="7"/>
  <c r="O53" i="7"/>
  <c r="P53" i="7"/>
  <c r="Q53" i="7"/>
  <c r="R53" i="7"/>
  <c r="S53" i="7"/>
  <c r="T53" i="7"/>
  <c r="O54" i="7"/>
  <c r="P54" i="7"/>
  <c r="Q54" i="7"/>
  <c r="R54" i="7"/>
  <c r="S54" i="7"/>
  <c r="T54" i="7"/>
  <c r="O55" i="7"/>
  <c r="P55" i="7"/>
  <c r="Q55" i="7"/>
  <c r="R55" i="7"/>
  <c r="S55" i="7"/>
  <c r="T55" i="7"/>
  <c r="O56" i="7"/>
  <c r="P56" i="7"/>
  <c r="Q56" i="7"/>
  <c r="R56" i="7"/>
  <c r="S56" i="7"/>
  <c r="T56" i="7"/>
  <c r="O57" i="7"/>
  <c r="P57" i="7"/>
  <c r="Q57" i="7"/>
  <c r="R57" i="7"/>
  <c r="S57" i="7"/>
  <c r="T57" i="7"/>
  <c r="O58" i="7"/>
  <c r="P58" i="7"/>
  <c r="Q58" i="7"/>
  <c r="R58" i="7"/>
  <c r="S58" i="7"/>
  <c r="T58" i="7"/>
  <c r="O59" i="7"/>
  <c r="P59" i="7"/>
  <c r="Q59" i="7"/>
  <c r="R59" i="7"/>
  <c r="S59" i="7"/>
  <c r="T59" i="7"/>
  <c r="O60" i="7"/>
  <c r="P60" i="7"/>
  <c r="Q60" i="7"/>
  <c r="R60" i="7"/>
  <c r="S60" i="7"/>
  <c r="T60" i="7"/>
  <c r="O61" i="7"/>
  <c r="P61" i="7"/>
  <c r="Q61" i="7"/>
  <c r="R61" i="7"/>
  <c r="S61" i="7"/>
  <c r="T61" i="7"/>
  <c r="O62" i="7"/>
  <c r="P62" i="7"/>
  <c r="Q62" i="7"/>
  <c r="R62" i="7"/>
  <c r="S62" i="7"/>
  <c r="T62" i="7"/>
  <c r="O63" i="7"/>
  <c r="P63" i="7"/>
  <c r="Q63" i="7"/>
  <c r="R63" i="7"/>
  <c r="S63" i="7"/>
  <c r="T63" i="7"/>
  <c r="O64" i="7"/>
  <c r="P64" i="7"/>
  <c r="Q64" i="7"/>
  <c r="R64" i="7"/>
  <c r="S64" i="7"/>
  <c r="T64" i="7"/>
  <c r="O65" i="7"/>
  <c r="P65" i="7"/>
  <c r="Q65" i="7"/>
  <c r="R65" i="7"/>
  <c r="S65" i="7"/>
  <c r="T65" i="7"/>
  <c r="O66" i="7"/>
  <c r="P66" i="7"/>
  <c r="Q66" i="7"/>
  <c r="R66" i="7"/>
  <c r="S66" i="7"/>
  <c r="T66" i="7"/>
  <c r="T2" i="7"/>
  <c r="P2" i="7"/>
  <c r="Q2" i="7"/>
  <c r="R2" i="7"/>
  <c r="S2" i="7"/>
  <c r="O2" i="7"/>
</calcChain>
</file>

<file path=xl/sharedStrings.xml><?xml version="1.0" encoding="utf-8"?>
<sst xmlns="http://schemas.openxmlformats.org/spreadsheetml/2006/main" count="932" uniqueCount="157">
  <si>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</si>
  <si>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</si>
  <si>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</si>
  <si>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</si>
  <si>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</si>
  <si>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</si>
  <si>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</si>
  <si>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</si>
  <si>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</si>
  <si>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</si>
  <si>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</si>
  <si>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</si>
  <si>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</si>
  <si>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</si>
  <si>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</si>
  <si>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</si>
  <si>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</si>
  <si>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</si>
  <si>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</si>
  <si>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</si>
  <si>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</si>
  <si>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</si>
  <si>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</si>
  <si>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</si>
  <si>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</si>
  <si>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</si>
  <si>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</si>
  <si>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</si>
  <si>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</si>
  <si>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</si>
  <si>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</si>
  <si>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</si>
  <si>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</si>
  <si>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</si>
  <si>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</si>
  <si>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</si>
  <si>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</si>
  <si>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</si>
  <si>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</si>
  <si>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</si>
  <si>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</si>
  <si>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</si>
  <si>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</si>
  <si>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</si>
  <si>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</si>
  <si>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</si>
  <si>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</si>
  <si>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</si>
  <si>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</si>
  <si>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</si>
  <si>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</si>
  <si>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</si>
  <si>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</si>
  <si>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</si>
  <si>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</si>
  <si>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</si>
  <si>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</si>
  <si>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</si>
  <si>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</si>
  <si>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</si>
  <si>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</si>
  <si>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</si>
  <si>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</si>
  <si>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</si>
  <si>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</si>
  <si>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week</t>
  </si>
  <si>
    <t>country</t>
  </si>
  <si>
    <t>LU</t>
  </si>
  <si>
    <t>sc2_pos_0_4</t>
  </si>
  <si>
    <t>sc2_pos_5_14</t>
  </si>
  <si>
    <t>sc2_pos_15_29</t>
  </si>
  <si>
    <t>sc2_pos_30_64</t>
  </si>
  <si>
    <t>sc2_pos_total</t>
  </si>
  <si>
    <t>saricase0_4</t>
  </si>
  <si>
    <t>saricase05_14</t>
  </si>
  <si>
    <t>saricase_total</t>
  </si>
  <si>
    <t>saricase15_29</t>
  </si>
  <si>
    <t>saricase30_64</t>
  </si>
  <si>
    <t>saricase65+</t>
  </si>
  <si>
    <t>age 30-64</t>
  </si>
  <si>
    <t>age 65+</t>
  </si>
  <si>
    <t>Total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</si>
  <si>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</si>
  <si>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</si>
  <si>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</si>
  <si>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</si>
  <si>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</si>
  <si>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</si>
  <si>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</si>
  <si>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</si>
  <si>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</si>
  <si>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</si>
  <si>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</si>
  <si>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</si>
  <si>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</si>
  <si>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</si>
  <si>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</si>
  <si>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</si>
  <si>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</si>
  <si>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</si>
  <si>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</si>
  <si>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</si>
  <si>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</si>
  <si>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</si>
  <si>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</si>
  <si>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</si>
  <si>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</si>
  <si>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</si>
  <si>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</si>
  <si>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</si>
  <si>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</si>
  <si>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</si>
  <si>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</si>
  <si>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</si>
  <si>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</si>
  <si>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</si>
  <si>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</si>
  <si>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</si>
  <si>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</si>
  <si>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</si>
  <si>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</si>
  <si>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</si>
  <si>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</si>
  <si>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</si>
  <si>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</si>
  <si>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</si>
  <si>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</si>
  <si>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</si>
  <si>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</si>
  <si>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</si>
  <si>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</si>
  <si>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</si>
  <si>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</si>
  <si>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</si>
  <si>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 xml:space="preserve">Please complete the Excel sheets up to week 52 of 2025. </t>
  </si>
  <si>
    <t xml:space="preserve">Regarding number of SARI cases and SARI rates (Excel sheet SARI_per_10x5 pop). You can complete Excel sheets number of SARI_cases and Catchment population. Alternatively, you can complete the SARI-per_10x5pop sheet, as you did last year. </t>
  </si>
  <si>
    <t>Last year, you shared information for your first hospital. Please let us know if you wish to include information from a second hospital additionally, this year. We can discuss whether we should pool data from both hospitals or represent them separately.</t>
  </si>
  <si>
    <t xml:space="preserve">The template shows information from last year's report. You are welcome to update that information if you think it is inaccurate. </t>
  </si>
  <si>
    <t>denom_age 0-4</t>
  </si>
  <si>
    <t>denom_age 5-14</t>
  </si>
  <si>
    <t>denom_age 15-29</t>
  </si>
  <si>
    <t>saricaserate0_4</t>
  </si>
  <si>
    <t>saricaserate05_14</t>
  </si>
  <si>
    <t>saricaserate15_29</t>
  </si>
  <si>
    <t>saricaserate30_64</t>
  </si>
  <si>
    <t>saricaserate65plus</t>
  </si>
  <si>
    <t>saricaserate_total</t>
  </si>
  <si>
    <t>denom_age 30-64</t>
  </si>
  <si>
    <t>denom_age 65+</t>
  </si>
  <si>
    <t>denom_Total</t>
  </si>
  <si>
    <t>sc2_pos_65plus</t>
  </si>
  <si>
    <t>%_sc2_pos_0_4</t>
  </si>
  <si>
    <t>%_sc2_pos_5_14</t>
  </si>
  <si>
    <t>%_sc2_pos_15_29</t>
  </si>
  <si>
    <t>%_sc2_pos_30_64</t>
  </si>
  <si>
    <t>%_sc2_pos_65plus</t>
  </si>
  <si>
    <t>%_sc2_pos_total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</si>
</sst>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b/>
      <sz val="8"/>
      <color rgb="FF00000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Aptos Narrow"/>
      <family val="2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5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2" fillId="0" borderId="0" xfId="1"/>
    <xf numFmtId="0" fontId="1" fillId="0" borderId="1" xfId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0" fillId="2" borderId="0" xfId="0" applyFill="1"/>
    <xf numFmtId="1" fontId="0" fillId="0" borderId="1" xfId="0" applyNumberFormat="1" applyBorder="1"/>
    <xf numFmtId="3" fontId="0" fillId="0" borderId="0" xfId="0" applyNumberFormat="1"/>
    <xf numFmtId="9" fontId="2" fillId="0" borderId="1" xfId="0" applyNumberFormat="1" applyFont="1" applyBorder="1" applyAlignment="1">
      <alignment horizontal="left" vertical="center"/>
    </xf>
    <xf numFmtId="9" fontId="0" fillId="0" borderId="1" xfId="0" applyNumberFormat="1" applyBorder="1"/>
  </cellXfs>
  <cellStyles count="2">
    <cellStyle name="Normal" xfId="0" builtinId="0"/>
    <cellStyle name="Normal 2" xfId="1" xr:uid="{EC5054CD-3866-4D05-8BAE-D18C875FF9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1669-5EA5-407C-8FC5-E619FBA75317}">
  <dimension ref="A3:A6"/>
  <sheetViews>
    <sheetView workbookViewId="0">
      <selection activeCell="G29" sqref="G29"/>
    </sheetView>
  </sheetViews>
  <sheetFormatPr defaultColWidth="8.88671875" defaultRowHeight="14.4" x14ac:dyDescent="0.3"/>
  <cols>
    <col min="1" max="16384" width="8.88671875" style="20"/>
  </cols>
  <sheetData>
    <row r="3" spans="1:1" x14ac:dyDescent="0.3">
      <c r="A3" s="20" t="s">
        <v>134</v>
      </c>
    </row>
    <row r="4" spans="1:1" x14ac:dyDescent="0.3">
      <c r="A4" s="20" t="s">
        <v>137</v>
      </c>
    </row>
    <row r="5" spans="1:1" x14ac:dyDescent="0.3">
      <c r="A5" s="20" t="s">
        <v>135</v>
      </c>
    </row>
    <row r="6" spans="1:1" x14ac:dyDescent="0.3">
      <c r="A6" s="20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AC718-715F-4B32-B96D-7F3E77229D47}">
  <dimension ref="A1:H118"/>
  <sheetViews>
    <sheetView workbookViewId="0">
      <pane xSplit="1" ySplit="1" topLeftCell="C92" activePane="bottomRight" state="frozen"/>
      <selection pane="topRight" activeCell="B1" sqref="B1"/>
      <selection pane="bottomLeft" activeCell="A2" sqref="A2"/>
      <selection pane="bottomRight" activeCell="F128" sqref="F128"/>
    </sheetView>
  </sheetViews>
  <sheetFormatPr defaultRowHeight="14.4" x14ac:dyDescent="0.3"/>
  <cols>
    <col min="2" max="2" width="17.33203125" customWidth="1"/>
    <col min="3" max="3" width="16.5546875" customWidth="1"/>
    <col min="4" max="4" width="17" customWidth="1"/>
    <col min="5" max="5" width="15.88671875" customWidth="1"/>
    <col min="6" max="6" width="16.109375" bestFit="1" customWidth="1"/>
    <col min="7" max="7" width="14.33203125" customWidth="1"/>
    <col min="8" max="8" width="17.6640625" customWidth="1"/>
  </cols>
  <sheetData>
    <row r="1" spans="1:8" x14ac:dyDescent="0.3">
      <c r="A1" s="7" t="s">
        <v>66</v>
      </c>
      <c r="B1" s="8" t="s">
        <v>65</v>
      </c>
      <c r="C1" s="2" t="s">
        <v>73</v>
      </c>
      <c r="D1" s="3" t="s">
        <v>74</v>
      </c>
      <c r="E1" s="2" t="s">
        <v>76</v>
      </c>
      <c r="F1" s="2" t="s">
        <v>77</v>
      </c>
      <c r="G1" s="2" t="s">
        <v>78</v>
      </c>
      <c r="H1" s="2" t="s">
        <v>75</v>
      </c>
    </row>
    <row r="2" spans="1:8" x14ac:dyDescent="0.3">
      <c r="A2" s="9" t="s">
        <v>67</v>
      </c>
      <c r="B2" s="10" t="s">
        <v>0</v>
      </c>
      <c r="C2" s="11">
        <v>1</v>
      </c>
      <c r="D2" s="12">
        <v>0</v>
      </c>
      <c r="E2" s="11">
        <v>0</v>
      </c>
      <c r="F2" s="11">
        <v>4</v>
      </c>
      <c r="G2" s="11">
        <v>17</v>
      </c>
      <c r="H2" s="11">
        <v>22</v>
      </c>
    </row>
    <row r="3" spans="1:8" x14ac:dyDescent="0.3">
      <c r="A3" s="9" t="s">
        <v>67</v>
      </c>
      <c r="B3" s="10" t="s">
        <v>1</v>
      </c>
      <c r="C3" s="11">
        <v>2</v>
      </c>
      <c r="D3" s="12">
        <v>0</v>
      </c>
      <c r="E3" s="11">
        <v>2</v>
      </c>
      <c r="F3" s="11">
        <v>6</v>
      </c>
      <c r="G3" s="11">
        <v>21</v>
      </c>
      <c r="H3" s="11">
        <v>31</v>
      </c>
    </row>
    <row r="4" spans="1:8" x14ac:dyDescent="0.3">
      <c r="A4" s="9" t="s">
        <v>67</v>
      </c>
      <c r="B4" s="10" t="s">
        <v>2</v>
      </c>
      <c r="C4" s="11">
        <v>1</v>
      </c>
      <c r="D4" s="12">
        <v>0</v>
      </c>
      <c r="E4" s="11">
        <v>0</v>
      </c>
      <c r="F4" s="11">
        <v>6</v>
      </c>
      <c r="G4" s="11">
        <v>24</v>
      </c>
      <c r="H4" s="11">
        <v>31</v>
      </c>
    </row>
    <row r="5" spans="1:8" x14ac:dyDescent="0.3">
      <c r="A5" s="9" t="s">
        <v>67</v>
      </c>
      <c r="B5" s="10" t="s">
        <v>3</v>
      </c>
      <c r="C5" s="11">
        <v>6</v>
      </c>
      <c r="D5" s="12">
        <v>0</v>
      </c>
      <c r="E5" s="11">
        <v>0</v>
      </c>
      <c r="F5" s="11">
        <v>6</v>
      </c>
      <c r="G5" s="11">
        <v>20</v>
      </c>
      <c r="H5" s="11">
        <v>32</v>
      </c>
    </row>
    <row r="6" spans="1:8" x14ac:dyDescent="0.3">
      <c r="A6" s="9" t="s">
        <v>67</v>
      </c>
      <c r="B6" s="10" t="s">
        <v>4</v>
      </c>
      <c r="C6" s="11">
        <v>0</v>
      </c>
      <c r="D6" s="12">
        <v>1</v>
      </c>
      <c r="E6" s="11">
        <v>2</v>
      </c>
      <c r="F6" s="11">
        <v>10</v>
      </c>
      <c r="G6" s="11">
        <v>20</v>
      </c>
      <c r="H6" s="11">
        <v>33</v>
      </c>
    </row>
    <row r="7" spans="1:8" x14ac:dyDescent="0.3">
      <c r="A7" s="9" t="s">
        <v>67</v>
      </c>
      <c r="B7" s="10" t="s">
        <v>5</v>
      </c>
      <c r="C7" s="11">
        <v>1</v>
      </c>
      <c r="D7" s="12">
        <v>0</v>
      </c>
      <c r="E7" s="11">
        <v>1</v>
      </c>
      <c r="F7" s="11">
        <v>4</v>
      </c>
      <c r="G7" s="11">
        <v>16</v>
      </c>
      <c r="H7" s="11">
        <v>22</v>
      </c>
    </row>
    <row r="8" spans="1:8" x14ac:dyDescent="0.3">
      <c r="A8" s="9" t="s">
        <v>67</v>
      </c>
      <c r="B8" s="10" t="s">
        <v>6</v>
      </c>
      <c r="C8" s="11">
        <v>3</v>
      </c>
      <c r="D8" s="12">
        <v>1</v>
      </c>
      <c r="E8" s="11">
        <v>0</v>
      </c>
      <c r="F8" s="11">
        <v>5</v>
      </c>
      <c r="G8" s="11">
        <v>13</v>
      </c>
      <c r="H8" s="11">
        <v>22</v>
      </c>
    </row>
    <row r="9" spans="1:8" x14ac:dyDescent="0.3">
      <c r="A9" s="9" t="s">
        <v>67</v>
      </c>
      <c r="B9" s="10" t="s">
        <v>7</v>
      </c>
      <c r="C9" s="11">
        <v>4</v>
      </c>
      <c r="D9" s="12">
        <v>0</v>
      </c>
      <c r="E9" s="11">
        <v>1</v>
      </c>
      <c r="F9" s="11">
        <v>4</v>
      </c>
      <c r="G9" s="11">
        <v>17</v>
      </c>
      <c r="H9" s="11">
        <v>26</v>
      </c>
    </row>
    <row r="10" spans="1:8" x14ac:dyDescent="0.3">
      <c r="A10" s="9" t="s">
        <v>67</v>
      </c>
      <c r="B10" s="10" t="s">
        <v>8</v>
      </c>
      <c r="C10" s="11">
        <v>5</v>
      </c>
      <c r="D10" s="12">
        <v>0</v>
      </c>
      <c r="E10" s="11">
        <v>0</v>
      </c>
      <c r="F10" s="11">
        <v>10</v>
      </c>
      <c r="G10" s="11">
        <v>18</v>
      </c>
      <c r="H10" s="11">
        <v>33</v>
      </c>
    </row>
    <row r="11" spans="1:8" x14ac:dyDescent="0.3">
      <c r="A11" s="9" t="s">
        <v>67</v>
      </c>
      <c r="B11" s="10" t="s">
        <v>9</v>
      </c>
      <c r="C11" s="11">
        <v>3</v>
      </c>
      <c r="D11" s="12">
        <v>5</v>
      </c>
      <c r="E11" s="11">
        <v>1</v>
      </c>
      <c r="F11" s="11">
        <v>8</v>
      </c>
      <c r="G11" s="11">
        <v>28</v>
      </c>
      <c r="H11" s="11">
        <v>45</v>
      </c>
    </row>
    <row r="12" spans="1:8" x14ac:dyDescent="0.3">
      <c r="A12" s="9" t="s">
        <v>67</v>
      </c>
      <c r="B12" s="10" t="s">
        <v>10</v>
      </c>
      <c r="C12" s="11">
        <v>3</v>
      </c>
      <c r="D12" s="12">
        <v>0</v>
      </c>
      <c r="E12" s="11">
        <v>0</v>
      </c>
      <c r="F12" s="11">
        <v>4</v>
      </c>
      <c r="G12" s="11">
        <v>30</v>
      </c>
      <c r="H12" s="11">
        <v>37</v>
      </c>
    </row>
    <row r="13" spans="1:8" x14ac:dyDescent="0.3">
      <c r="A13" s="9" t="s">
        <v>67</v>
      </c>
      <c r="B13" s="10" t="s">
        <v>11</v>
      </c>
      <c r="C13" s="11">
        <v>2</v>
      </c>
      <c r="D13" s="12">
        <v>2</v>
      </c>
      <c r="E13" s="11">
        <v>1</v>
      </c>
      <c r="F13" s="11">
        <v>10</v>
      </c>
      <c r="G13" s="11">
        <v>35</v>
      </c>
      <c r="H13" s="11">
        <v>50</v>
      </c>
    </row>
    <row r="14" spans="1:8" x14ac:dyDescent="0.3">
      <c r="A14" s="9" t="s">
        <v>67</v>
      </c>
      <c r="B14" s="10" t="s">
        <v>12</v>
      </c>
      <c r="C14" s="11">
        <v>1</v>
      </c>
      <c r="D14" s="12">
        <v>0</v>
      </c>
      <c r="E14" s="11">
        <v>0</v>
      </c>
      <c r="F14" s="11">
        <v>14</v>
      </c>
      <c r="G14" s="11">
        <v>45</v>
      </c>
      <c r="H14" s="11">
        <v>60</v>
      </c>
    </row>
    <row r="15" spans="1:8" x14ac:dyDescent="0.3">
      <c r="A15" s="9" t="s">
        <v>67</v>
      </c>
      <c r="B15" s="10" t="s">
        <v>13</v>
      </c>
      <c r="C15" s="11">
        <v>4</v>
      </c>
      <c r="D15" s="11">
        <v>1</v>
      </c>
      <c r="E15" s="11">
        <v>1</v>
      </c>
      <c r="F15" s="11">
        <v>15</v>
      </c>
      <c r="G15" s="11">
        <v>50</v>
      </c>
      <c r="H15" s="11">
        <v>71</v>
      </c>
    </row>
    <row r="16" spans="1:8" x14ac:dyDescent="0.3">
      <c r="A16" s="9" t="s">
        <v>67</v>
      </c>
      <c r="B16" s="10" t="s">
        <v>14</v>
      </c>
      <c r="C16" s="11">
        <v>0</v>
      </c>
      <c r="D16" s="11">
        <v>1</v>
      </c>
      <c r="E16" s="11">
        <v>0</v>
      </c>
      <c r="F16" s="11">
        <v>6</v>
      </c>
      <c r="G16" s="11">
        <v>19</v>
      </c>
      <c r="H16" s="11">
        <v>26</v>
      </c>
    </row>
    <row r="17" spans="1:8" x14ac:dyDescent="0.3">
      <c r="A17" s="9" t="s">
        <v>67</v>
      </c>
      <c r="B17" s="10" t="s">
        <v>15</v>
      </c>
      <c r="C17" s="11">
        <v>3</v>
      </c>
      <c r="D17" s="11">
        <v>0</v>
      </c>
      <c r="E17" s="11">
        <v>0</v>
      </c>
      <c r="F17" s="11">
        <v>7</v>
      </c>
      <c r="G17" s="11">
        <v>21</v>
      </c>
      <c r="H17" s="11">
        <v>31</v>
      </c>
    </row>
    <row r="18" spans="1:8" x14ac:dyDescent="0.3">
      <c r="A18" s="9" t="s">
        <v>67</v>
      </c>
      <c r="B18" s="10" t="s">
        <v>16</v>
      </c>
      <c r="C18" s="11">
        <v>2</v>
      </c>
      <c r="D18" s="11">
        <v>2</v>
      </c>
      <c r="E18" s="11">
        <v>1</v>
      </c>
      <c r="F18" s="11">
        <v>12</v>
      </c>
      <c r="G18" s="11">
        <v>21</v>
      </c>
      <c r="H18" s="11">
        <v>38</v>
      </c>
    </row>
    <row r="19" spans="1:8" x14ac:dyDescent="0.3">
      <c r="A19" s="9" t="s">
        <v>67</v>
      </c>
      <c r="B19" s="10" t="s">
        <v>17</v>
      </c>
      <c r="C19" s="11">
        <v>4</v>
      </c>
      <c r="D19" s="11">
        <v>4</v>
      </c>
      <c r="E19" s="11">
        <v>0</v>
      </c>
      <c r="F19" s="11">
        <v>6</v>
      </c>
      <c r="G19" s="11">
        <v>33</v>
      </c>
      <c r="H19" s="11">
        <v>47</v>
      </c>
    </row>
    <row r="20" spans="1:8" x14ac:dyDescent="0.3">
      <c r="A20" s="9" t="s">
        <v>67</v>
      </c>
      <c r="B20" s="10" t="s">
        <v>18</v>
      </c>
      <c r="C20" s="11">
        <v>3</v>
      </c>
      <c r="D20" s="11">
        <v>2</v>
      </c>
      <c r="E20" s="11">
        <v>1</v>
      </c>
      <c r="F20" s="11">
        <v>5</v>
      </c>
      <c r="G20" s="11">
        <v>29</v>
      </c>
      <c r="H20" s="11">
        <v>40</v>
      </c>
    </row>
    <row r="21" spans="1:8" x14ac:dyDescent="0.3">
      <c r="A21" s="9" t="s">
        <v>67</v>
      </c>
      <c r="B21" s="10" t="s">
        <v>19</v>
      </c>
      <c r="C21" s="11">
        <v>1</v>
      </c>
      <c r="D21" s="11">
        <v>0</v>
      </c>
      <c r="E21" s="11">
        <v>1</v>
      </c>
      <c r="F21" s="11">
        <v>8</v>
      </c>
      <c r="G21" s="11">
        <v>20</v>
      </c>
      <c r="H21" s="11">
        <v>30</v>
      </c>
    </row>
    <row r="22" spans="1:8" x14ac:dyDescent="0.3">
      <c r="A22" s="9" t="s">
        <v>67</v>
      </c>
      <c r="B22" s="10" t="s">
        <v>20</v>
      </c>
      <c r="C22" s="11">
        <v>0</v>
      </c>
      <c r="D22" s="11">
        <v>2</v>
      </c>
      <c r="E22" s="11">
        <v>1</v>
      </c>
      <c r="F22" s="11">
        <v>5</v>
      </c>
      <c r="G22" s="11">
        <v>18</v>
      </c>
      <c r="H22" s="11">
        <v>26</v>
      </c>
    </row>
    <row r="23" spans="1:8" x14ac:dyDescent="0.3">
      <c r="A23" s="9" t="s">
        <v>67</v>
      </c>
      <c r="B23" s="10" t="s">
        <v>21</v>
      </c>
      <c r="C23" s="11">
        <v>0</v>
      </c>
      <c r="D23" s="11">
        <v>2</v>
      </c>
      <c r="E23" s="11">
        <v>0</v>
      </c>
      <c r="F23" s="11">
        <v>6</v>
      </c>
      <c r="G23" s="11">
        <v>22</v>
      </c>
      <c r="H23" s="11">
        <v>30</v>
      </c>
    </row>
    <row r="24" spans="1:8" x14ac:dyDescent="0.3">
      <c r="A24" s="9" t="s">
        <v>67</v>
      </c>
      <c r="B24" s="10" t="s">
        <v>22</v>
      </c>
      <c r="C24" s="11">
        <v>2</v>
      </c>
      <c r="D24" s="11">
        <v>0</v>
      </c>
      <c r="E24" s="11">
        <v>0</v>
      </c>
      <c r="F24" s="11">
        <v>7</v>
      </c>
      <c r="G24" s="11">
        <v>18</v>
      </c>
      <c r="H24" s="11">
        <v>27</v>
      </c>
    </row>
    <row r="25" spans="1:8" x14ac:dyDescent="0.3">
      <c r="A25" s="9" t="s">
        <v>67</v>
      </c>
      <c r="B25" s="10" t="s">
        <v>23</v>
      </c>
      <c r="C25" s="11">
        <v>1</v>
      </c>
      <c r="D25" s="11">
        <v>0</v>
      </c>
      <c r="E25" s="11">
        <v>0</v>
      </c>
      <c r="F25" s="11">
        <v>4</v>
      </c>
      <c r="G25" s="11">
        <v>19</v>
      </c>
      <c r="H25" s="11">
        <v>24</v>
      </c>
    </row>
    <row r="26" spans="1:8" x14ac:dyDescent="0.3">
      <c r="A26" s="9" t="s">
        <v>67</v>
      </c>
      <c r="B26" s="10" t="s">
        <v>24</v>
      </c>
      <c r="C26" s="11">
        <v>3</v>
      </c>
      <c r="D26" s="11">
        <v>1</v>
      </c>
      <c r="E26" s="11">
        <v>2</v>
      </c>
      <c r="F26" s="11">
        <v>14</v>
      </c>
      <c r="G26" s="11">
        <v>16</v>
      </c>
      <c r="H26" s="11">
        <v>36</v>
      </c>
    </row>
    <row r="27" spans="1:8" x14ac:dyDescent="0.3">
      <c r="A27" s="9" t="s">
        <v>67</v>
      </c>
      <c r="B27" s="10" t="s">
        <v>25</v>
      </c>
      <c r="C27" s="11">
        <v>0</v>
      </c>
      <c r="D27" s="11">
        <v>1</v>
      </c>
      <c r="E27" s="11">
        <v>1</v>
      </c>
      <c r="F27" s="11">
        <v>10</v>
      </c>
      <c r="G27" s="11">
        <v>22</v>
      </c>
      <c r="H27" s="11">
        <v>34</v>
      </c>
    </row>
    <row r="28" spans="1:8" x14ac:dyDescent="0.3">
      <c r="A28" s="9" t="s">
        <v>67</v>
      </c>
      <c r="B28" s="10" t="s">
        <v>26</v>
      </c>
      <c r="C28" s="11">
        <v>0</v>
      </c>
      <c r="D28" s="11">
        <v>0</v>
      </c>
      <c r="E28" s="11">
        <v>0</v>
      </c>
      <c r="F28" s="11">
        <v>7</v>
      </c>
      <c r="G28" s="11">
        <v>17</v>
      </c>
      <c r="H28" s="11">
        <v>24</v>
      </c>
    </row>
    <row r="29" spans="1:8" x14ac:dyDescent="0.3">
      <c r="A29" s="9" t="s">
        <v>67</v>
      </c>
      <c r="B29" s="10" t="s">
        <v>27</v>
      </c>
      <c r="C29" s="11">
        <v>1</v>
      </c>
      <c r="D29" s="11">
        <v>0</v>
      </c>
      <c r="E29" s="11">
        <v>1</v>
      </c>
      <c r="F29" s="11">
        <v>7</v>
      </c>
      <c r="G29" s="11">
        <v>22</v>
      </c>
      <c r="H29" s="11">
        <v>31</v>
      </c>
    </row>
    <row r="30" spans="1:8" x14ac:dyDescent="0.3">
      <c r="A30" s="9" t="s">
        <v>67</v>
      </c>
      <c r="B30" s="10" t="s">
        <v>28</v>
      </c>
      <c r="C30" s="11">
        <v>0</v>
      </c>
      <c r="D30" s="11">
        <v>2</v>
      </c>
      <c r="E30" s="11">
        <v>1</v>
      </c>
      <c r="F30" s="11">
        <v>3</v>
      </c>
      <c r="G30" s="11">
        <v>14</v>
      </c>
      <c r="H30" s="11">
        <v>20</v>
      </c>
    </row>
    <row r="31" spans="1:8" x14ac:dyDescent="0.3">
      <c r="A31" s="9" t="s">
        <v>67</v>
      </c>
      <c r="B31" s="10" t="s">
        <v>29</v>
      </c>
      <c r="C31" s="11">
        <v>4</v>
      </c>
      <c r="D31" s="11">
        <v>1</v>
      </c>
      <c r="E31" s="11">
        <v>3</v>
      </c>
      <c r="F31" s="11">
        <v>2</v>
      </c>
      <c r="G31" s="11">
        <v>25</v>
      </c>
      <c r="H31" s="11">
        <v>35</v>
      </c>
    </row>
    <row r="32" spans="1:8" x14ac:dyDescent="0.3">
      <c r="A32" s="9" t="s">
        <v>67</v>
      </c>
      <c r="B32" s="10" t="s">
        <v>30</v>
      </c>
      <c r="C32" s="11">
        <v>1</v>
      </c>
      <c r="D32" s="11">
        <v>1</v>
      </c>
      <c r="E32" s="11">
        <v>1</v>
      </c>
      <c r="F32" s="11">
        <v>8</v>
      </c>
      <c r="G32" s="11">
        <v>19</v>
      </c>
      <c r="H32" s="11">
        <v>30</v>
      </c>
    </row>
    <row r="33" spans="1:8" x14ac:dyDescent="0.3">
      <c r="A33" s="9" t="s">
        <v>67</v>
      </c>
      <c r="B33" s="10" t="s">
        <v>31</v>
      </c>
      <c r="C33" s="11">
        <v>1</v>
      </c>
      <c r="D33" s="11">
        <v>1</v>
      </c>
      <c r="E33" s="11">
        <v>0</v>
      </c>
      <c r="F33" s="11">
        <v>6</v>
      </c>
      <c r="G33" s="11">
        <v>21</v>
      </c>
      <c r="H33" s="11">
        <v>29</v>
      </c>
    </row>
    <row r="34" spans="1:8" x14ac:dyDescent="0.3">
      <c r="A34" s="9" t="s">
        <v>67</v>
      </c>
      <c r="B34" s="10" t="s">
        <v>32</v>
      </c>
      <c r="C34" s="11">
        <v>0</v>
      </c>
      <c r="D34" s="11">
        <v>0</v>
      </c>
      <c r="E34" s="11">
        <v>0</v>
      </c>
      <c r="F34" s="11">
        <v>4</v>
      </c>
      <c r="G34" s="11">
        <v>15</v>
      </c>
      <c r="H34" s="11">
        <v>19</v>
      </c>
    </row>
    <row r="35" spans="1:8" x14ac:dyDescent="0.3">
      <c r="A35" s="9" t="s">
        <v>67</v>
      </c>
      <c r="B35" s="10" t="s">
        <v>33</v>
      </c>
      <c r="C35" s="11">
        <v>1</v>
      </c>
      <c r="D35" s="11">
        <v>1</v>
      </c>
      <c r="E35" s="11">
        <v>1</v>
      </c>
      <c r="F35" s="11">
        <v>3</v>
      </c>
      <c r="G35" s="11">
        <v>19</v>
      </c>
      <c r="H35" s="11">
        <v>25</v>
      </c>
    </row>
    <row r="36" spans="1:8" x14ac:dyDescent="0.3">
      <c r="A36" s="9" t="s">
        <v>67</v>
      </c>
      <c r="B36" s="10" t="s">
        <v>34</v>
      </c>
      <c r="C36" s="11">
        <v>0</v>
      </c>
      <c r="D36" s="11">
        <v>0</v>
      </c>
      <c r="E36" s="11">
        <v>1</v>
      </c>
      <c r="F36" s="11">
        <v>4</v>
      </c>
      <c r="G36" s="11">
        <v>13</v>
      </c>
      <c r="H36" s="11">
        <v>18</v>
      </c>
    </row>
    <row r="37" spans="1:8" x14ac:dyDescent="0.3">
      <c r="A37" s="9" t="s">
        <v>67</v>
      </c>
      <c r="B37" s="10" t="s">
        <v>35</v>
      </c>
      <c r="C37" s="11">
        <v>0</v>
      </c>
      <c r="D37" s="11">
        <v>1</v>
      </c>
      <c r="E37" s="11">
        <v>0</v>
      </c>
      <c r="F37" s="11">
        <v>5</v>
      </c>
      <c r="G37" s="11">
        <v>19</v>
      </c>
      <c r="H37" s="11">
        <v>25</v>
      </c>
    </row>
    <row r="38" spans="1:8" x14ac:dyDescent="0.3">
      <c r="A38" s="9" t="s">
        <v>67</v>
      </c>
      <c r="B38" s="10" t="s">
        <v>36</v>
      </c>
      <c r="C38" s="11">
        <v>1</v>
      </c>
      <c r="D38" s="11">
        <v>0</v>
      </c>
      <c r="E38" s="11">
        <v>2</v>
      </c>
      <c r="F38" s="11">
        <v>9</v>
      </c>
      <c r="G38" s="11">
        <v>11</v>
      </c>
      <c r="H38" s="11">
        <v>23</v>
      </c>
    </row>
    <row r="39" spans="1:8" x14ac:dyDescent="0.3">
      <c r="A39" s="9" t="s">
        <v>67</v>
      </c>
      <c r="B39" s="10" t="s">
        <v>37</v>
      </c>
      <c r="C39" s="11">
        <v>2</v>
      </c>
      <c r="D39" s="11">
        <v>1</v>
      </c>
      <c r="E39" s="11">
        <v>0</v>
      </c>
      <c r="F39" s="11">
        <v>5</v>
      </c>
      <c r="G39" s="11">
        <v>12</v>
      </c>
      <c r="H39" s="11">
        <v>20</v>
      </c>
    </row>
    <row r="40" spans="1:8" x14ac:dyDescent="0.3">
      <c r="A40" s="9" t="s">
        <v>67</v>
      </c>
      <c r="B40" s="10" t="s">
        <v>38</v>
      </c>
      <c r="C40" s="11">
        <v>0</v>
      </c>
      <c r="D40" s="11">
        <v>0</v>
      </c>
      <c r="E40" s="11">
        <v>0</v>
      </c>
      <c r="F40" s="11">
        <v>3</v>
      </c>
      <c r="G40" s="11">
        <v>25</v>
      </c>
      <c r="H40" s="11">
        <v>28</v>
      </c>
    </row>
    <row r="41" spans="1:8" x14ac:dyDescent="0.3">
      <c r="A41" s="9" t="s">
        <v>67</v>
      </c>
      <c r="B41" s="10" t="s">
        <v>39</v>
      </c>
      <c r="C41" s="11">
        <v>0</v>
      </c>
      <c r="D41" s="11">
        <v>0</v>
      </c>
      <c r="E41" s="11">
        <v>0</v>
      </c>
      <c r="F41" s="11">
        <v>9</v>
      </c>
      <c r="G41" s="11">
        <v>18</v>
      </c>
      <c r="H41" s="11">
        <v>27</v>
      </c>
    </row>
    <row r="42" spans="1:8" x14ac:dyDescent="0.3">
      <c r="A42" s="9" t="s">
        <v>67</v>
      </c>
      <c r="B42" s="10" t="s">
        <v>40</v>
      </c>
      <c r="C42" s="11">
        <v>0</v>
      </c>
      <c r="D42" s="11">
        <v>1</v>
      </c>
      <c r="E42" s="11">
        <v>1</v>
      </c>
      <c r="F42" s="11">
        <v>7</v>
      </c>
      <c r="G42" s="11">
        <v>19</v>
      </c>
      <c r="H42" s="11">
        <v>28</v>
      </c>
    </row>
    <row r="43" spans="1:8" x14ac:dyDescent="0.3">
      <c r="A43" s="9" t="s">
        <v>67</v>
      </c>
      <c r="B43" s="10" t="s">
        <v>41</v>
      </c>
      <c r="C43" s="11">
        <v>0</v>
      </c>
      <c r="D43" s="11">
        <v>0</v>
      </c>
      <c r="E43" s="11">
        <v>0</v>
      </c>
      <c r="F43" s="11">
        <v>2</v>
      </c>
      <c r="G43" s="11">
        <v>9</v>
      </c>
      <c r="H43" s="11">
        <v>11</v>
      </c>
    </row>
    <row r="44" spans="1:8" x14ac:dyDescent="0.3">
      <c r="A44" s="9" t="s">
        <v>67</v>
      </c>
      <c r="B44" s="10" t="s">
        <v>42</v>
      </c>
      <c r="C44" s="11">
        <v>2</v>
      </c>
      <c r="D44" s="11">
        <v>0</v>
      </c>
      <c r="E44" s="11">
        <v>2</v>
      </c>
      <c r="F44" s="11">
        <v>0</v>
      </c>
      <c r="G44" s="11">
        <v>9</v>
      </c>
      <c r="H44" s="11">
        <v>13</v>
      </c>
    </row>
    <row r="45" spans="1:8" x14ac:dyDescent="0.3">
      <c r="A45" s="9" t="s">
        <v>67</v>
      </c>
      <c r="B45" s="10" t="s">
        <v>43</v>
      </c>
      <c r="C45" s="11">
        <v>0</v>
      </c>
      <c r="D45" s="11">
        <v>1</v>
      </c>
      <c r="E45" s="11">
        <v>2</v>
      </c>
      <c r="F45" s="11">
        <v>8</v>
      </c>
      <c r="G45" s="11">
        <v>15</v>
      </c>
      <c r="H45" s="11">
        <v>26</v>
      </c>
    </row>
    <row r="46" spans="1:8" x14ac:dyDescent="0.3">
      <c r="A46" s="9" t="s">
        <v>67</v>
      </c>
      <c r="B46" s="10" t="s">
        <v>44</v>
      </c>
      <c r="C46" s="11">
        <v>0</v>
      </c>
      <c r="D46" s="11">
        <v>1</v>
      </c>
      <c r="E46" s="11">
        <v>0</v>
      </c>
      <c r="F46" s="11">
        <v>1</v>
      </c>
      <c r="G46" s="11">
        <v>22</v>
      </c>
      <c r="H46" s="11">
        <v>24</v>
      </c>
    </row>
    <row r="47" spans="1:8" x14ac:dyDescent="0.3">
      <c r="A47" s="9" t="s">
        <v>67</v>
      </c>
      <c r="B47" s="10" t="s">
        <v>45</v>
      </c>
      <c r="C47" s="11">
        <v>3</v>
      </c>
      <c r="D47" s="11">
        <v>1</v>
      </c>
      <c r="E47" s="11">
        <v>0</v>
      </c>
      <c r="F47" s="11">
        <v>4</v>
      </c>
      <c r="G47" s="11">
        <v>13</v>
      </c>
      <c r="H47" s="11">
        <v>21</v>
      </c>
    </row>
    <row r="48" spans="1:8" x14ac:dyDescent="0.3">
      <c r="A48" s="9" t="s">
        <v>67</v>
      </c>
      <c r="B48" s="10" t="s">
        <v>46</v>
      </c>
      <c r="C48" s="11">
        <v>1</v>
      </c>
      <c r="D48" s="11">
        <v>1</v>
      </c>
      <c r="E48" s="11">
        <v>1</v>
      </c>
      <c r="F48" s="11">
        <v>2</v>
      </c>
      <c r="G48" s="11">
        <v>14</v>
      </c>
      <c r="H48" s="11">
        <v>19</v>
      </c>
    </row>
    <row r="49" spans="1:8" x14ac:dyDescent="0.3">
      <c r="A49" s="9" t="s">
        <v>67</v>
      </c>
      <c r="B49" s="10" t="s">
        <v>47</v>
      </c>
      <c r="C49" s="11">
        <v>1</v>
      </c>
      <c r="D49" s="11">
        <v>0</v>
      </c>
      <c r="E49" s="11">
        <v>1</v>
      </c>
      <c r="F49" s="11">
        <v>3</v>
      </c>
      <c r="G49" s="11">
        <v>5</v>
      </c>
      <c r="H49" s="11">
        <v>10</v>
      </c>
    </row>
    <row r="50" spans="1:8" x14ac:dyDescent="0.3">
      <c r="A50" s="9" t="s">
        <v>67</v>
      </c>
      <c r="B50" s="10" t="s">
        <v>48</v>
      </c>
      <c r="C50" s="11">
        <v>0</v>
      </c>
      <c r="D50" s="11">
        <v>0</v>
      </c>
      <c r="E50" s="11">
        <v>1</v>
      </c>
      <c r="F50" s="11">
        <v>4</v>
      </c>
      <c r="G50" s="11">
        <v>11</v>
      </c>
      <c r="H50" s="11">
        <v>16</v>
      </c>
    </row>
    <row r="51" spans="1:8" x14ac:dyDescent="0.3">
      <c r="A51" s="9" t="s">
        <v>67</v>
      </c>
      <c r="B51" s="10" t="s">
        <v>49</v>
      </c>
      <c r="C51" s="11">
        <v>1</v>
      </c>
      <c r="D51" s="11">
        <v>0</v>
      </c>
      <c r="E51" s="11">
        <v>0</v>
      </c>
      <c r="F51" s="11">
        <v>7</v>
      </c>
      <c r="G51" s="11">
        <v>15</v>
      </c>
      <c r="H51" s="11">
        <v>23</v>
      </c>
    </row>
    <row r="52" spans="1:8" x14ac:dyDescent="0.3">
      <c r="A52" s="9" t="s">
        <v>67</v>
      </c>
      <c r="B52" s="10" t="s">
        <v>50</v>
      </c>
      <c r="C52" s="11">
        <v>1</v>
      </c>
      <c r="D52" s="11">
        <v>0</v>
      </c>
      <c r="E52" s="11">
        <v>1</v>
      </c>
      <c r="F52" s="11">
        <v>12</v>
      </c>
      <c r="G52" s="11">
        <v>11</v>
      </c>
      <c r="H52" s="11">
        <v>25</v>
      </c>
    </row>
    <row r="53" spans="1:8" x14ac:dyDescent="0.3">
      <c r="A53" s="9" t="s">
        <v>67</v>
      </c>
      <c r="B53" s="10" t="s">
        <v>51</v>
      </c>
      <c r="C53" s="11">
        <v>1</v>
      </c>
      <c r="D53" s="11">
        <v>0</v>
      </c>
      <c r="E53" s="11">
        <v>0</v>
      </c>
      <c r="F53" s="11">
        <v>6</v>
      </c>
      <c r="G53" s="11">
        <v>17</v>
      </c>
      <c r="H53" s="11">
        <v>24</v>
      </c>
    </row>
    <row r="54" spans="1:8" x14ac:dyDescent="0.3">
      <c r="A54" s="9" t="s">
        <v>67</v>
      </c>
      <c r="B54" s="10" t="s">
        <v>52</v>
      </c>
      <c r="C54" s="11">
        <v>0</v>
      </c>
      <c r="D54" s="11">
        <v>0</v>
      </c>
      <c r="E54" s="11">
        <v>1</v>
      </c>
      <c r="F54" s="11">
        <v>10</v>
      </c>
      <c r="G54" s="11">
        <v>10</v>
      </c>
      <c r="H54" s="11">
        <v>21</v>
      </c>
    </row>
    <row r="55" spans="1:8" x14ac:dyDescent="0.3">
      <c r="A55" s="9" t="s">
        <v>67</v>
      </c>
      <c r="B55" s="10" t="s">
        <v>53</v>
      </c>
      <c r="C55" s="11">
        <v>4</v>
      </c>
      <c r="D55" s="11">
        <v>0</v>
      </c>
      <c r="E55" s="11">
        <v>1</v>
      </c>
      <c r="F55" s="11">
        <v>7</v>
      </c>
      <c r="G55" s="11">
        <v>12</v>
      </c>
      <c r="H55" s="11">
        <v>24</v>
      </c>
    </row>
    <row r="56" spans="1:8" x14ac:dyDescent="0.3">
      <c r="A56" s="9" t="s">
        <v>67</v>
      </c>
      <c r="B56" s="10" t="s">
        <v>54</v>
      </c>
      <c r="C56" s="11">
        <v>1</v>
      </c>
      <c r="D56" s="11">
        <v>0</v>
      </c>
      <c r="E56" s="11">
        <v>0</v>
      </c>
      <c r="F56" s="11">
        <v>4</v>
      </c>
      <c r="G56" s="11">
        <v>16</v>
      </c>
      <c r="H56" s="11">
        <v>21</v>
      </c>
    </row>
    <row r="57" spans="1:8" x14ac:dyDescent="0.3">
      <c r="A57" s="9" t="s">
        <v>67</v>
      </c>
      <c r="B57" s="10" t="s">
        <v>55</v>
      </c>
      <c r="C57" s="11">
        <v>0</v>
      </c>
      <c r="D57" s="11">
        <v>0</v>
      </c>
      <c r="E57" s="11">
        <v>0</v>
      </c>
      <c r="F57" s="11">
        <v>5</v>
      </c>
      <c r="G57" s="11">
        <v>18</v>
      </c>
      <c r="H57" s="11">
        <v>23</v>
      </c>
    </row>
    <row r="58" spans="1:8" x14ac:dyDescent="0.3">
      <c r="A58" s="9" t="s">
        <v>67</v>
      </c>
      <c r="B58" s="10" t="s">
        <v>56</v>
      </c>
      <c r="C58" s="11">
        <v>0</v>
      </c>
      <c r="D58" s="11">
        <v>0</v>
      </c>
      <c r="E58" s="11">
        <v>2</v>
      </c>
      <c r="F58" s="11">
        <v>5</v>
      </c>
      <c r="G58" s="11">
        <v>18</v>
      </c>
      <c r="H58" s="11">
        <v>25</v>
      </c>
    </row>
    <row r="59" spans="1:8" x14ac:dyDescent="0.3">
      <c r="A59" s="9" t="s">
        <v>67</v>
      </c>
      <c r="B59" s="10" t="s">
        <v>57</v>
      </c>
      <c r="C59" s="11">
        <v>1</v>
      </c>
      <c r="D59" s="11">
        <v>0</v>
      </c>
      <c r="E59" s="11">
        <v>1</v>
      </c>
      <c r="F59" s="11">
        <v>6</v>
      </c>
      <c r="G59" s="11">
        <v>16</v>
      </c>
      <c r="H59" s="11">
        <v>24</v>
      </c>
    </row>
    <row r="60" spans="1:8" x14ac:dyDescent="0.3">
      <c r="A60" s="9" t="s">
        <v>67</v>
      </c>
      <c r="B60" s="10" t="s">
        <v>58</v>
      </c>
      <c r="C60" s="11">
        <v>1</v>
      </c>
      <c r="D60" s="11">
        <v>1</v>
      </c>
      <c r="E60" s="11">
        <v>0</v>
      </c>
      <c r="F60" s="11">
        <v>12</v>
      </c>
      <c r="G60" s="11">
        <v>10</v>
      </c>
      <c r="H60" s="11">
        <v>24</v>
      </c>
    </row>
    <row r="61" spans="1:8" x14ac:dyDescent="0.3">
      <c r="A61" s="9" t="s">
        <v>67</v>
      </c>
      <c r="B61" s="10" t="s">
        <v>59</v>
      </c>
      <c r="C61" s="11">
        <v>2</v>
      </c>
      <c r="D61" s="11">
        <v>0</v>
      </c>
      <c r="E61" s="11">
        <v>2</v>
      </c>
      <c r="F61" s="11">
        <v>4</v>
      </c>
      <c r="G61" s="11">
        <v>19</v>
      </c>
      <c r="H61" s="11">
        <v>27</v>
      </c>
    </row>
    <row r="62" spans="1:8" x14ac:dyDescent="0.3">
      <c r="A62" s="9" t="s">
        <v>67</v>
      </c>
      <c r="B62" s="10" t="s">
        <v>60</v>
      </c>
      <c r="C62" s="11">
        <v>2</v>
      </c>
      <c r="D62" s="11">
        <v>0</v>
      </c>
      <c r="E62" s="11">
        <v>0</v>
      </c>
      <c r="F62" s="11">
        <v>4</v>
      </c>
      <c r="G62" s="11">
        <v>14</v>
      </c>
      <c r="H62" s="11">
        <v>20</v>
      </c>
    </row>
    <row r="63" spans="1:8" x14ac:dyDescent="0.3">
      <c r="A63" s="9" t="s">
        <v>67</v>
      </c>
      <c r="B63" s="10" t="s">
        <v>61</v>
      </c>
      <c r="C63" s="11">
        <v>3</v>
      </c>
      <c r="D63" s="11">
        <v>0</v>
      </c>
      <c r="E63" s="11">
        <v>0</v>
      </c>
      <c r="F63" s="11">
        <v>6</v>
      </c>
      <c r="G63" s="11">
        <v>26</v>
      </c>
      <c r="H63" s="11">
        <v>35</v>
      </c>
    </row>
    <row r="64" spans="1:8" x14ac:dyDescent="0.3">
      <c r="A64" s="9" t="s">
        <v>67</v>
      </c>
      <c r="B64" s="10" t="s">
        <v>62</v>
      </c>
      <c r="C64" s="11">
        <v>2</v>
      </c>
      <c r="D64" s="11">
        <v>1</v>
      </c>
      <c r="E64" s="11">
        <v>0</v>
      </c>
      <c r="F64" s="11">
        <v>6</v>
      </c>
      <c r="G64" s="11">
        <v>25</v>
      </c>
      <c r="H64" s="11">
        <v>34</v>
      </c>
    </row>
    <row r="65" spans="1:8" x14ac:dyDescent="0.3">
      <c r="A65" s="4" t="s">
        <v>67</v>
      </c>
      <c r="B65" s="10" t="s">
        <v>63</v>
      </c>
      <c r="C65" s="11">
        <v>4</v>
      </c>
      <c r="D65" s="11">
        <v>1</v>
      </c>
      <c r="E65" s="11">
        <v>1</v>
      </c>
      <c r="F65" s="11">
        <v>4</v>
      </c>
      <c r="G65" s="11">
        <v>32</v>
      </c>
      <c r="H65" s="11">
        <v>42</v>
      </c>
    </row>
    <row r="66" spans="1:8" x14ac:dyDescent="0.3">
      <c r="A66" s="4" t="s">
        <v>67</v>
      </c>
      <c r="B66" s="10" t="s">
        <v>64</v>
      </c>
      <c r="C66" s="11">
        <v>4</v>
      </c>
      <c r="D66" s="11">
        <v>0</v>
      </c>
      <c r="E66" s="11">
        <v>0</v>
      </c>
      <c r="F66" s="11">
        <v>6</v>
      </c>
      <c r="G66" s="11">
        <v>33</v>
      </c>
      <c r="H66" s="11">
        <v>43</v>
      </c>
    </row>
    <row r="67" spans="1:8" x14ac:dyDescent="0.3">
      <c r="A67" s="4" t="s">
        <v>67</v>
      </c>
      <c r="B67" s="10" t="s">
        <v>82</v>
      </c>
      <c r="C67" s="11">
        <v>2</v>
      </c>
      <c r="D67" s="11">
        <v>2</v>
      </c>
      <c r="E67" s="11">
        <v>0</v>
      </c>
      <c r="F67" s="11">
        <v>5</v>
      </c>
      <c r="G67" s="11">
        <v>35</v>
      </c>
      <c r="H67" s="11">
        <v>44</v>
      </c>
    </row>
    <row r="68" spans="1:8" x14ac:dyDescent="0.3">
      <c r="A68" s="4" t="s">
        <v>67</v>
      </c>
      <c r="B68" s="10" t="s">
        <v>83</v>
      </c>
      <c r="C68" s="11">
        <v>0</v>
      </c>
      <c r="D68" s="11">
        <v>1</v>
      </c>
      <c r="E68" s="11">
        <v>0</v>
      </c>
      <c r="F68" s="11">
        <v>6</v>
      </c>
      <c r="G68" s="11">
        <v>33</v>
      </c>
      <c r="H68" s="11">
        <v>40</v>
      </c>
    </row>
    <row r="69" spans="1:8" x14ac:dyDescent="0.3">
      <c r="A69" s="4" t="s">
        <v>67</v>
      </c>
      <c r="B69" s="10" t="s">
        <v>84</v>
      </c>
      <c r="C69" s="11">
        <v>2</v>
      </c>
      <c r="D69" s="11">
        <v>1</v>
      </c>
      <c r="E69" s="11">
        <v>0</v>
      </c>
      <c r="F69" s="11">
        <v>10</v>
      </c>
      <c r="G69" s="11">
        <v>29</v>
      </c>
      <c r="H69" s="11">
        <v>42</v>
      </c>
    </row>
    <row r="70" spans="1:8" x14ac:dyDescent="0.3">
      <c r="A70" s="4" t="s">
        <v>67</v>
      </c>
      <c r="B70" s="10" t="s">
        <v>85</v>
      </c>
      <c r="C70" s="11">
        <v>2</v>
      </c>
      <c r="D70" s="11">
        <v>0</v>
      </c>
      <c r="E70" s="11">
        <v>1</v>
      </c>
      <c r="F70" s="11">
        <v>13</v>
      </c>
      <c r="G70" s="11">
        <v>27</v>
      </c>
      <c r="H70" s="11">
        <v>43</v>
      </c>
    </row>
    <row r="71" spans="1:8" x14ac:dyDescent="0.3">
      <c r="A71" s="4" t="s">
        <v>67</v>
      </c>
      <c r="B71" s="10" t="s">
        <v>86</v>
      </c>
      <c r="C71" s="11">
        <v>0</v>
      </c>
      <c r="D71" s="11">
        <v>1</v>
      </c>
      <c r="E71" s="11">
        <v>0</v>
      </c>
      <c r="F71" s="11">
        <v>9</v>
      </c>
      <c r="G71" s="11">
        <v>48</v>
      </c>
      <c r="H71" s="11">
        <v>58</v>
      </c>
    </row>
    <row r="72" spans="1:8" x14ac:dyDescent="0.3">
      <c r="A72" s="4" t="s">
        <v>67</v>
      </c>
      <c r="B72" s="10" t="s">
        <v>87</v>
      </c>
      <c r="C72" s="11">
        <v>0</v>
      </c>
      <c r="D72" s="11">
        <v>1</v>
      </c>
      <c r="E72" s="11">
        <v>1</v>
      </c>
      <c r="F72" s="11">
        <v>11</v>
      </c>
      <c r="G72" s="11">
        <v>26</v>
      </c>
      <c r="H72" s="11">
        <v>39</v>
      </c>
    </row>
    <row r="73" spans="1:8" x14ac:dyDescent="0.3">
      <c r="A73" s="4" t="s">
        <v>67</v>
      </c>
      <c r="B73" s="10" t="s">
        <v>88</v>
      </c>
      <c r="C73" s="11">
        <v>2</v>
      </c>
      <c r="D73" s="11">
        <v>1</v>
      </c>
      <c r="E73" s="11">
        <v>0</v>
      </c>
      <c r="F73" s="11">
        <v>8</v>
      </c>
      <c r="G73" s="11">
        <v>23</v>
      </c>
      <c r="H73" s="11">
        <v>34</v>
      </c>
    </row>
    <row r="74" spans="1:8" x14ac:dyDescent="0.3">
      <c r="A74" s="4" t="s">
        <v>67</v>
      </c>
      <c r="B74" s="10" t="s">
        <v>89</v>
      </c>
      <c r="C74" s="11">
        <v>2</v>
      </c>
      <c r="D74" s="11">
        <v>1</v>
      </c>
      <c r="E74" s="11">
        <v>0</v>
      </c>
      <c r="F74" s="11">
        <v>4</v>
      </c>
      <c r="G74" s="11">
        <v>30</v>
      </c>
      <c r="H74" s="11">
        <v>37</v>
      </c>
    </row>
    <row r="75" spans="1:8" x14ac:dyDescent="0.3">
      <c r="A75" s="4" t="s">
        <v>67</v>
      </c>
      <c r="B75" s="10" t="s">
        <v>90</v>
      </c>
      <c r="C75" s="11">
        <v>1</v>
      </c>
      <c r="D75" s="11">
        <v>0</v>
      </c>
      <c r="E75" s="11">
        <v>2</v>
      </c>
      <c r="F75" s="11">
        <v>6</v>
      </c>
      <c r="G75" s="11">
        <v>23</v>
      </c>
      <c r="H75" s="11">
        <v>32</v>
      </c>
    </row>
    <row r="76" spans="1:8" x14ac:dyDescent="0.3">
      <c r="A76" s="4" t="s">
        <v>67</v>
      </c>
      <c r="B76" s="10" t="s">
        <v>91</v>
      </c>
      <c r="C76" s="11">
        <v>0</v>
      </c>
      <c r="D76" s="11">
        <v>0</v>
      </c>
      <c r="E76" s="11">
        <v>0</v>
      </c>
      <c r="F76" s="11">
        <v>11</v>
      </c>
      <c r="G76" s="11">
        <v>24</v>
      </c>
      <c r="H76" s="11">
        <v>35</v>
      </c>
    </row>
    <row r="77" spans="1:8" x14ac:dyDescent="0.3">
      <c r="A77" s="4" t="s">
        <v>67</v>
      </c>
      <c r="B77" s="10" t="s">
        <v>92</v>
      </c>
      <c r="C77" s="11">
        <v>1</v>
      </c>
      <c r="D77" s="11">
        <v>0</v>
      </c>
      <c r="E77" s="11">
        <v>1</v>
      </c>
      <c r="F77" s="11">
        <v>6</v>
      </c>
      <c r="G77" s="11">
        <v>21</v>
      </c>
      <c r="H77" s="11">
        <v>29</v>
      </c>
    </row>
    <row r="78" spans="1:8" x14ac:dyDescent="0.3">
      <c r="A78" s="4" t="s">
        <v>67</v>
      </c>
      <c r="B78" s="10" t="s">
        <v>93</v>
      </c>
      <c r="C78" s="11">
        <v>2</v>
      </c>
      <c r="D78" s="11">
        <v>0</v>
      </c>
      <c r="E78" s="11">
        <v>0</v>
      </c>
      <c r="F78" s="11">
        <v>10</v>
      </c>
      <c r="G78" s="11">
        <v>23</v>
      </c>
      <c r="H78" s="11">
        <v>35</v>
      </c>
    </row>
    <row r="79" spans="1:8" x14ac:dyDescent="0.3">
      <c r="A79" s="4" t="s">
        <v>67</v>
      </c>
      <c r="B79" s="10" t="s">
        <v>94</v>
      </c>
      <c r="C79" s="11">
        <v>0</v>
      </c>
      <c r="D79" s="11">
        <v>0</v>
      </c>
      <c r="E79" s="11">
        <v>0</v>
      </c>
      <c r="F79" s="11">
        <v>6</v>
      </c>
      <c r="G79" s="11">
        <v>21</v>
      </c>
      <c r="H79" s="11">
        <v>27</v>
      </c>
    </row>
    <row r="80" spans="1:8" x14ac:dyDescent="0.3">
      <c r="A80" s="4" t="s">
        <v>67</v>
      </c>
      <c r="B80" s="10" t="s">
        <v>95</v>
      </c>
      <c r="C80" s="11">
        <v>1</v>
      </c>
      <c r="D80" s="11">
        <v>1</v>
      </c>
      <c r="E80" s="11">
        <v>0</v>
      </c>
      <c r="F80" s="11">
        <v>4</v>
      </c>
      <c r="G80" s="11">
        <v>18</v>
      </c>
      <c r="H80" s="11">
        <v>24</v>
      </c>
    </row>
    <row r="81" spans="1:8" x14ac:dyDescent="0.3">
      <c r="A81" s="4" t="s">
        <v>67</v>
      </c>
      <c r="B81" s="10" t="s">
        <v>96</v>
      </c>
      <c r="C81" s="11">
        <v>0</v>
      </c>
      <c r="D81" s="11">
        <v>0</v>
      </c>
      <c r="E81" s="11">
        <v>0</v>
      </c>
      <c r="F81" s="11">
        <v>3</v>
      </c>
      <c r="G81" s="11">
        <v>13</v>
      </c>
      <c r="H81" s="11">
        <v>16</v>
      </c>
    </row>
    <row r="82" spans="1:8" x14ac:dyDescent="0.3">
      <c r="A82" s="4" t="s">
        <v>67</v>
      </c>
      <c r="B82" s="10" t="s">
        <v>97</v>
      </c>
      <c r="C82" s="11">
        <v>2</v>
      </c>
      <c r="D82" s="11">
        <v>0</v>
      </c>
      <c r="E82" s="11">
        <v>1</v>
      </c>
      <c r="F82" s="11">
        <v>9</v>
      </c>
      <c r="G82" s="11">
        <v>19</v>
      </c>
      <c r="H82" s="11">
        <v>31</v>
      </c>
    </row>
    <row r="83" spans="1:8" x14ac:dyDescent="0.3">
      <c r="A83" s="4" t="s">
        <v>67</v>
      </c>
      <c r="B83" s="10" t="s">
        <v>98</v>
      </c>
      <c r="C83" s="11">
        <v>1</v>
      </c>
      <c r="D83" s="11">
        <v>0</v>
      </c>
      <c r="E83" s="11">
        <v>0</v>
      </c>
      <c r="F83" s="11">
        <v>6</v>
      </c>
      <c r="G83" s="11">
        <v>17</v>
      </c>
      <c r="H83" s="11">
        <v>24</v>
      </c>
    </row>
    <row r="84" spans="1:8" x14ac:dyDescent="0.3">
      <c r="A84" s="4" t="s">
        <v>67</v>
      </c>
      <c r="B84" s="10" t="s">
        <v>99</v>
      </c>
      <c r="C84" s="11">
        <v>0</v>
      </c>
      <c r="D84" s="11">
        <v>0</v>
      </c>
      <c r="E84" s="11">
        <v>0</v>
      </c>
      <c r="F84" s="11">
        <v>3</v>
      </c>
      <c r="G84" s="11">
        <v>21</v>
      </c>
      <c r="H84" s="11">
        <v>24</v>
      </c>
    </row>
    <row r="85" spans="1:8" x14ac:dyDescent="0.3">
      <c r="A85" s="4" t="s">
        <v>67</v>
      </c>
      <c r="B85" s="10" t="s">
        <v>100</v>
      </c>
      <c r="C85" s="11">
        <v>2</v>
      </c>
      <c r="D85" s="11">
        <v>2</v>
      </c>
      <c r="E85" s="11">
        <v>0</v>
      </c>
      <c r="F85" s="11">
        <v>3</v>
      </c>
      <c r="G85" s="11">
        <v>13</v>
      </c>
      <c r="H85" s="11">
        <v>20</v>
      </c>
    </row>
    <row r="86" spans="1:8" x14ac:dyDescent="0.3">
      <c r="A86" s="4" t="s">
        <v>67</v>
      </c>
      <c r="B86" s="10" t="s">
        <v>101</v>
      </c>
      <c r="C86" s="11">
        <v>3</v>
      </c>
      <c r="D86" s="11">
        <v>0</v>
      </c>
      <c r="E86" s="11">
        <v>0</v>
      </c>
      <c r="F86" s="11">
        <v>4</v>
      </c>
      <c r="G86" s="11">
        <v>20</v>
      </c>
      <c r="H86" s="11">
        <v>27</v>
      </c>
    </row>
    <row r="87" spans="1:8" x14ac:dyDescent="0.3">
      <c r="A87" s="4" t="s">
        <v>67</v>
      </c>
      <c r="B87" s="10" t="s">
        <v>102</v>
      </c>
      <c r="C87" s="11">
        <v>0</v>
      </c>
      <c r="D87" s="11">
        <v>0</v>
      </c>
      <c r="E87" s="11">
        <v>0</v>
      </c>
      <c r="F87" s="11">
        <v>3</v>
      </c>
      <c r="G87" s="11">
        <v>18</v>
      </c>
      <c r="H87" s="11">
        <v>21</v>
      </c>
    </row>
    <row r="88" spans="1:8" x14ac:dyDescent="0.3">
      <c r="A88" s="4" t="s">
        <v>67</v>
      </c>
      <c r="B88" s="10" t="s">
        <v>103</v>
      </c>
      <c r="C88" s="11">
        <v>0</v>
      </c>
      <c r="D88" s="11">
        <v>0</v>
      </c>
      <c r="E88" s="11">
        <v>1</v>
      </c>
      <c r="F88" s="11">
        <v>3</v>
      </c>
      <c r="G88" s="11">
        <v>14</v>
      </c>
      <c r="H88" s="11">
        <v>18</v>
      </c>
    </row>
    <row r="89" spans="1:8" x14ac:dyDescent="0.3">
      <c r="A89" s="4" t="s">
        <v>67</v>
      </c>
      <c r="B89" s="10" t="s">
        <v>104</v>
      </c>
      <c r="C89" s="11">
        <v>3</v>
      </c>
      <c r="D89" s="11">
        <v>0</v>
      </c>
      <c r="E89" s="11">
        <v>0</v>
      </c>
      <c r="F89" s="11">
        <v>8</v>
      </c>
      <c r="G89" s="11">
        <v>21</v>
      </c>
      <c r="H89" s="11">
        <v>32</v>
      </c>
    </row>
    <row r="90" spans="1:8" x14ac:dyDescent="0.3">
      <c r="A90" s="4" t="s">
        <v>67</v>
      </c>
      <c r="B90" s="10" t="s">
        <v>105</v>
      </c>
      <c r="C90" s="11">
        <v>0</v>
      </c>
      <c r="D90" s="11">
        <v>0</v>
      </c>
      <c r="E90" s="11">
        <v>1</v>
      </c>
      <c r="F90" s="11">
        <v>5</v>
      </c>
      <c r="G90" s="11">
        <v>14</v>
      </c>
      <c r="H90" s="11">
        <v>20</v>
      </c>
    </row>
    <row r="91" spans="1:8" x14ac:dyDescent="0.3">
      <c r="A91" s="4" t="s">
        <v>67</v>
      </c>
      <c r="B91" s="10" t="s">
        <v>106</v>
      </c>
      <c r="C91" s="11">
        <v>1</v>
      </c>
      <c r="D91" s="11">
        <v>0</v>
      </c>
      <c r="E91" s="11">
        <v>1</v>
      </c>
      <c r="F91" s="11">
        <v>5</v>
      </c>
      <c r="G91" s="11">
        <v>13</v>
      </c>
      <c r="H91" s="11">
        <v>20</v>
      </c>
    </row>
    <row r="92" spans="1:8" x14ac:dyDescent="0.3">
      <c r="A92" s="4" t="s">
        <v>67</v>
      </c>
      <c r="B92" s="10" t="s">
        <v>107</v>
      </c>
      <c r="C92" s="11">
        <v>2</v>
      </c>
      <c r="D92" s="11">
        <v>0</v>
      </c>
      <c r="E92" s="11">
        <v>0</v>
      </c>
      <c r="F92" s="11">
        <v>2</v>
      </c>
      <c r="G92" s="11">
        <v>24</v>
      </c>
      <c r="H92" s="11">
        <v>28</v>
      </c>
    </row>
    <row r="93" spans="1:8" x14ac:dyDescent="0.3">
      <c r="A93" s="4" t="s">
        <v>67</v>
      </c>
      <c r="B93" s="10" t="s">
        <v>108</v>
      </c>
      <c r="C93" s="11">
        <v>0</v>
      </c>
      <c r="D93" s="11">
        <v>0</v>
      </c>
      <c r="E93" s="11">
        <v>0</v>
      </c>
      <c r="F93" s="11">
        <v>2</v>
      </c>
      <c r="G93" s="11">
        <v>16</v>
      </c>
      <c r="H93" s="11">
        <v>18</v>
      </c>
    </row>
    <row r="94" spans="1:8" x14ac:dyDescent="0.3">
      <c r="A94" s="4" t="s">
        <v>67</v>
      </c>
      <c r="B94" s="10" t="s">
        <v>109</v>
      </c>
      <c r="C94" s="11">
        <v>1</v>
      </c>
      <c r="D94" s="11">
        <v>0</v>
      </c>
      <c r="E94" s="11">
        <v>1</v>
      </c>
      <c r="F94" s="11">
        <v>3</v>
      </c>
      <c r="G94" s="11">
        <v>8</v>
      </c>
      <c r="H94" s="11">
        <v>13</v>
      </c>
    </row>
    <row r="95" spans="1:8" x14ac:dyDescent="0.3">
      <c r="A95" s="4" t="s">
        <v>67</v>
      </c>
      <c r="B95" s="10" t="s">
        <v>110</v>
      </c>
      <c r="C95" s="11">
        <v>0</v>
      </c>
      <c r="D95" s="11">
        <v>0</v>
      </c>
      <c r="E95" s="11">
        <v>0</v>
      </c>
      <c r="F95" s="11">
        <v>7</v>
      </c>
      <c r="G95" s="11">
        <v>14</v>
      </c>
      <c r="H95" s="11">
        <v>21</v>
      </c>
    </row>
    <row r="96" spans="1:8" x14ac:dyDescent="0.3">
      <c r="A96" s="4" t="s">
        <v>67</v>
      </c>
      <c r="B96" s="10" t="s">
        <v>111</v>
      </c>
      <c r="C96" s="11">
        <v>0</v>
      </c>
      <c r="D96" s="11">
        <v>1</v>
      </c>
      <c r="E96" s="11">
        <v>0</v>
      </c>
      <c r="F96" s="11">
        <v>1</v>
      </c>
      <c r="G96" s="11">
        <v>6</v>
      </c>
      <c r="H96" s="11">
        <v>8</v>
      </c>
    </row>
    <row r="97" spans="1:8" x14ac:dyDescent="0.3">
      <c r="A97" s="4" t="s">
        <v>67</v>
      </c>
      <c r="B97" s="10" t="s">
        <v>112</v>
      </c>
      <c r="C97" s="11">
        <v>0</v>
      </c>
      <c r="D97" s="11">
        <v>0</v>
      </c>
      <c r="E97" s="11">
        <v>0</v>
      </c>
      <c r="F97" s="11">
        <v>4</v>
      </c>
      <c r="G97" s="11">
        <v>16</v>
      </c>
      <c r="H97" s="11">
        <v>20</v>
      </c>
    </row>
    <row r="98" spans="1:8" x14ac:dyDescent="0.3">
      <c r="A98" s="4" t="s">
        <v>67</v>
      </c>
      <c r="B98" s="10" t="s">
        <v>113</v>
      </c>
      <c r="C98" s="11">
        <v>0</v>
      </c>
      <c r="D98" s="11">
        <v>0</v>
      </c>
      <c r="E98" s="11">
        <v>1</v>
      </c>
      <c r="F98" s="11">
        <v>2</v>
      </c>
      <c r="G98" s="11">
        <v>20</v>
      </c>
      <c r="H98" s="11">
        <v>23</v>
      </c>
    </row>
    <row r="99" spans="1:8" x14ac:dyDescent="0.3">
      <c r="A99" s="4" t="s">
        <v>67</v>
      </c>
      <c r="B99" s="10" t="s">
        <v>114</v>
      </c>
      <c r="C99" s="11">
        <v>0</v>
      </c>
      <c r="D99" s="11">
        <v>0</v>
      </c>
      <c r="E99" s="11">
        <v>0</v>
      </c>
      <c r="F99" s="11">
        <v>4</v>
      </c>
      <c r="G99" s="11">
        <v>18</v>
      </c>
      <c r="H99" s="11">
        <v>22</v>
      </c>
    </row>
    <row r="100" spans="1:8" x14ac:dyDescent="0.3">
      <c r="A100" s="4" t="s">
        <v>67</v>
      </c>
      <c r="B100" s="10" t="s">
        <v>115</v>
      </c>
      <c r="C100" s="11">
        <v>0</v>
      </c>
      <c r="D100" s="11">
        <v>0</v>
      </c>
      <c r="E100" s="11">
        <v>0</v>
      </c>
      <c r="F100" s="11">
        <v>0</v>
      </c>
      <c r="G100" s="11">
        <v>12</v>
      </c>
      <c r="H100" s="11">
        <v>12</v>
      </c>
    </row>
    <row r="101" spans="1:8" x14ac:dyDescent="0.3">
      <c r="A101" s="4" t="s">
        <v>67</v>
      </c>
      <c r="B101" s="10" t="s">
        <v>116</v>
      </c>
      <c r="C101" s="11">
        <v>0</v>
      </c>
      <c r="D101" s="11">
        <v>0</v>
      </c>
      <c r="E101" s="11">
        <v>0</v>
      </c>
      <c r="F101" s="11">
        <v>6</v>
      </c>
      <c r="G101" s="11">
        <v>16</v>
      </c>
      <c r="H101" s="11">
        <v>22</v>
      </c>
    </row>
    <row r="102" spans="1:8" x14ac:dyDescent="0.3">
      <c r="A102" s="4" t="s">
        <v>67</v>
      </c>
      <c r="B102" s="10" t="s">
        <v>117</v>
      </c>
      <c r="C102" s="11">
        <v>0</v>
      </c>
      <c r="D102" s="11">
        <v>0</v>
      </c>
      <c r="E102" s="11">
        <v>0</v>
      </c>
      <c r="F102" s="11">
        <v>2</v>
      </c>
      <c r="G102" s="11">
        <v>16</v>
      </c>
      <c r="H102" s="11">
        <v>18</v>
      </c>
    </row>
    <row r="103" spans="1:8" x14ac:dyDescent="0.3">
      <c r="A103" s="4" t="s">
        <v>67</v>
      </c>
      <c r="B103" s="10" t="s">
        <v>118</v>
      </c>
      <c r="C103" s="11">
        <v>0</v>
      </c>
      <c r="D103" s="11">
        <v>0</v>
      </c>
      <c r="E103" s="11">
        <v>0</v>
      </c>
      <c r="F103" s="11">
        <v>6</v>
      </c>
      <c r="G103" s="11">
        <v>16</v>
      </c>
      <c r="H103" s="11">
        <v>22</v>
      </c>
    </row>
    <row r="104" spans="1:8" x14ac:dyDescent="0.3">
      <c r="A104" s="4" t="s">
        <v>67</v>
      </c>
      <c r="B104" s="10" t="s">
        <v>119</v>
      </c>
      <c r="C104" s="11">
        <v>0</v>
      </c>
      <c r="D104" s="11">
        <v>1</v>
      </c>
      <c r="E104" s="11">
        <v>2</v>
      </c>
      <c r="F104" s="11">
        <v>4</v>
      </c>
      <c r="G104" s="11">
        <v>15</v>
      </c>
      <c r="H104" s="11">
        <v>22</v>
      </c>
    </row>
    <row r="105" spans="1:8" x14ac:dyDescent="0.3">
      <c r="A105" s="4" t="s">
        <v>67</v>
      </c>
      <c r="B105" s="10" t="s">
        <v>120</v>
      </c>
      <c r="C105" s="11">
        <v>1</v>
      </c>
      <c r="D105" s="11">
        <v>0</v>
      </c>
      <c r="E105" s="11">
        <v>0</v>
      </c>
      <c r="F105" s="11">
        <v>5</v>
      </c>
      <c r="G105" s="11">
        <v>16</v>
      </c>
      <c r="H105" s="11">
        <v>22</v>
      </c>
    </row>
    <row r="106" spans="1:8" x14ac:dyDescent="0.3">
      <c r="A106" s="4" t="s">
        <v>67</v>
      </c>
      <c r="B106" s="10" t="s">
        <v>121</v>
      </c>
      <c r="C106" s="11">
        <v>0</v>
      </c>
      <c r="D106" s="11">
        <v>0</v>
      </c>
      <c r="E106" s="11">
        <v>2</v>
      </c>
      <c r="F106" s="11">
        <v>4</v>
      </c>
      <c r="G106" s="11">
        <v>18</v>
      </c>
      <c r="H106" s="11">
        <v>24</v>
      </c>
    </row>
    <row r="107" spans="1:8" x14ac:dyDescent="0.3">
      <c r="A107" s="4" t="s">
        <v>67</v>
      </c>
      <c r="B107" s="10" t="s">
        <v>122</v>
      </c>
      <c r="C107" s="11">
        <v>1</v>
      </c>
      <c r="D107" s="11">
        <v>0</v>
      </c>
      <c r="E107" s="11">
        <v>0</v>
      </c>
      <c r="F107" s="11">
        <v>3</v>
      </c>
      <c r="G107" s="11">
        <v>15</v>
      </c>
      <c r="H107" s="11">
        <v>19</v>
      </c>
    </row>
    <row r="108" spans="1:8" x14ac:dyDescent="0.3">
      <c r="A108" s="4" t="s">
        <v>67</v>
      </c>
      <c r="B108" s="10" t="s">
        <v>123</v>
      </c>
      <c r="C108" s="11">
        <v>0</v>
      </c>
      <c r="D108" s="11">
        <v>2</v>
      </c>
      <c r="E108" s="11">
        <v>0</v>
      </c>
      <c r="F108" s="11">
        <v>3</v>
      </c>
      <c r="G108" s="11">
        <v>16</v>
      </c>
      <c r="H108" s="11">
        <v>21</v>
      </c>
    </row>
    <row r="109" spans="1:8" x14ac:dyDescent="0.3">
      <c r="A109" s="4" t="s">
        <v>67</v>
      </c>
      <c r="B109" s="10" t="s">
        <v>124</v>
      </c>
      <c r="C109" s="11">
        <v>0</v>
      </c>
      <c r="D109" s="11">
        <v>0</v>
      </c>
      <c r="E109" s="11">
        <v>0</v>
      </c>
      <c r="F109" s="11">
        <v>2</v>
      </c>
      <c r="G109" s="11">
        <v>22</v>
      </c>
      <c r="H109" s="11">
        <v>24</v>
      </c>
    </row>
    <row r="110" spans="1:8" x14ac:dyDescent="0.3">
      <c r="A110" s="4" t="s">
        <v>67</v>
      </c>
      <c r="B110" s="10" t="s">
        <v>125</v>
      </c>
      <c r="C110" s="11">
        <v>0</v>
      </c>
      <c r="D110" s="11">
        <v>0</v>
      </c>
      <c r="E110" s="11">
        <v>0</v>
      </c>
      <c r="F110" s="11">
        <v>6</v>
      </c>
      <c r="G110" s="11">
        <v>15</v>
      </c>
      <c r="H110" s="11">
        <v>21</v>
      </c>
    </row>
    <row r="111" spans="1:8" x14ac:dyDescent="0.3">
      <c r="A111" s="4" t="s">
        <v>67</v>
      </c>
      <c r="B111" s="10" t="s">
        <v>126</v>
      </c>
      <c r="C111" s="11">
        <v>1</v>
      </c>
      <c r="D111" s="11">
        <v>0</v>
      </c>
      <c r="E111" s="11">
        <v>0</v>
      </c>
      <c r="F111" s="11">
        <v>4</v>
      </c>
      <c r="G111" s="11">
        <v>16</v>
      </c>
      <c r="H111" s="11">
        <v>21</v>
      </c>
    </row>
    <row r="112" spans="1:8" x14ac:dyDescent="0.3">
      <c r="A112" s="4" t="s">
        <v>67</v>
      </c>
      <c r="B112" s="10" t="s">
        <v>127</v>
      </c>
      <c r="C112" s="11">
        <v>4</v>
      </c>
      <c r="D112" s="11">
        <v>0</v>
      </c>
      <c r="E112" s="11">
        <v>0</v>
      </c>
      <c r="F112" s="11">
        <v>3</v>
      </c>
      <c r="G112" s="11">
        <v>14</v>
      </c>
      <c r="H112" s="11">
        <v>21</v>
      </c>
    </row>
    <row r="113" spans="1:8" x14ac:dyDescent="0.3">
      <c r="A113" s="4" t="s">
        <v>67</v>
      </c>
      <c r="B113" s="10" t="s">
        <v>128</v>
      </c>
      <c r="C113" s="11">
        <v>0</v>
      </c>
      <c r="D113" s="11">
        <v>0</v>
      </c>
      <c r="E113" s="11">
        <v>0</v>
      </c>
      <c r="F113" s="11">
        <v>2</v>
      </c>
      <c r="G113" s="11">
        <v>17</v>
      </c>
      <c r="H113" s="11">
        <v>19</v>
      </c>
    </row>
    <row r="114" spans="1:8" x14ac:dyDescent="0.3">
      <c r="A114" s="4" t="s">
        <v>67</v>
      </c>
      <c r="B114" s="10" t="s">
        <v>129</v>
      </c>
      <c r="C114" s="11">
        <v>2</v>
      </c>
      <c r="D114" s="11">
        <v>0</v>
      </c>
      <c r="E114" s="11">
        <v>0</v>
      </c>
      <c r="F114" s="11">
        <v>3</v>
      </c>
      <c r="G114" s="11">
        <v>13</v>
      </c>
      <c r="H114" s="11">
        <v>18</v>
      </c>
    </row>
    <row r="115" spans="1:8" x14ac:dyDescent="0.3">
      <c r="A115" s="4" t="s">
        <v>67</v>
      </c>
      <c r="B115" s="10" t="s">
        <v>130</v>
      </c>
      <c r="C115" s="11">
        <v>0</v>
      </c>
      <c r="D115" s="11">
        <v>0</v>
      </c>
      <c r="E115" s="11">
        <v>0</v>
      </c>
      <c r="F115" s="11">
        <v>3</v>
      </c>
      <c r="G115" s="11">
        <v>18</v>
      </c>
      <c r="H115" s="11">
        <v>21</v>
      </c>
    </row>
    <row r="116" spans="1:8" x14ac:dyDescent="0.3">
      <c r="A116" s="4" t="s">
        <v>67</v>
      </c>
      <c r="B116" s="10" t="s">
        <v>131</v>
      </c>
      <c r="C116" s="11">
        <v>5</v>
      </c>
      <c r="D116" s="11">
        <v>0</v>
      </c>
      <c r="E116" s="11">
        <v>0</v>
      </c>
      <c r="F116" s="11">
        <v>3</v>
      </c>
      <c r="G116" s="11">
        <v>18</v>
      </c>
      <c r="H116" s="11">
        <v>26</v>
      </c>
    </row>
    <row r="117" spans="1:8" x14ac:dyDescent="0.3">
      <c r="A117" s="4" t="s">
        <v>67</v>
      </c>
      <c r="B117" s="10" t="s">
        <v>132</v>
      </c>
      <c r="C117" s="11">
        <v>4</v>
      </c>
      <c r="D117" s="11">
        <v>1</v>
      </c>
      <c r="E117" s="11">
        <v>1</v>
      </c>
      <c r="F117" s="11">
        <v>11</v>
      </c>
      <c r="G117" s="11">
        <v>31</v>
      </c>
      <c r="H117" s="11">
        <v>48</v>
      </c>
    </row>
    <row r="118" spans="1:8" x14ac:dyDescent="0.3">
      <c r="A118" s="4" t="s">
        <v>67</v>
      </c>
      <c r="B118" s="10" t="s">
        <v>133</v>
      </c>
      <c r="C118" s="11">
        <v>1</v>
      </c>
      <c r="D118" s="11">
        <v>0</v>
      </c>
      <c r="E118" s="11">
        <v>0</v>
      </c>
      <c r="F118" s="11">
        <v>8</v>
      </c>
      <c r="G118" s="11">
        <v>39</v>
      </c>
      <c r="H118" s="11">
        <v>48</v>
      </c>
    </row>
  </sheetData>
  <autoFilter ref="A1:L66" xr:uid="{C9BAC718-715F-4B32-B96D-7F3E77229D47}"/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9A3E8-7A1B-411C-B400-A6A9C65A912C}">
  <dimension ref="A1:Q121"/>
  <sheetViews>
    <sheetView workbookViewId="0">
      <pane xSplit="1" ySplit="1" topLeftCell="B82" activePane="bottomRight" state="frozen"/>
      <selection pane="topRight" activeCell="B1" sqref="B1"/>
      <selection pane="bottomLeft" activeCell="A2" sqref="A2"/>
      <selection pane="bottomRight" activeCell="L94" sqref="L94"/>
    </sheetView>
  </sheetViews>
  <sheetFormatPr defaultRowHeight="14.4" x14ac:dyDescent="0.3"/>
  <cols>
    <col min="2" max="2" width="17.33203125" customWidth="1"/>
    <col min="3" max="3" width="16.5546875" customWidth="1"/>
    <col min="4" max="4" width="17" customWidth="1"/>
    <col min="5" max="5" width="15.88671875" customWidth="1"/>
    <col min="6" max="6" width="16.109375" bestFit="1" customWidth="1"/>
    <col min="7" max="7" width="14.33203125" customWidth="1"/>
    <col min="8" max="8" width="17.6640625" customWidth="1"/>
  </cols>
  <sheetData>
    <row r="1" spans="1:8" x14ac:dyDescent="0.3">
      <c r="A1" s="7" t="s">
        <v>66</v>
      </c>
      <c r="B1" s="8" t="s">
        <v>65</v>
      </c>
      <c r="C1" s="2" t="s">
        <v>73</v>
      </c>
      <c r="D1" s="3" t="s">
        <v>74</v>
      </c>
      <c r="E1" s="2" t="s">
        <v>76</v>
      </c>
      <c r="F1" s="2" t="s">
        <v>77</v>
      </c>
      <c r="G1" s="2" t="s">
        <v>78</v>
      </c>
      <c r="H1" s="2" t="s">
        <v>75</v>
      </c>
    </row>
    <row r="2" spans="1:8" x14ac:dyDescent="0.3">
      <c r="A2" s="9" t="s">
        <v>67</v>
      </c>
      <c r="B2" s="10" t="s">
        <v>0</v>
      </c>
      <c r="C2" s="11">
        <v>1</v>
      </c>
      <c r="D2" s="12">
        <v>0</v>
      </c>
      <c r="E2" s="11">
        <v>0</v>
      </c>
      <c r="F2" s="11">
        <v>4</v>
      </c>
      <c r="G2" s="11">
        <v>17</v>
      </c>
      <c r="H2" s="11">
        <v>22</v>
      </c>
    </row>
    <row r="3" spans="1:8" x14ac:dyDescent="0.3">
      <c r="A3" s="9" t="s">
        <v>67</v>
      </c>
      <c r="B3" s="10" t="s">
        <v>1</v>
      </c>
      <c r="C3" s="11">
        <v>2</v>
      </c>
      <c r="D3" s="12">
        <v>0</v>
      </c>
      <c r="E3" s="11">
        <v>2</v>
      </c>
      <c r="F3" s="11">
        <v>6</v>
      </c>
      <c r="G3" s="11">
        <v>21</v>
      </c>
      <c r="H3" s="11">
        <v>31</v>
      </c>
    </row>
    <row r="4" spans="1:8" x14ac:dyDescent="0.3">
      <c r="A4" s="9" t="s">
        <v>67</v>
      </c>
      <c r="B4" s="10" t="s">
        <v>2</v>
      </c>
      <c r="C4" s="11">
        <v>1</v>
      </c>
      <c r="D4" s="12">
        <v>0</v>
      </c>
      <c r="E4" s="11">
        <v>0</v>
      </c>
      <c r="F4" s="11">
        <v>6</v>
      </c>
      <c r="G4" s="11">
        <v>24</v>
      </c>
      <c r="H4" s="11">
        <v>31</v>
      </c>
    </row>
    <row r="5" spans="1:8" x14ac:dyDescent="0.3">
      <c r="A5" s="9" t="s">
        <v>67</v>
      </c>
      <c r="B5" s="10" t="s">
        <v>3</v>
      </c>
      <c r="C5" s="11">
        <v>6</v>
      </c>
      <c r="D5" s="12">
        <v>0</v>
      </c>
      <c r="E5" s="11">
        <v>0</v>
      </c>
      <c r="F5" s="11">
        <v>6</v>
      </c>
      <c r="G5" s="11">
        <v>20</v>
      </c>
      <c r="H5" s="11">
        <v>32</v>
      </c>
    </row>
    <row r="6" spans="1:8" x14ac:dyDescent="0.3">
      <c r="A6" s="9" t="s">
        <v>67</v>
      </c>
      <c r="B6" s="10" t="s">
        <v>4</v>
      </c>
      <c r="C6" s="11">
        <v>0</v>
      </c>
      <c r="D6" s="12">
        <v>1</v>
      </c>
      <c r="E6" s="11">
        <v>2</v>
      </c>
      <c r="F6" s="11">
        <v>10</v>
      </c>
      <c r="G6" s="11">
        <v>20</v>
      </c>
      <c r="H6" s="11">
        <v>33</v>
      </c>
    </row>
    <row r="7" spans="1:8" x14ac:dyDescent="0.3">
      <c r="A7" s="9" t="s">
        <v>67</v>
      </c>
      <c r="B7" s="10" t="s">
        <v>5</v>
      </c>
      <c r="C7" s="11">
        <v>1</v>
      </c>
      <c r="D7" s="12">
        <v>0</v>
      </c>
      <c r="E7" s="11">
        <v>1</v>
      </c>
      <c r="F7" s="11">
        <v>4</v>
      </c>
      <c r="G7" s="11">
        <v>16</v>
      </c>
      <c r="H7" s="11">
        <v>22</v>
      </c>
    </row>
    <row r="8" spans="1:8" x14ac:dyDescent="0.3">
      <c r="A8" s="9" t="s">
        <v>67</v>
      </c>
      <c r="B8" s="10" t="s">
        <v>6</v>
      </c>
      <c r="C8" s="11">
        <v>3</v>
      </c>
      <c r="D8" s="12">
        <v>1</v>
      </c>
      <c r="E8" s="11">
        <v>0</v>
      </c>
      <c r="F8" s="11">
        <v>5</v>
      </c>
      <c r="G8" s="11">
        <v>13</v>
      </c>
      <c r="H8" s="11">
        <v>22</v>
      </c>
    </row>
    <row r="9" spans="1:8" x14ac:dyDescent="0.3">
      <c r="A9" s="9" t="s">
        <v>67</v>
      </c>
      <c r="B9" s="10" t="s">
        <v>7</v>
      </c>
      <c r="C9" s="11">
        <v>4</v>
      </c>
      <c r="D9" s="12">
        <v>0</v>
      </c>
      <c r="E9" s="11">
        <v>1</v>
      </c>
      <c r="F9" s="11">
        <v>4</v>
      </c>
      <c r="G9" s="11">
        <v>17</v>
      </c>
      <c r="H9" s="11">
        <v>26</v>
      </c>
    </row>
    <row r="10" spans="1:8" x14ac:dyDescent="0.3">
      <c r="A10" s="9" t="s">
        <v>67</v>
      </c>
      <c r="B10" s="10" t="s">
        <v>8</v>
      </c>
      <c r="C10" s="11">
        <v>5</v>
      </c>
      <c r="D10" s="12">
        <v>0</v>
      </c>
      <c r="E10" s="11">
        <v>0</v>
      </c>
      <c r="F10" s="11">
        <v>10</v>
      </c>
      <c r="G10" s="11">
        <v>18</v>
      </c>
      <c r="H10" s="11">
        <v>33</v>
      </c>
    </row>
    <row r="11" spans="1:8" x14ac:dyDescent="0.3">
      <c r="A11" s="9" t="s">
        <v>67</v>
      </c>
      <c r="B11" s="10" t="s">
        <v>9</v>
      </c>
      <c r="C11" s="11">
        <v>3</v>
      </c>
      <c r="D11" s="12">
        <v>5</v>
      </c>
      <c r="E11" s="11">
        <v>1</v>
      </c>
      <c r="F11" s="11">
        <v>8</v>
      </c>
      <c r="G11" s="11">
        <v>28</v>
      </c>
      <c r="H11" s="11">
        <v>45</v>
      </c>
    </row>
    <row r="12" spans="1:8" x14ac:dyDescent="0.3">
      <c r="A12" s="9" t="s">
        <v>67</v>
      </c>
      <c r="B12" s="10" t="s">
        <v>10</v>
      </c>
      <c r="C12" s="11">
        <v>3</v>
      </c>
      <c r="D12" s="12">
        <v>0</v>
      </c>
      <c r="E12" s="11">
        <v>0</v>
      </c>
      <c r="F12" s="11">
        <v>4</v>
      </c>
      <c r="G12" s="11">
        <v>30</v>
      </c>
      <c r="H12" s="11">
        <v>37</v>
      </c>
    </row>
    <row r="13" spans="1:8" x14ac:dyDescent="0.3">
      <c r="A13" s="9" t="s">
        <v>67</v>
      </c>
      <c r="B13" s="10" t="s">
        <v>11</v>
      </c>
      <c r="C13" s="11">
        <v>2</v>
      </c>
      <c r="D13" s="12">
        <v>2</v>
      </c>
      <c r="E13" s="11">
        <v>1</v>
      </c>
      <c r="F13" s="11">
        <v>10</v>
      </c>
      <c r="G13" s="11">
        <v>35</v>
      </c>
      <c r="H13" s="11">
        <v>50</v>
      </c>
    </row>
    <row r="14" spans="1:8" x14ac:dyDescent="0.3">
      <c r="A14" s="9" t="s">
        <v>67</v>
      </c>
      <c r="B14" s="10" t="s">
        <v>12</v>
      </c>
      <c r="C14" s="11">
        <v>1</v>
      </c>
      <c r="D14" s="12">
        <v>0</v>
      </c>
      <c r="E14" s="11">
        <v>0</v>
      </c>
      <c r="F14" s="11">
        <v>14</v>
      </c>
      <c r="G14" s="11">
        <v>45</v>
      </c>
      <c r="H14" s="11">
        <v>60</v>
      </c>
    </row>
    <row r="15" spans="1:8" x14ac:dyDescent="0.3">
      <c r="A15" s="9" t="s">
        <v>67</v>
      </c>
      <c r="B15" s="10" t="s">
        <v>13</v>
      </c>
      <c r="C15" s="11">
        <v>2</v>
      </c>
      <c r="D15" s="12">
        <v>1</v>
      </c>
      <c r="E15" s="12">
        <v>1</v>
      </c>
      <c r="F15" s="12">
        <v>13</v>
      </c>
      <c r="G15" s="12">
        <v>47</v>
      </c>
      <c r="H15" s="12">
        <v>64</v>
      </c>
    </row>
    <row r="16" spans="1:8" x14ac:dyDescent="0.3">
      <c r="A16" s="9" t="s">
        <v>67</v>
      </c>
      <c r="B16" s="10" t="s">
        <v>14</v>
      </c>
      <c r="C16" s="11">
        <v>0</v>
      </c>
      <c r="D16" s="12">
        <v>0</v>
      </c>
      <c r="E16" s="12">
        <v>0</v>
      </c>
      <c r="F16" s="12">
        <v>4</v>
      </c>
      <c r="G16" s="12">
        <v>18</v>
      </c>
      <c r="H16" s="12">
        <v>22</v>
      </c>
    </row>
    <row r="17" spans="1:8" x14ac:dyDescent="0.3">
      <c r="A17" s="9" t="s">
        <v>67</v>
      </c>
      <c r="B17" s="10" t="s">
        <v>15</v>
      </c>
      <c r="C17" s="11">
        <v>2</v>
      </c>
      <c r="D17" s="12">
        <v>0</v>
      </c>
      <c r="E17" s="12">
        <v>0</v>
      </c>
      <c r="F17" s="12">
        <v>7</v>
      </c>
      <c r="G17" s="12">
        <v>21</v>
      </c>
      <c r="H17" s="12">
        <v>30</v>
      </c>
    </row>
    <row r="18" spans="1:8" x14ac:dyDescent="0.3">
      <c r="A18" s="9" t="s">
        <v>67</v>
      </c>
      <c r="B18" s="10" t="s">
        <v>16</v>
      </c>
      <c r="C18" s="11">
        <v>2</v>
      </c>
      <c r="D18" s="12">
        <v>1</v>
      </c>
      <c r="E18" s="12">
        <v>0</v>
      </c>
      <c r="F18" s="12">
        <v>11</v>
      </c>
      <c r="G18" s="12">
        <v>20</v>
      </c>
      <c r="H18" s="12">
        <v>34</v>
      </c>
    </row>
    <row r="19" spans="1:8" x14ac:dyDescent="0.3">
      <c r="A19" s="9" t="s">
        <v>67</v>
      </c>
      <c r="B19" s="10" t="s">
        <v>17</v>
      </c>
      <c r="C19" s="11">
        <v>3</v>
      </c>
      <c r="D19" s="12">
        <v>1</v>
      </c>
      <c r="E19" s="12">
        <v>0</v>
      </c>
      <c r="F19" s="12">
        <v>5</v>
      </c>
      <c r="G19" s="12">
        <v>32</v>
      </c>
      <c r="H19" s="12">
        <v>41</v>
      </c>
    </row>
    <row r="20" spans="1:8" x14ac:dyDescent="0.3">
      <c r="A20" s="9" t="s">
        <v>67</v>
      </c>
      <c r="B20" s="10" t="s">
        <v>18</v>
      </c>
      <c r="C20" s="11">
        <v>2</v>
      </c>
      <c r="D20" s="12">
        <v>2</v>
      </c>
      <c r="E20" s="12">
        <v>1</v>
      </c>
      <c r="F20" s="12">
        <v>5</v>
      </c>
      <c r="G20" s="12">
        <v>27</v>
      </c>
      <c r="H20" s="12">
        <v>37</v>
      </c>
    </row>
    <row r="21" spans="1:8" x14ac:dyDescent="0.3">
      <c r="A21" s="9" t="s">
        <v>67</v>
      </c>
      <c r="B21" s="10" t="s">
        <v>19</v>
      </c>
      <c r="C21" s="11">
        <v>0</v>
      </c>
      <c r="D21" s="12">
        <v>0</v>
      </c>
      <c r="E21" s="12">
        <v>1</v>
      </c>
      <c r="F21" s="12">
        <v>7</v>
      </c>
      <c r="G21" s="12">
        <v>20</v>
      </c>
      <c r="H21" s="12">
        <v>28</v>
      </c>
    </row>
    <row r="22" spans="1:8" x14ac:dyDescent="0.3">
      <c r="A22" s="9" t="s">
        <v>67</v>
      </c>
      <c r="B22" s="10" t="s">
        <v>20</v>
      </c>
      <c r="C22" s="11">
        <v>0</v>
      </c>
      <c r="D22" s="12">
        <v>1</v>
      </c>
      <c r="E22" s="12">
        <v>1</v>
      </c>
      <c r="F22" s="12">
        <v>5</v>
      </c>
      <c r="G22" s="12">
        <v>16</v>
      </c>
      <c r="H22" s="12">
        <v>23</v>
      </c>
    </row>
    <row r="23" spans="1:8" x14ac:dyDescent="0.3">
      <c r="A23" s="9" t="s">
        <v>67</v>
      </c>
      <c r="B23" s="10" t="s">
        <v>21</v>
      </c>
      <c r="C23" s="11">
        <v>0</v>
      </c>
      <c r="D23" s="12">
        <v>2</v>
      </c>
      <c r="E23" s="12">
        <v>0</v>
      </c>
      <c r="F23" s="12">
        <v>6</v>
      </c>
      <c r="G23" s="12">
        <v>22</v>
      </c>
      <c r="H23" s="12">
        <v>30</v>
      </c>
    </row>
    <row r="24" spans="1:8" x14ac:dyDescent="0.3">
      <c r="A24" s="9" t="s">
        <v>67</v>
      </c>
      <c r="B24" s="10" t="s">
        <v>22</v>
      </c>
      <c r="C24" s="11">
        <v>2</v>
      </c>
      <c r="D24" s="12">
        <v>0</v>
      </c>
      <c r="E24" s="12">
        <v>0</v>
      </c>
      <c r="F24" s="12">
        <v>4</v>
      </c>
      <c r="G24" s="12">
        <v>17</v>
      </c>
      <c r="H24" s="12">
        <v>23</v>
      </c>
    </row>
    <row r="25" spans="1:8" x14ac:dyDescent="0.3">
      <c r="A25" s="9" t="s">
        <v>67</v>
      </c>
      <c r="B25" s="10" t="s">
        <v>23</v>
      </c>
      <c r="C25" s="11">
        <v>1</v>
      </c>
      <c r="D25" s="12">
        <v>0</v>
      </c>
      <c r="E25" s="12">
        <v>0</v>
      </c>
      <c r="F25" s="12">
        <v>2</v>
      </c>
      <c r="G25" s="12">
        <v>19</v>
      </c>
      <c r="H25" s="12">
        <v>22</v>
      </c>
    </row>
    <row r="26" spans="1:8" x14ac:dyDescent="0.3">
      <c r="A26" s="9" t="s">
        <v>67</v>
      </c>
      <c r="B26" s="10" t="s">
        <v>24</v>
      </c>
      <c r="C26" s="11">
        <v>3</v>
      </c>
      <c r="D26" s="12">
        <v>1</v>
      </c>
      <c r="E26" s="12">
        <v>2</v>
      </c>
      <c r="F26" s="12">
        <v>11</v>
      </c>
      <c r="G26" s="12">
        <v>16</v>
      </c>
      <c r="H26" s="12">
        <v>33</v>
      </c>
    </row>
    <row r="27" spans="1:8" x14ac:dyDescent="0.3">
      <c r="A27" s="9" t="s">
        <v>67</v>
      </c>
      <c r="B27" s="10" t="s">
        <v>25</v>
      </c>
      <c r="C27" s="11">
        <v>0</v>
      </c>
      <c r="D27" s="12">
        <v>0</v>
      </c>
      <c r="E27" s="12">
        <v>1</v>
      </c>
      <c r="F27" s="12">
        <v>10</v>
      </c>
      <c r="G27" s="12">
        <v>22</v>
      </c>
      <c r="H27" s="12">
        <v>33</v>
      </c>
    </row>
    <row r="28" spans="1:8" x14ac:dyDescent="0.3">
      <c r="A28" s="9" t="s">
        <v>67</v>
      </c>
      <c r="B28" s="10" t="s">
        <v>26</v>
      </c>
      <c r="C28" s="11">
        <v>0</v>
      </c>
      <c r="D28" s="12">
        <v>0</v>
      </c>
      <c r="E28" s="12">
        <v>0</v>
      </c>
      <c r="F28" s="12">
        <v>4</v>
      </c>
      <c r="G28" s="12">
        <v>16</v>
      </c>
      <c r="H28" s="12">
        <v>20</v>
      </c>
    </row>
    <row r="29" spans="1:8" x14ac:dyDescent="0.3">
      <c r="A29" s="9" t="s">
        <v>67</v>
      </c>
      <c r="B29" s="10" t="s">
        <v>27</v>
      </c>
      <c r="C29" s="11">
        <v>1</v>
      </c>
      <c r="D29" s="12">
        <v>0</v>
      </c>
      <c r="E29" s="12">
        <v>1</v>
      </c>
      <c r="F29" s="12">
        <v>7</v>
      </c>
      <c r="G29" s="12">
        <v>22</v>
      </c>
      <c r="H29" s="12">
        <v>31</v>
      </c>
    </row>
    <row r="30" spans="1:8" x14ac:dyDescent="0.3">
      <c r="A30" s="9" t="s">
        <v>67</v>
      </c>
      <c r="B30" s="10" t="s">
        <v>28</v>
      </c>
      <c r="C30" s="11">
        <v>0</v>
      </c>
      <c r="D30" s="12">
        <v>2</v>
      </c>
      <c r="E30" s="12">
        <v>1</v>
      </c>
      <c r="F30" s="12">
        <v>2</v>
      </c>
      <c r="G30" s="12">
        <v>14</v>
      </c>
      <c r="H30" s="12">
        <v>19</v>
      </c>
    </row>
    <row r="31" spans="1:8" x14ac:dyDescent="0.3">
      <c r="A31" s="9" t="s">
        <v>67</v>
      </c>
      <c r="B31" s="10" t="s">
        <v>29</v>
      </c>
      <c r="C31" s="11">
        <v>2</v>
      </c>
      <c r="D31" s="12">
        <v>1</v>
      </c>
      <c r="E31" s="12">
        <v>2</v>
      </c>
      <c r="F31" s="12">
        <v>2</v>
      </c>
      <c r="G31" s="12">
        <v>24</v>
      </c>
      <c r="H31" s="12">
        <v>31</v>
      </c>
    </row>
    <row r="32" spans="1:8" x14ac:dyDescent="0.3">
      <c r="A32" s="9" t="s">
        <v>67</v>
      </c>
      <c r="B32" s="10" t="s">
        <v>30</v>
      </c>
      <c r="C32" s="11">
        <v>0</v>
      </c>
      <c r="D32" s="12">
        <v>1</v>
      </c>
      <c r="E32" s="12">
        <v>1</v>
      </c>
      <c r="F32" s="12">
        <v>8</v>
      </c>
      <c r="G32" s="12">
        <v>18</v>
      </c>
      <c r="H32" s="12">
        <v>28</v>
      </c>
    </row>
    <row r="33" spans="1:8" x14ac:dyDescent="0.3">
      <c r="A33" s="9" t="s">
        <v>67</v>
      </c>
      <c r="B33" s="10" t="s">
        <v>31</v>
      </c>
      <c r="C33" s="11">
        <v>1</v>
      </c>
      <c r="D33" s="12">
        <v>1</v>
      </c>
      <c r="E33" s="12">
        <v>0</v>
      </c>
      <c r="F33" s="12">
        <v>6</v>
      </c>
      <c r="G33" s="12">
        <v>20</v>
      </c>
      <c r="H33" s="12">
        <v>28</v>
      </c>
    </row>
    <row r="34" spans="1:8" x14ac:dyDescent="0.3">
      <c r="A34" s="9" t="s">
        <v>67</v>
      </c>
      <c r="B34" s="10" t="s">
        <v>32</v>
      </c>
      <c r="C34" s="11">
        <v>0</v>
      </c>
      <c r="D34" s="12">
        <v>0</v>
      </c>
      <c r="E34" s="12">
        <v>0</v>
      </c>
      <c r="F34" s="12">
        <v>4</v>
      </c>
      <c r="G34" s="12">
        <v>15</v>
      </c>
      <c r="H34" s="12">
        <v>19</v>
      </c>
    </row>
    <row r="35" spans="1:8" x14ac:dyDescent="0.3">
      <c r="A35" s="9" t="s">
        <v>67</v>
      </c>
      <c r="B35" s="10" t="s">
        <v>33</v>
      </c>
      <c r="C35" s="11">
        <v>0</v>
      </c>
      <c r="D35" s="12">
        <v>1</v>
      </c>
      <c r="E35" s="12">
        <v>1</v>
      </c>
      <c r="F35" s="12">
        <v>3</v>
      </c>
      <c r="G35" s="12">
        <v>18</v>
      </c>
      <c r="H35" s="12">
        <v>23</v>
      </c>
    </row>
    <row r="36" spans="1:8" x14ac:dyDescent="0.3">
      <c r="A36" s="9" t="s">
        <v>67</v>
      </c>
      <c r="B36" s="10" t="s">
        <v>34</v>
      </c>
      <c r="C36" s="11">
        <v>0</v>
      </c>
      <c r="D36" s="12">
        <v>0</v>
      </c>
      <c r="E36" s="12">
        <v>1</v>
      </c>
      <c r="F36" s="12">
        <v>4</v>
      </c>
      <c r="G36" s="12">
        <v>13</v>
      </c>
      <c r="H36" s="12">
        <v>18</v>
      </c>
    </row>
    <row r="37" spans="1:8" x14ac:dyDescent="0.3">
      <c r="A37" s="9" t="s">
        <v>67</v>
      </c>
      <c r="B37" s="10" t="s">
        <v>35</v>
      </c>
      <c r="C37" s="11">
        <v>0</v>
      </c>
      <c r="D37" s="12">
        <v>1</v>
      </c>
      <c r="E37" s="12">
        <v>0</v>
      </c>
      <c r="F37" s="12">
        <v>5</v>
      </c>
      <c r="G37" s="12">
        <v>19</v>
      </c>
      <c r="H37" s="12">
        <v>25</v>
      </c>
    </row>
    <row r="38" spans="1:8" x14ac:dyDescent="0.3">
      <c r="A38" s="9" t="s">
        <v>67</v>
      </c>
      <c r="B38" s="10" t="s">
        <v>36</v>
      </c>
      <c r="C38" s="11">
        <v>0</v>
      </c>
      <c r="D38" s="12">
        <v>0</v>
      </c>
      <c r="E38" s="12">
        <v>2</v>
      </c>
      <c r="F38" s="12">
        <v>6</v>
      </c>
      <c r="G38" s="12">
        <v>10</v>
      </c>
      <c r="H38" s="12">
        <v>18</v>
      </c>
    </row>
    <row r="39" spans="1:8" x14ac:dyDescent="0.3">
      <c r="A39" s="9" t="s">
        <v>67</v>
      </c>
      <c r="B39" s="10" t="s">
        <v>37</v>
      </c>
      <c r="C39" s="11">
        <v>1</v>
      </c>
      <c r="D39" s="12">
        <v>1</v>
      </c>
      <c r="E39" s="12">
        <v>0</v>
      </c>
      <c r="F39" s="12">
        <v>4</v>
      </c>
      <c r="G39" s="12">
        <v>12</v>
      </c>
      <c r="H39" s="12">
        <v>18</v>
      </c>
    </row>
    <row r="40" spans="1:8" x14ac:dyDescent="0.3">
      <c r="A40" s="9" t="s">
        <v>67</v>
      </c>
      <c r="B40" s="10" t="s">
        <v>38</v>
      </c>
      <c r="C40" s="11">
        <v>0</v>
      </c>
      <c r="D40" s="12">
        <v>0</v>
      </c>
      <c r="E40" s="12">
        <v>0</v>
      </c>
      <c r="F40" s="12">
        <v>2</v>
      </c>
      <c r="G40" s="12">
        <v>24</v>
      </c>
      <c r="H40" s="12">
        <v>26</v>
      </c>
    </row>
    <row r="41" spans="1:8" x14ac:dyDescent="0.3">
      <c r="A41" s="9" t="s">
        <v>67</v>
      </c>
      <c r="B41" s="10" t="s">
        <v>39</v>
      </c>
      <c r="C41" s="11">
        <v>0</v>
      </c>
      <c r="D41" s="12">
        <v>0</v>
      </c>
      <c r="E41" s="12">
        <v>0</v>
      </c>
      <c r="F41" s="12">
        <v>9</v>
      </c>
      <c r="G41" s="12">
        <v>16</v>
      </c>
      <c r="H41" s="12">
        <v>25</v>
      </c>
    </row>
    <row r="42" spans="1:8" x14ac:dyDescent="0.3">
      <c r="A42" s="9" t="s">
        <v>67</v>
      </c>
      <c r="B42" s="10" t="s">
        <v>40</v>
      </c>
      <c r="C42" s="11">
        <v>0</v>
      </c>
      <c r="D42" s="12">
        <v>1</v>
      </c>
      <c r="E42" s="12">
        <v>0</v>
      </c>
      <c r="F42" s="12">
        <v>5</v>
      </c>
      <c r="G42" s="12">
        <v>19</v>
      </c>
      <c r="H42" s="12">
        <v>25</v>
      </c>
    </row>
    <row r="43" spans="1:8" x14ac:dyDescent="0.3">
      <c r="A43" s="9" t="s">
        <v>67</v>
      </c>
      <c r="B43" s="10" t="s">
        <v>41</v>
      </c>
      <c r="C43" s="11">
        <v>0</v>
      </c>
      <c r="D43" s="12">
        <v>0</v>
      </c>
      <c r="E43" s="12">
        <v>0</v>
      </c>
      <c r="F43" s="12">
        <v>2</v>
      </c>
      <c r="G43" s="12">
        <v>8</v>
      </c>
      <c r="H43" s="12">
        <v>10</v>
      </c>
    </row>
    <row r="44" spans="1:8" x14ac:dyDescent="0.3">
      <c r="A44" s="9" t="s">
        <v>67</v>
      </c>
      <c r="B44" s="10" t="s">
        <v>42</v>
      </c>
      <c r="C44" s="11">
        <v>2</v>
      </c>
      <c r="D44" s="12">
        <v>0</v>
      </c>
      <c r="E44" s="12">
        <v>2</v>
      </c>
      <c r="F44" s="12">
        <v>0</v>
      </c>
      <c r="G44" s="12">
        <v>9</v>
      </c>
      <c r="H44" s="12">
        <v>13</v>
      </c>
    </row>
    <row r="45" spans="1:8" x14ac:dyDescent="0.3">
      <c r="A45" s="9" t="s">
        <v>67</v>
      </c>
      <c r="B45" s="10" t="s">
        <v>43</v>
      </c>
      <c r="C45" s="11">
        <v>0</v>
      </c>
      <c r="D45" s="12">
        <v>1</v>
      </c>
      <c r="E45" s="12">
        <v>1</v>
      </c>
      <c r="F45" s="12">
        <v>8</v>
      </c>
      <c r="G45" s="12">
        <v>15</v>
      </c>
      <c r="H45" s="12">
        <v>25</v>
      </c>
    </row>
    <row r="46" spans="1:8" x14ac:dyDescent="0.3">
      <c r="A46" s="9" t="s">
        <v>67</v>
      </c>
      <c r="B46" s="10" t="s">
        <v>44</v>
      </c>
      <c r="C46" s="11">
        <v>0</v>
      </c>
      <c r="D46" s="12">
        <v>1</v>
      </c>
      <c r="E46" s="12">
        <v>0</v>
      </c>
      <c r="F46" s="12">
        <v>1</v>
      </c>
      <c r="G46" s="12">
        <v>21</v>
      </c>
      <c r="H46" s="12">
        <v>23</v>
      </c>
    </row>
    <row r="47" spans="1:8" x14ac:dyDescent="0.3">
      <c r="A47" s="9" t="s">
        <v>67</v>
      </c>
      <c r="B47" s="10" t="s">
        <v>45</v>
      </c>
      <c r="C47" s="11">
        <v>2</v>
      </c>
      <c r="D47" s="12">
        <v>1</v>
      </c>
      <c r="E47" s="12">
        <v>0</v>
      </c>
      <c r="F47" s="12">
        <v>4</v>
      </c>
      <c r="G47" s="12">
        <v>12</v>
      </c>
      <c r="H47" s="12">
        <v>19</v>
      </c>
    </row>
    <row r="48" spans="1:8" x14ac:dyDescent="0.3">
      <c r="A48" s="9" t="s">
        <v>67</v>
      </c>
      <c r="B48" s="10" t="s">
        <v>46</v>
      </c>
      <c r="C48" s="11">
        <v>1</v>
      </c>
      <c r="D48" s="12">
        <v>1</v>
      </c>
      <c r="E48" s="12">
        <v>1</v>
      </c>
      <c r="F48" s="12">
        <v>2</v>
      </c>
      <c r="G48" s="12">
        <v>13</v>
      </c>
      <c r="H48" s="12">
        <v>18</v>
      </c>
    </row>
    <row r="49" spans="1:8" x14ac:dyDescent="0.3">
      <c r="A49" s="9" t="s">
        <v>67</v>
      </c>
      <c r="B49" s="10" t="s">
        <v>47</v>
      </c>
      <c r="C49" s="11">
        <v>1</v>
      </c>
      <c r="D49" s="12">
        <v>0</v>
      </c>
      <c r="E49" s="12">
        <v>0</v>
      </c>
      <c r="F49" s="12">
        <v>2</v>
      </c>
      <c r="G49" s="12">
        <v>5</v>
      </c>
      <c r="H49" s="12">
        <v>8</v>
      </c>
    </row>
    <row r="50" spans="1:8" x14ac:dyDescent="0.3">
      <c r="A50" s="9" t="s">
        <v>67</v>
      </c>
      <c r="B50" s="10" t="s">
        <v>48</v>
      </c>
      <c r="C50" s="11">
        <v>0</v>
      </c>
      <c r="D50" s="12">
        <v>0</v>
      </c>
      <c r="E50" s="12">
        <v>1</v>
      </c>
      <c r="F50" s="12">
        <v>4</v>
      </c>
      <c r="G50" s="12">
        <v>11</v>
      </c>
      <c r="H50" s="12">
        <v>16</v>
      </c>
    </row>
    <row r="51" spans="1:8" x14ac:dyDescent="0.3">
      <c r="A51" s="9" t="s">
        <v>67</v>
      </c>
      <c r="B51" s="10" t="s">
        <v>49</v>
      </c>
      <c r="C51" s="11">
        <v>0</v>
      </c>
      <c r="D51" s="12">
        <v>0</v>
      </c>
      <c r="E51" s="12">
        <v>0</v>
      </c>
      <c r="F51" s="12">
        <v>6</v>
      </c>
      <c r="G51" s="12">
        <v>15</v>
      </c>
      <c r="H51" s="12">
        <v>21</v>
      </c>
    </row>
    <row r="52" spans="1:8" x14ac:dyDescent="0.3">
      <c r="A52" s="9" t="s">
        <v>67</v>
      </c>
      <c r="B52" s="10" t="s">
        <v>50</v>
      </c>
      <c r="C52" s="11">
        <v>1</v>
      </c>
      <c r="D52" s="12">
        <v>0</v>
      </c>
      <c r="E52" s="12">
        <v>1</v>
      </c>
      <c r="F52" s="12">
        <v>9</v>
      </c>
      <c r="G52" s="12">
        <v>11</v>
      </c>
      <c r="H52" s="12">
        <v>22</v>
      </c>
    </row>
    <row r="53" spans="1:8" x14ac:dyDescent="0.3">
      <c r="A53" s="9" t="s">
        <v>67</v>
      </c>
      <c r="B53" s="10" t="s">
        <v>51</v>
      </c>
      <c r="C53" s="11">
        <v>1</v>
      </c>
      <c r="D53" s="12">
        <v>0</v>
      </c>
      <c r="E53" s="12">
        <v>0</v>
      </c>
      <c r="F53" s="12">
        <v>5</v>
      </c>
      <c r="G53" s="12">
        <v>16</v>
      </c>
      <c r="H53" s="12">
        <v>22</v>
      </c>
    </row>
    <row r="54" spans="1:8" x14ac:dyDescent="0.3">
      <c r="A54" s="9" t="s">
        <v>67</v>
      </c>
      <c r="B54" s="10" t="s">
        <v>52</v>
      </c>
      <c r="C54" s="11">
        <v>0</v>
      </c>
      <c r="D54" s="12">
        <v>0</v>
      </c>
      <c r="E54" s="12">
        <v>0</v>
      </c>
      <c r="F54" s="12">
        <v>7</v>
      </c>
      <c r="G54" s="12">
        <v>10</v>
      </c>
      <c r="H54" s="12">
        <v>17</v>
      </c>
    </row>
    <row r="55" spans="1:8" x14ac:dyDescent="0.3">
      <c r="A55" s="9" t="s">
        <v>67</v>
      </c>
      <c r="B55" s="10" t="s">
        <v>53</v>
      </c>
      <c r="C55" s="11">
        <v>2</v>
      </c>
      <c r="D55" s="12">
        <v>0</v>
      </c>
      <c r="E55" s="12">
        <v>1</v>
      </c>
      <c r="F55" s="12">
        <v>6</v>
      </c>
      <c r="G55" s="12">
        <v>11</v>
      </c>
      <c r="H55" s="12">
        <v>20</v>
      </c>
    </row>
    <row r="56" spans="1:8" x14ac:dyDescent="0.3">
      <c r="A56" s="9" t="s">
        <v>67</v>
      </c>
      <c r="B56" s="10" t="s">
        <v>54</v>
      </c>
      <c r="C56" s="11">
        <v>1</v>
      </c>
      <c r="D56" s="12">
        <v>0</v>
      </c>
      <c r="E56" s="12">
        <v>0</v>
      </c>
      <c r="F56" s="12">
        <v>4</v>
      </c>
      <c r="G56" s="12">
        <v>16</v>
      </c>
      <c r="H56" s="12">
        <v>21</v>
      </c>
    </row>
    <row r="57" spans="1:8" x14ac:dyDescent="0.3">
      <c r="A57" s="9" t="s">
        <v>67</v>
      </c>
      <c r="B57" s="10" t="s">
        <v>55</v>
      </c>
      <c r="C57" s="11">
        <v>0</v>
      </c>
      <c r="D57" s="12">
        <v>0</v>
      </c>
      <c r="E57" s="12">
        <v>0</v>
      </c>
      <c r="F57" s="12">
        <v>4</v>
      </c>
      <c r="G57" s="12">
        <v>18</v>
      </c>
      <c r="H57" s="12">
        <v>22</v>
      </c>
    </row>
    <row r="58" spans="1:8" x14ac:dyDescent="0.3">
      <c r="A58" s="9" t="s">
        <v>67</v>
      </c>
      <c r="B58" s="10" t="s">
        <v>56</v>
      </c>
      <c r="C58" s="11">
        <v>0</v>
      </c>
      <c r="D58" s="12">
        <v>0</v>
      </c>
      <c r="E58" s="12">
        <v>1</v>
      </c>
      <c r="F58" s="12">
        <v>5</v>
      </c>
      <c r="G58" s="12">
        <v>17</v>
      </c>
      <c r="H58" s="12">
        <v>23</v>
      </c>
    </row>
    <row r="59" spans="1:8" x14ac:dyDescent="0.3">
      <c r="A59" s="9" t="s">
        <v>67</v>
      </c>
      <c r="B59" s="10" t="s">
        <v>57</v>
      </c>
      <c r="C59" s="11">
        <v>1</v>
      </c>
      <c r="D59" s="12">
        <v>0</v>
      </c>
      <c r="E59" s="12">
        <v>1</v>
      </c>
      <c r="F59" s="12">
        <v>4</v>
      </c>
      <c r="G59" s="12">
        <v>16</v>
      </c>
      <c r="H59" s="12">
        <v>22</v>
      </c>
    </row>
    <row r="60" spans="1:8" x14ac:dyDescent="0.3">
      <c r="A60" s="9" t="s">
        <v>67</v>
      </c>
      <c r="B60" s="10" t="s">
        <v>58</v>
      </c>
      <c r="C60" s="11">
        <v>1</v>
      </c>
      <c r="D60" s="12">
        <v>1</v>
      </c>
      <c r="E60" s="12">
        <v>0</v>
      </c>
      <c r="F60" s="12">
        <v>9</v>
      </c>
      <c r="G60" s="12">
        <v>10</v>
      </c>
      <c r="H60" s="12">
        <v>21</v>
      </c>
    </row>
    <row r="61" spans="1:8" x14ac:dyDescent="0.3">
      <c r="A61" s="9" t="s">
        <v>67</v>
      </c>
      <c r="B61" s="10" t="s">
        <v>59</v>
      </c>
      <c r="C61" s="11">
        <v>2</v>
      </c>
      <c r="D61" s="12">
        <v>0</v>
      </c>
      <c r="E61" s="12">
        <v>2</v>
      </c>
      <c r="F61" s="12">
        <v>4</v>
      </c>
      <c r="G61" s="12">
        <v>19</v>
      </c>
      <c r="H61" s="12">
        <v>27</v>
      </c>
    </row>
    <row r="62" spans="1:8" x14ac:dyDescent="0.3">
      <c r="A62" s="9" t="s">
        <v>67</v>
      </c>
      <c r="B62" s="10" t="s">
        <v>60</v>
      </c>
      <c r="C62" s="11">
        <v>1</v>
      </c>
      <c r="D62" s="12">
        <v>0</v>
      </c>
      <c r="E62" s="12">
        <v>0</v>
      </c>
      <c r="F62" s="12">
        <v>3</v>
      </c>
      <c r="G62" s="12">
        <v>14</v>
      </c>
      <c r="H62" s="12">
        <v>18</v>
      </c>
    </row>
    <row r="63" spans="1:8" x14ac:dyDescent="0.3">
      <c r="A63" s="9" t="s">
        <v>67</v>
      </c>
      <c r="B63" s="10" t="s">
        <v>61</v>
      </c>
      <c r="C63" s="11">
        <v>2</v>
      </c>
      <c r="D63" s="12">
        <v>0</v>
      </c>
      <c r="E63" s="12">
        <v>0</v>
      </c>
      <c r="F63" s="12">
        <v>4</v>
      </c>
      <c r="G63" s="12">
        <v>26</v>
      </c>
      <c r="H63" s="12">
        <v>32</v>
      </c>
    </row>
    <row r="64" spans="1:8" x14ac:dyDescent="0.3">
      <c r="A64" s="9" t="s">
        <v>67</v>
      </c>
      <c r="B64" s="10" t="s">
        <v>62</v>
      </c>
      <c r="C64" s="11">
        <v>2</v>
      </c>
      <c r="D64" s="12">
        <v>1</v>
      </c>
      <c r="E64" s="12">
        <v>0</v>
      </c>
      <c r="F64" s="12">
        <v>4</v>
      </c>
      <c r="G64" s="12">
        <v>25</v>
      </c>
      <c r="H64" s="12">
        <v>32</v>
      </c>
    </row>
    <row r="65" spans="1:17" x14ac:dyDescent="0.3">
      <c r="A65" s="4" t="s">
        <v>67</v>
      </c>
      <c r="B65" s="10" t="s">
        <v>63</v>
      </c>
      <c r="C65" s="11">
        <v>4</v>
      </c>
      <c r="D65" s="12">
        <v>1</v>
      </c>
      <c r="E65" s="12">
        <v>1</v>
      </c>
      <c r="F65" s="12">
        <v>4</v>
      </c>
      <c r="G65" s="12">
        <v>32</v>
      </c>
      <c r="H65" s="12">
        <v>42</v>
      </c>
    </row>
    <row r="66" spans="1:17" x14ac:dyDescent="0.3">
      <c r="A66" s="4" t="s">
        <v>67</v>
      </c>
      <c r="B66" s="10" t="s">
        <v>64</v>
      </c>
      <c r="C66" s="11">
        <v>2</v>
      </c>
      <c r="D66" s="12">
        <v>0</v>
      </c>
      <c r="E66" s="12">
        <v>0</v>
      </c>
      <c r="F66" s="12">
        <v>4</v>
      </c>
      <c r="G66" s="12">
        <v>30</v>
      </c>
      <c r="H66" s="12">
        <v>36</v>
      </c>
    </row>
    <row r="67" spans="1:17" x14ac:dyDescent="0.3">
      <c r="A67" s="4" t="s">
        <v>67</v>
      </c>
      <c r="B67" s="10" t="s">
        <v>82</v>
      </c>
      <c r="C67" s="11">
        <v>2</v>
      </c>
      <c r="D67" s="12">
        <v>1</v>
      </c>
      <c r="E67" s="12">
        <v>0</v>
      </c>
      <c r="F67" s="12">
        <v>3</v>
      </c>
      <c r="G67" s="12">
        <v>32</v>
      </c>
      <c r="H67" s="12">
        <v>38</v>
      </c>
    </row>
    <row r="68" spans="1:17" x14ac:dyDescent="0.3">
      <c r="A68" s="4" t="s">
        <v>67</v>
      </c>
      <c r="B68" s="10" t="s">
        <v>83</v>
      </c>
      <c r="C68" s="11">
        <v>0</v>
      </c>
      <c r="D68" s="12">
        <v>1</v>
      </c>
      <c r="E68" s="12">
        <v>0</v>
      </c>
      <c r="F68" s="12">
        <v>5</v>
      </c>
      <c r="G68" s="12">
        <v>31</v>
      </c>
      <c r="H68" s="12">
        <v>37</v>
      </c>
    </row>
    <row r="69" spans="1:17" x14ac:dyDescent="0.3">
      <c r="A69" s="4" t="s">
        <v>67</v>
      </c>
      <c r="B69" s="10" t="s">
        <v>84</v>
      </c>
      <c r="C69" s="11">
        <v>1</v>
      </c>
      <c r="D69" s="12">
        <v>1</v>
      </c>
      <c r="E69" s="12">
        <v>0</v>
      </c>
      <c r="F69" s="12">
        <v>8</v>
      </c>
      <c r="G69" s="12">
        <v>27</v>
      </c>
      <c r="H69" s="12">
        <v>37</v>
      </c>
    </row>
    <row r="70" spans="1:17" x14ac:dyDescent="0.3">
      <c r="A70" s="4" t="s">
        <v>67</v>
      </c>
      <c r="B70" s="10" t="s">
        <v>85</v>
      </c>
      <c r="C70" s="11">
        <v>1</v>
      </c>
      <c r="D70" s="12">
        <v>0</v>
      </c>
      <c r="E70" s="12">
        <v>1</v>
      </c>
      <c r="F70" s="12">
        <v>13</v>
      </c>
      <c r="G70" s="12">
        <v>26</v>
      </c>
      <c r="H70" s="12">
        <v>41</v>
      </c>
      <c r="Q70" s="22"/>
    </row>
    <row r="71" spans="1:17" x14ac:dyDescent="0.3">
      <c r="A71" s="4" t="s">
        <v>67</v>
      </c>
      <c r="B71" s="10" t="s">
        <v>86</v>
      </c>
      <c r="C71" s="11">
        <v>0</v>
      </c>
      <c r="D71" s="12">
        <v>0</v>
      </c>
      <c r="E71" s="12">
        <v>0</v>
      </c>
      <c r="F71" s="12">
        <v>7</v>
      </c>
      <c r="G71" s="12">
        <v>46</v>
      </c>
      <c r="H71" s="12">
        <v>53</v>
      </c>
    </row>
    <row r="72" spans="1:17" x14ac:dyDescent="0.3">
      <c r="A72" s="4" t="s">
        <v>67</v>
      </c>
      <c r="B72" s="10" t="s">
        <v>87</v>
      </c>
      <c r="C72" s="11">
        <v>0</v>
      </c>
      <c r="D72" s="12">
        <v>1</v>
      </c>
      <c r="E72" s="12">
        <v>1</v>
      </c>
      <c r="F72" s="12">
        <v>7</v>
      </c>
      <c r="G72" s="12">
        <v>26</v>
      </c>
      <c r="H72" s="12">
        <v>35</v>
      </c>
    </row>
    <row r="73" spans="1:17" x14ac:dyDescent="0.3">
      <c r="A73" s="4" t="s">
        <v>67</v>
      </c>
      <c r="B73" s="10" t="s">
        <v>88</v>
      </c>
      <c r="C73" s="11">
        <v>2</v>
      </c>
      <c r="D73" s="12">
        <v>1</v>
      </c>
      <c r="E73" s="12">
        <v>0</v>
      </c>
      <c r="F73" s="12">
        <v>8</v>
      </c>
      <c r="G73" s="12">
        <v>23</v>
      </c>
      <c r="H73" s="12">
        <v>34</v>
      </c>
    </row>
    <row r="74" spans="1:17" x14ac:dyDescent="0.3">
      <c r="A74" s="4" t="s">
        <v>67</v>
      </c>
      <c r="B74" s="10" t="s">
        <v>89</v>
      </c>
      <c r="C74" s="11">
        <v>1</v>
      </c>
      <c r="D74" s="12">
        <v>1</v>
      </c>
      <c r="E74" s="12">
        <v>0</v>
      </c>
      <c r="F74" s="12">
        <v>3</v>
      </c>
      <c r="G74" s="12">
        <v>28</v>
      </c>
      <c r="H74" s="12">
        <v>33</v>
      </c>
    </row>
    <row r="75" spans="1:17" x14ac:dyDescent="0.3">
      <c r="A75" s="4" t="s">
        <v>67</v>
      </c>
      <c r="B75" s="10" t="s">
        <v>90</v>
      </c>
      <c r="C75" s="11">
        <v>0</v>
      </c>
      <c r="D75" s="12">
        <v>0</v>
      </c>
      <c r="E75" s="12">
        <v>2</v>
      </c>
      <c r="F75" s="12">
        <v>6</v>
      </c>
      <c r="G75" s="12">
        <v>23</v>
      </c>
      <c r="H75" s="12">
        <v>31</v>
      </c>
    </row>
    <row r="76" spans="1:17" x14ac:dyDescent="0.3">
      <c r="A76" s="4" t="s">
        <v>67</v>
      </c>
      <c r="B76" s="10" t="s">
        <v>91</v>
      </c>
      <c r="C76" s="11">
        <v>0</v>
      </c>
      <c r="D76" s="12">
        <v>0</v>
      </c>
      <c r="E76" s="12">
        <v>0</v>
      </c>
      <c r="F76" s="12">
        <v>11</v>
      </c>
      <c r="G76" s="12">
        <v>24</v>
      </c>
      <c r="H76" s="12">
        <v>35</v>
      </c>
    </row>
    <row r="77" spans="1:17" x14ac:dyDescent="0.3">
      <c r="A77" s="4" t="s">
        <v>67</v>
      </c>
      <c r="B77" s="10" t="s">
        <v>92</v>
      </c>
      <c r="C77" s="11">
        <v>1</v>
      </c>
      <c r="D77" s="12">
        <v>0</v>
      </c>
      <c r="E77" s="12">
        <v>1</v>
      </c>
      <c r="F77" s="12">
        <v>3</v>
      </c>
      <c r="G77" s="12">
        <v>21</v>
      </c>
      <c r="H77" s="12">
        <v>26</v>
      </c>
    </row>
    <row r="78" spans="1:17" x14ac:dyDescent="0.3">
      <c r="A78" s="4" t="s">
        <v>67</v>
      </c>
      <c r="B78" s="10" t="s">
        <v>93</v>
      </c>
      <c r="C78" s="11">
        <v>1</v>
      </c>
      <c r="D78" s="12">
        <v>0</v>
      </c>
      <c r="E78" s="12">
        <v>0</v>
      </c>
      <c r="F78" s="12">
        <v>7</v>
      </c>
      <c r="G78" s="12">
        <v>22</v>
      </c>
      <c r="H78" s="12">
        <v>30</v>
      </c>
    </row>
    <row r="79" spans="1:17" x14ac:dyDescent="0.3">
      <c r="A79" s="4" t="s">
        <v>67</v>
      </c>
      <c r="B79" s="10" t="s">
        <v>94</v>
      </c>
      <c r="C79" s="11">
        <v>0</v>
      </c>
      <c r="D79" s="12">
        <v>0</v>
      </c>
      <c r="E79" s="12">
        <v>0</v>
      </c>
      <c r="F79" s="12">
        <v>5</v>
      </c>
      <c r="G79" s="12">
        <v>19</v>
      </c>
      <c r="H79" s="12">
        <v>24</v>
      </c>
    </row>
    <row r="80" spans="1:17" x14ac:dyDescent="0.3">
      <c r="A80" s="4" t="s">
        <v>67</v>
      </c>
      <c r="B80" s="10" t="s">
        <v>95</v>
      </c>
      <c r="C80" s="11">
        <v>1</v>
      </c>
      <c r="D80" s="12">
        <v>1</v>
      </c>
      <c r="E80" s="12">
        <v>0</v>
      </c>
      <c r="F80" s="12">
        <v>3</v>
      </c>
      <c r="G80" s="12">
        <v>18</v>
      </c>
      <c r="H80" s="12">
        <v>23</v>
      </c>
    </row>
    <row r="81" spans="1:8" x14ac:dyDescent="0.3">
      <c r="A81" s="4" t="s">
        <v>67</v>
      </c>
      <c r="B81" s="10" t="s">
        <v>96</v>
      </c>
      <c r="C81" s="11">
        <v>0</v>
      </c>
      <c r="D81" s="12">
        <v>0</v>
      </c>
      <c r="E81" s="12">
        <v>0</v>
      </c>
      <c r="F81" s="12">
        <v>2</v>
      </c>
      <c r="G81" s="12">
        <v>11</v>
      </c>
      <c r="H81" s="12">
        <v>13</v>
      </c>
    </row>
    <row r="82" spans="1:8" x14ac:dyDescent="0.3">
      <c r="A82" s="4" t="s">
        <v>67</v>
      </c>
      <c r="B82" s="10" t="s">
        <v>97</v>
      </c>
      <c r="C82" s="11">
        <v>2</v>
      </c>
      <c r="D82" s="12">
        <v>0</v>
      </c>
      <c r="E82" s="12">
        <v>1</v>
      </c>
      <c r="F82" s="12">
        <v>8</v>
      </c>
      <c r="G82" s="12">
        <v>17</v>
      </c>
      <c r="H82" s="12">
        <v>28</v>
      </c>
    </row>
    <row r="83" spans="1:8" x14ac:dyDescent="0.3">
      <c r="A83" s="4" t="s">
        <v>67</v>
      </c>
      <c r="B83" s="10" t="s">
        <v>98</v>
      </c>
      <c r="C83" s="11">
        <v>1</v>
      </c>
      <c r="D83" s="12">
        <v>0</v>
      </c>
      <c r="E83" s="12">
        <v>0</v>
      </c>
      <c r="F83" s="12">
        <v>5</v>
      </c>
      <c r="G83" s="12">
        <v>17</v>
      </c>
      <c r="H83" s="12">
        <v>23</v>
      </c>
    </row>
    <row r="84" spans="1:8" x14ac:dyDescent="0.3">
      <c r="A84" s="4" t="s">
        <v>67</v>
      </c>
      <c r="B84" s="10" t="s">
        <v>99</v>
      </c>
      <c r="C84" s="11">
        <v>0</v>
      </c>
      <c r="D84" s="12">
        <v>0</v>
      </c>
      <c r="E84" s="12">
        <v>0</v>
      </c>
      <c r="F84" s="12">
        <v>2</v>
      </c>
      <c r="G84" s="12">
        <v>21</v>
      </c>
      <c r="H84" s="12">
        <v>23</v>
      </c>
    </row>
    <row r="85" spans="1:8" x14ac:dyDescent="0.3">
      <c r="A85" s="4" t="s">
        <v>67</v>
      </c>
      <c r="B85" s="10" t="s">
        <v>100</v>
      </c>
      <c r="C85" s="11">
        <v>2</v>
      </c>
      <c r="D85" s="12">
        <v>1</v>
      </c>
      <c r="E85" s="12">
        <v>0</v>
      </c>
      <c r="F85" s="12">
        <v>3</v>
      </c>
      <c r="G85" s="12">
        <v>13</v>
      </c>
      <c r="H85" s="12">
        <v>19</v>
      </c>
    </row>
    <row r="86" spans="1:8" x14ac:dyDescent="0.3">
      <c r="A86" s="4" t="s">
        <v>67</v>
      </c>
      <c r="B86" s="10" t="s">
        <v>101</v>
      </c>
      <c r="C86" s="11">
        <v>2</v>
      </c>
      <c r="D86" s="12">
        <v>0</v>
      </c>
      <c r="E86" s="12">
        <v>0</v>
      </c>
      <c r="F86" s="12">
        <v>4</v>
      </c>
      <c r="G86" s="12">
        <v>20</v>
      </c>
      <c r="H86" s="12">
        <v>26</v>
      </c>
    </row>
    <row r="87" spans="1:8" x14ac:dyDescent="0.3">
      <c r="A87" s="4" t="s">
        <v>67</v>
      </c>
      <c r="B87" s="10" t="s">
        <v>102</v>
      </c>
      <c r="C87" s="11">
        <v>0</v>
      </c>
      <c r="D87" s="12">
        <v>0</v>
      </c>
      <c r="E87" s="12">
        <v>0</v>
      </c>
      <c r="F87" s="12">
        <v>2</v>
      </c>
      <c r="G87" s="12">
        <v>18</v>
      </c>
      <c r="H87" s="12">
        <v>20</v>
      </c>
    </row>
    <row r="88" spans="1:8" x14ac:dyDescent="0.3">
      <c r="A88" s="4" t="s">
        <v>67</v>
      </c>
      <c r="B88" s="10" t="s">
        <v>103</v>
      </c>
      <c r="C88" s="11">
        <v>0</v>
      </c>
      <c r="D88" s="12">
        <v>0</v>
      </c>
      <c r="E88" s="12">
        <v>1</v>
      </c>
      <c r="F88" s="12">
        <v>3</v>
      </c>
      <c r="G88" s="12">
        <v>13</v>
      </c>
      <c r="H88" s="12">
        <v>17</v>
      </c>
    </row>
    <row r="89" spans="1:8" x14ac:dyDescent="0.3">
      <c r="A89" s="4" t="s">
        <v>67</v>
      </c>
      <c r="B89" s="10" t="s">
        <v>104</v>
      </c>
      <c r="C89" s="11">
        <v>2</v>
      </c>
      <c r="D89" s="12">
        <v>0</v>
      </c>
      <c r="E89" s="12">
        <v>0</v>
      </c>
      <c r="F89" s="12">
        <v>6</v>
      </c>
      <c r="G89" s="12">
        <v>21</v>
      </c>
      <c r="H89" s="12">
        <v>29</v>
      </c>
    </row>
    <row r="90" spans="1:8" x14ac:dyDescent="0.3">
      <c r="A90" s="4" t="s">
        <v>67</v>
      </c>
      <c r="B90" s="10" t="s">
        <v>105</v>
      </c>
      <c r="C90" s="11">
        <v>0</v>
      </c>
      <c r="D90" s="12">
        <v>0</v>
      </c>
      <c r="E90" s="12">
        <v>1</v>
      </c>
      <c r="F90" s="12">
        <v>5</v>
      </c>
      <c r="G90" s="12">
        <v>13</v>
      </c>
      <c r="H90" s="12">
        <v>19</v>
      </c>
    </row>
    <row r="91" spans="1:8" x14ac:dyDescent="0.3">
      <c r="A91" s="4" t="s">
        <v>67</v>
      </c>
      <c r="B91" s="10" t="s">
        <v>106</v>
      </c>
      <c r="C91" s="11">
        <v>0</v>
      </c>
      <c r="D91" s="12">
        <v>0</v>
      </c>
      <c r="E91" s="12">
        <v>1</v>
      </c>
      <c r="F91" s="12">
        <v>4</v>
      </c>
      <c r="G91" s="12">
        <v>12</v>
      </c>
      <c r="H91" s="12">
        <v>17</v>
      </c>
    </row>
    <row r="92" spans="1:8" x14ac:dyDescent="0.3">
      <c r="A92" s="4" t="s">
        <v>67</v>
      </c>
      <c r="B92" s="10" t="s">
        <v>107</v>
      </c>
      <c r="C92" s="11">
        <v>2</v>
      </c>
      <c r="D92" s="12">
        <v>0</v>
      </c>
      <c r="E92" s="12">
        <v>0</v>
      </c>
      <c r="F92" s="12">
        <v>2</v>
      </c>
      <c r="G92" s="12">
        <v>23</v>
      </c>
      <c r="H92" s="12">
        <v>27</v>
      </c>
    </row>
    <row r="93" spans="1:8" x14ac:dyDescent="0.3">
      <c r="A93" s="4" t="s">
        <v>67</v>
      </c>
      <c r="B93" s="10" t="s">
        <v>108</v>
      </c>
      <c r="C93" s="11">
        <v>0</v>
      </c>
      <c r="D93" s="12">
        <v>0</v>
      </c>
      <c r="E93" s="12">
        <v>0</v>
      </c>
      <c r="F93" s="12">
        <v>2</v>
      </c>
      <c r="G93" s="12">
        <v>16</v>
      </c>
      <c r="H93" s="12">
        <v>18</v>
      </c>
    </row>
    <row r="94" spans="1:8" x14ac:dyDescent="0.3">
      <c r="A94" s="4" t="s">
        <v>67</v>
      </c>
      <c r="B94" s="10" t="s">
        <v>109</v>
      </c>
      <c r="C94" s="11">
        <v>1</v>
      </c>
      <c r="D94" s="12">
        <v>0</v>
      </c>
      <c r="E94" s="12">
        <v>1</v>
      </c>
      <c r="F94" s="12">
        <v>2</v>
      </c>
      <c r="G94" s="12">
        <v>8</v>
      </c>
      <c r="H94" s="12">
        <v>12</v>
      </c>
    </row>
    <row r="95" spans="1:8" x14ac:dyDescent="0.3">
      <c r="A95" s="4" t="s">
        <v>67</v>
      </c>
      <c r="B95" s="10" t="s">
        <v>110</v>
      </c>
      <c r="C95" s="11">
        <v>0</v>
      </c>
      <c r="D95" s="12">
        <v>0</v>
      </c>
      <c r="E95" s="12">
        <v>0</v>
      </c>
      <c r="F95" s="12">
        <v>5</v>
      </c>
      <c r="G95" s="12">
        <v>13</v>
      </c>
      <c r="H95" s="12">
        <v>18</v>
      </c>
    </row>
    <row r="96" spans="1:8" x14ac:dyDescent="0.3">
      <c r="A96" s="4" t="s">
        <v>67</v>
      </c>
      <c r="B96" s="10" t="s">
        <v>111</v>
      </c>
      <c r="C96" s="11">
        <v>0</v>
      </c>
      <c r="D96" s="12">
        <v>0</v>
      </c>
      <c r="E96" s="12">
        <v>0</v>
      </c>
      <c r="F96" s="12">
        <v>1</v>
      </c>
      <c r="G96" s="12">
        <v>6</v>
      </c>
      <c r="H96" s="12">
        <v>7</v>
      </c>
    </row>
    <row r="97" spans="1:8" x14ac:dyDescent="0.3">
      <c r="A97" s="4" t="s">
        <v>67</v>
      </c>
      <c r="B97" s="10" t="s">
        <v>112</v>
      </c>
      <c r="C97" s="11">
        <v>0</v>
      </c>
      <c r="D97" s="12">
        <v>0</v>
      </c>
      <c r="E97" s="12">
        <v>0</v>
      </c>
      <c r="F97" s="12">
        <v>3</v>
      </c>
      <c r="G97" s="12">
        <v>15</v>
      </c>
      <c r="H97" s="12">
        <v>18</v>
      </c>
    </row>
    <row r="98" spans="1:8" x14ac:dyDescent="0.3">
      <c r="A98" s="4" t="s">
        <v>67</v>
      </c>
      <c r="B98" s="10" t="s">
        <v>113</v>
      </c>
      <c r="C98" s="11">
        <v>0</v>
      </c>
      <c r="D98" s="12">
        <v>0</v>
      </c>
      <c r="E98" s="12">
        <v>0</v>
      </c>
      <c r="F98" s="12">
        <v>0</v>
      </c>
      <c r="G98" s="12">
        <v>20</v>
      </c>
      <c r="H98" s="12">
        <v>20</v>
      </c>
    </row>
    <row r="99" spans="1:8" x14ac:dyDescent="0.3">
      <c r="A99" s="4" t="s">
        <v>67</v>
      </c>
      <c r="B99" s="10" t="s">
        <v>114</v>
      </c>
      <c r="C99" s="11">
        <v>0</v>
      </c>
      <c r="D99" s="12">
        <v>0</v>
      </c>
      <c r="E99" s="12">
        <v>0</v>
      </c>
      <c r="F99" s="12">
        <v>3</v>
      </c>
      <c r="G99" s="12">
        <v>17</v>
      </c>
      <c r="H99" s="12">
        <v>20</v>
      </c>
    </row>
    <row r="100" spans="1:8" x14ac:dyDescent="0.3">
      <c r="A100" s="4" t="s">
        <v>67</v>
      </c>
      <c r="B100" s="10" t="s">
        <v>115</v>
      </c>
      <c r="C100" s="11">
        <v>0</v>
      </c>
      <c r="D100" s="12">
        <v>0</v>
      </c>
      <c r="E100" s="12">
        <v>0</v>
      </c>
      <c r="F100" s="12">
        <v>0</v>
      </c>
      <c r="G100" s="12">
        <v>11</v>
      </c>
      <c r="H100" s="12">
        <v>11</v>
      </c>
    </row>
    <row r="101" spans="1:8" x14ac:dyDescent="0.3">
      <c r="A101" s="4" t="s">
        <v>67</v>
      </c>
      <c r="B101" s="10" t="s">
        <v>116</v>
      </c>
      <c r="C101" s="11">
        <v>0</v>
      </c>
      <c r="D101" s="12">
        <v>0</v>
      </c>
      <c r="E101" s="12">
        <v>0</v>
      </c>
      <c r="F101" s="12">
        <v>6</v>
      </c>
      <c r="G101" s="12">
        <v>16</v>
      </c>
      <c r="H101" s="12">
        <v>22</v>
      </c>
    </row>
    <row r="102" spans="1:8" x14ac:dyDescent="0.3">
      <c r="A102" s="4" t="s">
        <v>67</v>
      </c>
      <c r="B102" s="10" t="s">
        <v>117</v>
      </c>
      <c r="C102" s="11">
        <v>0</v>
      </c>
      <c r="D102" s="12">
        <v>0</v>
      </c>
      <c r="E102" s="12">
        <v>0</v>
      </c>
      <c r="F102" s="12">
        <v>1</v>
      </c>
      <c r="G102" s="12">
        <v>16</v>
      </c>
      <c r="H102" s="12">
        <v>17</v>
      </c>
    </row>
    <row r="103" spans="1:8" x14ac:dyDescent="0.3">
      <c r="A103" s="4" t="s">
        <v>67</v>
      </c>
      <c r="B103" s="10" t="s">
        <v>118</v>
      </c>
      <c r="C103" s="11">
        <v>0</v>
      </c>
      <c r="D103" s="12">
        <v>0</v>
      </c>
      <c r="E103" s="12">
        <v>0</v>
      </c>
      <c r="F103" s="12">
        <v>3</v>
      </c>
      <c r="G103" s="12">
        <v>16</v>
      </c>
      <c r="H103" s="12">
        <v>19</v>
      </c>
    </row>
    <row r="104" spans="1:8" x14ac:dyDescent="0.3">
      <c r="A104" s="4" t="s">
        <v>67</v>
      </c>
      <c r="B104" s="10" t="s">
        <v>119</v>
      </c>
      <c r="C104" s="11">
        <v>0</v>
      </c>
      <c r="D104" s="12">
        <v>1</v>
      </c>
      <c r="E104" s="12">
        <v>1</v>
      </c>
      <c r="F104" s="12">
        <v>3</v>
      </c>
      <c r="G104" s="12">
        <v>15</v>
      </c>
      <c r="H104" s="12">
        <v>20</v>
      </c>
    </row>
    <row r="105" spans="1:8" x14ac:dyDescent="0.3">
      <c r="A105" s="4" t="s">
        <v>67</v>
      </c>
      <c r="B105" s="10" t="s">
        <v>120</v>
      </c>
      <c r="C105" s="11">
        <v>1</v>
      </c>
      <c r="D105" s="12">
        <v>0</v>
      </c>
      <c r="E105" s="12">
        <v>0</v>
      </c>
      <c r="F105" s="12">
        <v>5</v>
      </c>
      <c r="G105" s="12">
        <v>16</v>
      </c>
      <c r="H105" s="12">
        <v>22</v>
      </c>
    </row>
    <row r="106" spans="1:8" x14ac:dyDescent="0.3">
      <c r="A106" s="4" t="s">
        <v>67</v>
      </c>
      <c r="B106" s="10" t="s">
        <v>121</v>
      </c>
      <c r="C106" s="11">
        <v>0</v>
      </c>
      <c r="D106" s="12">
        <v>0</v>
      </c>
      <c r="E106" s="12">
        <v>2</v>
      </c>
      <c r="F106" s="12">
        <v>4</v>
      </c>
      <c r="G106" s="12">
        <v>18</v>
      </c>
      <c r="H106" s="12">
        <v>24</v>
      </c>
    </row>
    <row r="107" spans="1:8" x14ac:dyDescent="0.3">
      <c r="A107" s="4" t="s">
        <v>67</v>
      </c>
      <c r="B107" s="10" t="s">
        <v>122</v>
      </c>
      <c r="C107" s="11">
        <v>1</v>
      </c>
      <c r="D107" s="12">
        <v>0</v>
      </c>
      <c r="E107" s="12">
        <v>0</v>
      </c>
      <c r="F107" s="12">
        <v>2</v>
      </c>
      <c r="G107" s="12">
        <v>15</v>
      </c>
      <c r="H107" s="12">
        <v>18</v>
      </c>
    </row>
    <row r="108" spans="1:8" x14ac:dyDescent="0.3">
      <c r="A108" s="4" t="s">
        <v>67</v>
      </c>
      <c r="B108" s="10" t="s">
        <v>123</v>
      </c>
      <c r="C108" s="11">
        <v>0</v>
      </c>
      <c r="D108" s="12">
        <v>1</v>
      </c>
      <c r="E108" s="12">
        <v>0</v>
      </c>
      <c r="F108" s="12">
        <v>3</v>
      </c>
      <c r="G108" s="12">
        <v>16</v>
      </c>
      <c r="H108" s="12">
        <v>20</v>
      </c>
    </row>
    <row r="109" spans="1:8" x14ac:dyDescent="0.3">
      <c r="A109" s="4" t="s">
        <v>67</v>
      </c>
      <c r="B109" s="10" t="s">
        <v>124</v>
      </c>
      <c r="C109" s="11">
        <v>0</v>
      </c>
      <c r="D109" s="12">
        <v>0</v>
      </c>
      <c r="E109" s="12">
        <v>0</v>
      </c>
      <c r="F109" s="12">
        <v>2</v>
      </c>
      <c r="G109" s="12">
        <v>21</v>
      </c>
      <c r="H109" s="12">
        <v>23</v>
      </c>
    </row>
    <row r="110" spans="1:8" x14ac:dyDescent="0.3">
      <c r="A110" s="4" t="s">
        <v>67</v>
      </c>
      <c r="B110" s="10" t="s">
        <v>125</v>
      </c>
      <c r="C110" s="11">
        <v>0</v>
      </c>
      <c r="D110" s="12">
        <v>0</v>
      </c>
      <c r="E110" s="12">
        <v>0</v>
      </c>
      <c r="F110" s="12">
        <v>6</v>
      </c>
      <c r="G110" s="12">
        <v>15</v>
      </c>
      <c r="H110" s="12">
        <v>21</v>
      </c>
    </row>
    <row r="111" spans="1:8" x14ac:dyDescent="0.3">
      <c r="A111" s="4" t="s">
        <v>67</v>
      </c>
      <c r="B111" s="10" t="s">
        <v>126</v>
      </c>
      <c r="C111" s="11">
        <v>1</v>
      </c>
      <c r="D111" s="12">
        <v>0</v>
      </c>
      <c r="E111" s="12">
        <v>0</v>
      </c>
      <c r="F111" s="12">
        <v>1</v>
      </c>
      <c r="G111" s="12">
        <v>16</v>
      </c>
      <c r="H111" s="12">
        <v>18</v>
      </c>
    </row>
    <row r="112" spans="1:8" x14ac:dyDescent="0.3">
      <c r="A112" s="4" t="s">
        <v>67</v>
      </c>
      <c r="B112" s="10" t="s">
        <v>127</v>
      </c>
      <c r="C112" s="11">
        <v>3</v>
      </c>
      <c r="D112" s="12">
        <v>0</v>
      </c>
      <c r="E112" s="12">
        <v>0</v>
      </c>
      <c r="F112" s="12">
        <v>3</v>
      </c>
      <c r="G112" s="12">
        <v>14</v>
      </c>
      <c r="H112" s="12">
        <v>20</v>
      </c>
    </row>
    <row r="113" spans="1:17" x14ac:dyDescent="0.3">
      <c r="A113" s="4" t="s">
        <v>67</v>
      </c>
      <c r="B113" s="10" t="s">
        <v>128</v>
      </c>
      <c r="C113" s="11">
        <v>0</v>
      </c>
      <c r="D113" s="12">
        <v>0</v>
      </c>
      <c r="E113" s="12">
        <v>0</v>
      </c>
      <c r="F113" s="12">
        <v>2</v>
      </c>
      <c r="G113" s="12">
        <v>17</v>
      </c>
      <c r="H113" s="12">
        <v>19</v>
      </c>
    </row>
    <row r="114" spans="1:17" x14ac:dyDescent="0.3">
      <c r="A114" s="4" t="s">
        <v>67</v>
      </c>
      <c r="B114" s="10" t="s">
        <v>129</v>
      </c>
      <c r="C114" s="11">
        <v>2</v>
      </c>
      <c r="D114" s="12">
        <v>0</v>
      </c>
      <c r="E114" s="12">
        <v>0</v>
      </c>
      <c r="F114" s="12">
        <v>3</v>
      </c>
      <c r="G114" s="12">
        <v>13</v>
      </c>
      <c r="H114" s="12">
        <v>18</v>
      </c>
    </row>
    <row r="115" spans="1:17" x14ac:dyDescent="0.3">
      <c r="A115" s="4" t="s">
        <v>67</v>
      </c>
      <c r="B115" s="10" t="s">
        <v>130</v>
      </c>
      <c r="C115" s="11">
        <v>0</v>
      </c>
      <c r="D115" s="12">
        <v>0</v>
      </c>
      <c r="E115" s="12">
        <v>0</v>
      </c>
      <c r="F115" s="12">
        <v>2</v>
      </c>
      <c r="G115" s="12">
        <v>17</v>
      </c>
      <c r="H115" s="12">
        <v>19</v>
      </c>
    </row>
    <row r="116" spans="1:17" x14ac:dyDescent="0.3">
      <c r="A116" s="4" t="s">
        <v>67</v>
      </c>
      <c r="B116" s="10" t="s">
        <v>131</v>
      </c>
      <c r="C116" s="11">
        <v>5</v>
      </c>
      <c r="D116" s="12">
        <v>0</v>
      </c>
      <c r="E116" s="12">
        <v>0</v>
      </c>
      <c r="F116" s="12">
        <v>3</v>
      </c>
      <c r="G116" s="12">
        <v>17</v>
      </c>
      <c r="H116" s="12">
        <v>25</v>
      </c>
    </row>
    <row r="117" spans="1:17" x14ac:dyDescent="0.3">
      <c r="A117" s="4" t="s">
        <v>67</v>
      </c>
      <c r="B117" s="10" t="s">
        <v>132</v>
      </c>
      <c r="C117" s="11">
        <v>2</v>
      </c>
      <c r="D117" s="12">
        <v>1</v>
      </c>
      <c r="E117" s="12">
        <v>1</v>
      </c>
      <c r="F117" s="12">
        <v>10</v>
      </c>
      <c r="G117" s="12">
        <v>31</v>
      </c>
      <c r="H117" s="12">
        <v>45</v>
      </c>
    </row>
    <row r="118" spans="1:17" x14ac:dyDescent="0.3">
      <c r="A118" s="4" t="s">
        <v>67</v>
      </c>
      <c r="B118" s="10" t="s">
        <v>133</v>
      </c>
      <c r="C118" s="11">
        <v>1</v>
      </c>
      <c r="D118" s="12">
        <v>0</v>
      </c>
      <c r="E118" s="12">
        <v>0</v>
      </c>
      <c r="F118" s="12">
        <v>8</v>
      </c>
      <c r="G118" s="12">
        <v>35</v>
      </c>
      <c r="H118" s="12">
        <v>44</v>
      </c>
    </row>
    <row r="121" spans="1:17" x14ac:dyDescent="0.3">
      <c r="P121" s="22"/>
      <c r="Q121" s="22"/>
    </row>
  </sheetData>
  <autoFilter ref="A1:K66" xr:uid="{C9BAC718-715F-4B32-B96D-7F3E77229D4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7D2AF-0657-442F-843C-CF233EA4F031}">
  <dimension ref="A1:G66"/>
  <sheetViews>
    <sheetView workbookViewId="0">
      <pane xSplit="1" ySplit="1" topLeftCell="B2" activePane="bottomRight" state="frozen"/>
      <selection pane="topRight" activeCell="B1" sqref="B1"/>
      <selection pane="bottomLeft" activeCell="A3" sqref="A3"/>
      <selection pane="bottomRight" sqref="A1:G66"/>
    </sheetView>
  </sheetViews>
  <sheetFormatPr defaultRowHeight="14.4" x14ac:dyDescent="0.3"/>
  <cols>
    <col min="1" max="1" width="11" customWidth="1"/>
    <col min="2" max="2" width="15.6640625" customWidth="1"/>
    <col min="7" max="7" width="15.44140625" customWidth="1"/>
  </cols>
  <sheetData>
    <row r="1" spans="1:7" x14ac:dyDescent="0.3">
      <c r="A1" s="14" t="s">
        <v>65</v>
      </c>
      <c r="B1" s="1" t="s">
        <v>138</v>
      </c>
      <c r="C1" s="1" t="s">
        <v>139</v>
      </c>
      <c r="D1" s="1" t="s">
        <v>140</v>
      </c>
      <c r="E1" s="1" t="s">
        <v>79</v>
      </c>
      <c r="F1" s="1" t="s">
        <v>80</v>
      </c>
      <c r="G1" s="1" t="s">
        <v>81</v>
      </c>
    </row>
    <row r="2" spans="1:7" x14ac:dyDescent="0.3">
      <c r="A2" s="19" t="s">
        <v>52</v>
      </c>
      <c r="B2" s="21">
        <v>3969.5696152320511</v>
      </c>
      <c r="C2" s="21">
        <v>11111.086265060239</v>
      </c>
      <c r="D2" s="21">
        <v>26672.768894771674</v>
      </c>
      <c r="E2" s="21">
        <v>79542.512910194419</v>
      </c>
      <c r="F2" s="21">
        <v>27861.485158883632</v>
      </c>
      <c r="G2" s="21">
        <v>149157.42284414204</v>
      </c>
    </row>
    <row r="3" spans="1:7" x14ac:dyDescent="0.3">
      <c r="A3" s="19" t="s">
        <v>53</v>
      </c>
      <c r="B3" s="21">
        <v>3969.5696152320511</v>
      </c>
      <c r="C3" s="21">
        <v>11111.086265060239</v>
      </c>
      <c r="D3" s="21">
        <v>26672.768894771674</v>
      </c>
      <c r="E3" s="21">
        <v>79542.512910194419</v>
      </c>
      <c r="F3" s="21">
        <v>27861.485158883632</v>
      </c>
      <c r="G3" s="21">
        <v>149157.42284414204</v>
      </c>
    </row>
    <row r="4" spans="1:7" x14ac:dyDescent="0.3">
      <c r="A4" s="19" t="s">
        <v>54</v>
      </c>
      <c r="B4" s="21">
        <v>3969.5696152320511</v>
      </c>
      <c r="C4" s="21">
        <v>11111.086265060239</v>
      </c>
      <c r="D4" s="21">
        <v>26672.768894771674</v>
      </c>
      <c r="E4" s="21">
        <v>79542.512910194419</v>
      </c>
      <c r="F4" s="21">
        <v>27861.485158883632</v>
      </c>
      <c r="G4" s="21">
        <v>149157.42284414204</v>
      </c>
    </row>
    <row r="5" spans="1:7" x14ac:dyDescent="0.3">
      <c r="A5" s="19" t="s">
        <v>55</v>
      </c>
      <c r="B5" s="21">
        <v>3969.5696152320511</v>
      </c>
      <c r="C5" s="21">
        <v>11111.086265060239</v>
      </c>
      <c r="D5" s="21">
        <v>26672.768894771674</v>
      </c>
      <c r="E5" s="21">
        <v>79542.512910194419</v>
      </c>
      <c r="F5" s="21">
        <v>27861.485158883632</v>
      </c>
      <c r="G5" s="21">
        <v>149157.42284414204</v>
      </c>
    </row>
    <row r="6" spans="1:7" x14ac:dyDescent="0.3">
      <c r="A6" s="19" t="s">
        <v>56</v>
      </c>
      <c r="B6" s="21">
        <v>3969.5696152320511</v>
      </c>
      <c r="C6" s="21">
        <v>11111.086265060239</v>
      </c>
      <c r="D6" s="21">
        <v>26672.768894771674</v>
      </c>
      <c r="E6" s="21">
        <v>79542.512910194419</v>
      </c>
      <c r="F6" s="21">
        <v>27861.485158883632</v>
      </c>
      <c r="G6" s="21">
        <v>149157.42284414204</v>
      </c>
    </row>
    <row r="7" spans="1:7" x14ac:dyDescent="0.3">
      <c r="A7" s="19" t="s">
        <v>57</v>
      </c>
      <c r="B7" s="21">
        <v>3969.5696152320511</v>
      </c>
      <c r="C7" s="21">
        <v>11111.086265060239</v>
      </c>
      <c r="D7" s="21">
        <v>26672.768894771674</v>
      </c>
      <c r="E7" s="21">
        <v>79542.512910194419</v>
      </c>
      <c r="F7" s="21">
        <v>27861.485158883632</v>
      </c>
      <c r="G7" s="21">
        <v>149157.42284414204</v>
      </c>
    </row>
    <row r="8" spans="1:7" x14ac:dyDescent="0.3">
      <c r="A8" s="19" t="s">
        <v>58</v>
      </c>
      <c r="B8" s="21">
        <v>3969.5696152320511</v>
      </c>
      <c r="C8" s="21">
        <v>11111.086265060239</v>
      </c>
      <c r="D8" s="21">
        <v>26672.768894771674</v>
      </c>
      <c r="E8" s="21">
        <v>79542.512910194419</v>
      </c>
      <c r="F8" s="21">
        <v>27861.485158883632</v>
      </c>
      <c r="G8" s="21">
        <v>149157.42284414204</v>
      </c>
    </row>
    <row r="9" spans="1:7" x14ac:dyDescent="0.3">
      <c r="A9" s="19" t="s">
        <v>59</v>
      </c>
      <c r="B9" s="21">
        <v>3969.5696152320511</v>
      </c>
      <c r="C9" s="21">
        <v>11111.086265060239</v>
      </c>
      <c r="D9" s="21">
        <v>26672.768894771674</v>
      </c>
      <c r="E9" s="21">
        <v>79542.512910194419</v>
      </c>
      <c r="F9" s="21">
        <v>27861.485158883632</v>
      </c>
      <c r="G9" s="21">
        <v>149157.42284414204</v>
      </c>
    </row>
    <row r="10" spans="1:7" x14ac:dyDescent="0.3">
      <c r="A10" s="19" t="s">
        <v>60</v>
      </c>
      <c r="B10" s="21">
        <v>3969.5696152320511</v>
      </c>
      <c r="C10" s="21">
        <v>11111.086265060239</v>
      </c>
      <c r="D10" s="21">
        <v>26672.768894771674</v>
      </c>
      <c r="E10" s="21">
        <v>79542.512910194419</v>
      </c>
      <c r="F10" s="21">
        <v>27861.485158883632</v>
      </c>
      <c r="G10" s="21">
        <v>149157.42284414204</v>
      </c>
    </row>
    <row r="11" spans="1:7" x14ac:dyDescent="0.3">
      <c r="A11" s="19" t="s">
        <v>61</v>
      </c>
      <c r="B11" s="21">
        <v>3969.5696152320511</v>
      </c>
      <c r="C11" s="21">
        <v>11111.086265060239</v>
      </c>
      <c r="D11" s="21">
        <v>26672.768894771674</v>
      </c>
      <c r="E11" s="21">
        <v>79542.512910194419</v>
      </c>
      <c r="F11" s="21">
        <v>27861.485158883632</v>
      </c>
      <c r="G11" s="21">
        <v>149157.42284414204</v>
      </c>
    </row>
    <row r="12" spans="1:7" x14ac:dyDescent="0.3">
      <c r="A12" s="19" t="s">
        <v>62</v>
      </c>
      <c r="B12" s="21">
        <v>3969.5696152320511</v>
      </c>
      <c r="C12" s="21">
        <v>11111.086265060239</v>
      </c>
      <c r="D12" s="21">
        <v>26672.768894771674</v>
      </c>
      <c r="E12" s="21">
        <v>79542.512910194419</v>
      </c>
      <c r="F12" s="21">
        <v>27861.485158883632</v>
      </c>
      <c r="G12" s="21">
        <v>149157.42284414204</v>
      </c>
    </row>
    <row r="13" spans="1:7" x14ac:dyDescent="0.3">
      <c r="A13" s="19" t="s">
        <v>63</v>
      </c>
      <c r="B13" s="21">
        <v>3969.5696152320511</v>
      </c>
      <c r="C13" s="21">
        <v>11111.086265060239</v>
      </c>
      <c r="D13" s="21">
        <v>26672.768894771674</v>
      </c>
      <c r="E13" s="21">
        <v>79542.512910194419</v>
      </c>
      <c r="F13" s="21">
        <v>27861.485158883632</v>
      </c>
      <c r="G13" s="21">
        <v>149157.42284414204</v>
      </c>
    </row>
    <row r="14" spans="1:7" x14ac:dyDescent="0.3">
      <c r="A14" s="19" t="s">
        <v>64</v>
      </c>
      <c r="B14" s="21">
        <v>3969.5696152320511</v>
      </c>
      <c r="C14" s="21">
        <v>11111.086265060239</v>
      </c>
      <c r="D14" s="21">
        <v>26672.768894771674</v>
      </c>
      <c r="E14" s="21">
        <v>79542.512910194419</v>
      </c>
      <c r="F14" s="21">
        <v>27861.485158883632</v>
      </c>
      <c r="G14" s="21">
        <v>149157.42284414204</v>
      </c>
    </row>
    <row r="15" spans="1:7" x14ac:dyDescent="0.3">
      <c r="A15" s="19" t="s">
        <v>82</v>
      </c>
      <c r="B15" s="21">
        <v>3909.0606554235337</v>
      </c>
      <c r="C15" s="21">
        <v>12043.38405036726</v>
      </c>
      <c r="D15" s="21">
        <v>24276.263822805577</v>
      </c>
      <c r="E15" s="21">
        <v>82176.096858638746</v>
      </c>
      <c r="F15" s="21">
        <v>28232.94150309973</v>
      </c>
      <c r="G15" s="21">
        <v>150637.74689033485</v>
      </c>
    </row>
    <row r="16" spans="1:7" x14ac:dyDescent="0.3">
      <c r="A16" s="19" t="s">
        <v>83</v>
      </c>
      <c r="B16" s="21">
        <v>3909.0606554235337</v>
      </c>
      <c r="C16" s="21">
        <v>12043.38405036726</v>
      </c>
      <c r="D16" s="21">
        <v>24276.263822805577</v>
      </c>
      <c r="E16" s="21">
        <v>82176.096858638746</v>
      </c>
      <c r="F16" s="21">
        <v>28232.94150309973</v>
      </c>
      <c r="G16" s="21">
        <v>150637.74689033485</v>
      </c>
    </row>
    <row r="17" spans="1:7" x14ac:dyDescent="0.3">
      <c r="A17" s="19" t="s">
        <v>84</v>
      </c>
      <c r="B17" s="21">
        <v>3909.0606554235337</v>
      </c>
      <c r="C17" s="21">
        <v>12043.38405036726</v>
      </c>
      <c r="D17" s="21">
        <v>24276.263822805577</v>
      </c>
      <c r="E17" s="21">
        <v>82176.096858638746</v>
      </c>
      <c r="F17" s="21">
        <v>28232.94150309973</v>
      </c>
      <c r="G17" s="21">
        <v>150637.74689033485</v>
      </c>
    </row>
    <row r="18" spans="1:7" x14ac:dyDescent="0.3">
      <c r="A18" s="19" t="s">
        <v>85</v>
      </c>
      <c r="B18" s="21">
        <v>3909.0606554235337</v>
      </c>
      <c r="C18" s="21">
        <v>12043.38405036726</v>
      </c>
      <c r="D18" s="21">
        <v>24276.263822805577</v>
      </c>
      <c r="E18" s="21">
        <v>82176.096858638746</v>
      </c>
      <c r="F18" s="21">
        <v>28232.94150309973</v>
      </c>
      <c r="G18" s="21">
        <v>150637.74689033485</v>
      </c>
    </row>
    <row r="19" spans="1:7" x14ac:dyDescent="0.3">
      <c r="A19" s="19" t="s">
        <v>86</v>
      </c>
      <c r="B19" s="21">
        <v>3909.0606554235337</v>
      </c>
      <c r="C19" s="21">
        <v>12043.38405036726</v>
      </c>
      <c r="D19" s="21">
        <v>24276.263822805577</v>
      </c>
      <c r="E19" s="21">
        <v>82176.096858638746</v>
      </c>
      <c r="F19" s="21">
        <v>28232.94150309973</v>
      </c>
      <c r="G19" s="21">
        <v>150637.74689033485</v>
      </c>
    </row>
    <row r="20" spans="1:7" x14ac:dyDescent="0.3">
      <c r="A20" s="19" t="s">
        <v>87</v>
      </c>
      <c r="B20" s="21">
        <v>3909.0606554235337</v>
      </c>
      <c r="C20" s="21">
        <v>12043.38405036726</v>
      </c>
      <c r="D20" s="21">
        <v>24276.263822805577</v>
      </c>
      <c r="E20" s="21">
        <v>82176.096858638746</v>
      </c>
      <c r="F20" s="21">
        <v>28232.94150309973</v>
      </c>
      <c r="G20" s="21">
        <v>150637.74689033485</v>
      </c>
    </row>
    <row r="21" spans="1:7" x14ac:dyDescent="0.3">
      <c r="A21" s="19" t="s">
        <v>88</v>
      </c>
      <c r="B21" s="21">
        <v>3909.0606554235337</v>
      </c>
      <c r="C21" s="21">
        <v>12043.38405036726</v>
      </c>
      <c r="D21" s="21">
        <v>24276.263822805577</v>
      </c>
      <c r="E21" s="21">
        <v>82176.096858638746</v>
      </c>
      <c r="F21" s="21">
        <v>28232.94150309973</v>
      </c>
      <c r="G21" s="21">
        <v>150637.74689033485</v>
      </c>
    </row>
    <row r="22" spans="1:7" x14ac:dyDescent="0.3">
      <c r="A22" s="19" t="s">
        <v>89</v>
      </c>
      <c r="B22" s="21">
        <v>3909.0606554235337</v>
      </c>
      <c r="C22" s="21">
        <v>12043.38405036726</v>
      </c>
      <c r="D22" s="21">
        <v>24276.263822805577</v>
      </c>
      <c r="E22" s="21">
        <v>82176.096858638746</v>
      </c>
      <c r="F22" s="21">
        <v>28232.94150309973</v>
      </c>
      <c r="G22" s="21">
        <v>150637.74689033485</v>
      </c>
    </row>
    <row r="23" spans="1:7" x14ac:dyDescent="0.3">
      <c r="A23" s="19" t="s">
        <v>90</v>
      </c>
      <c r="B23" s="21">
        <v>3909.0606554235337</v>
      </c>
      <c r="C23" s="21">
        <v>12043.38405036726</v>
      </c>
      <c r="D23" s="21">
        <v>24276.263822805577</v>
      </c>
      <c r="E23" s="21">
        <v>82176.096858638746</v>
      </c>
      <c r="F23" s="21">
        <v>28232.94150309973</v>
      </c>
      <c r="G23" s="21">
        <v>150637.74689033485</v>
      </c>
    </row>
    <row r="24" spans="1:7" x14ac:dyDescent="0.3">
      <c r="A24" s="19" t="s">
        <v>91</v>
      </c>
      <c r="B24" s="21">
        <v>3909.0606554235337</v>
      </c>
      <c r="C24" s="21">
        <v>12043.38405036726</v>
      </c>
      <c r="D24" s="21">
        <v>24276.263822805577</v>
      </c>
      <c r="E24" s="21">
        <v>82176.096858638746</v>
      </c>
      <c r="F24" s="21">
        <v>28232.94150309973</v>
      </c>
      <c r="G24" s="21">
        <v>150637.74689033485</v>
      </c>
    </row>
    <row r="25" spans="1:7" x14ac:dyDescent="0.3">
      <c r="A25" s="19" t="s">
        <v>92</v>
      </c>
      <c r="B25" s="21">
        <v>3909.0606554235337</v>
      </c>
      <c r="C25" s="21">
        <v>12043.38405036726</v>
      </c>
      <c r="D25" s="21">
        <v>24276.263822805577</v>
      </c>
      <c r="E25" s="21">
        <v>82176.096858638746</v>
      </c>
      <c r="F25" s="21">
        <v>28232.94150309973</v>
      </c>
      <c r="G25" s="21">
        <v>150637.74689033485</v>
      </c>
    </row>
    <row r="26" spans="1:7" x14ac:dyDescent="0.3">
      <c r="A26" s="19" t="s">
        <v>93</v>
      </c>
      <c r="B26" s="21">
        <v>3909.0606554235337</v>
      </c>
      <c r="C26" s="21">
        <v>12043.38405036726</v>
      </c>
      <c r="D26" s="21">
        <v>24276.263822805577</v>
      </c>
      <c r="E26" s="21">
        <v>82176.096858638746</v>
      </c>
      <c r="F26" s="21">
        <v>28232.94150309973</v>
      </c>
      <c r="G26" s="21">
        <v>150637.74689033485</v>
      </c>
    </row>
    <row r="27" spans="1:7" x14ac:dyDescent="0.3">
      <c r="A27" s="19" t="s">
        <v>94</v>
      </c>
      <c r="B27" s="21">
        <v>3909.0606554235337</v>
      </c>
      <c r="C27" s="21">
        <v>12043.38405036726</v>
      </c>
      <c r="D27" s="21">
        <v>24276.263822805577</v>
      </c>
      <c r="E27" s="21">
        <v>82176.096858638746</v>
      </c>
      <c r="F27" s="21">
        <v>28232.94150309973</v>
      </c>
      <c r="G27" s="21">
        <v>150637.74689033485</v>
      </c>
    </row>
    <row r="28" spans="1:7" x14ac:dyDescent="0.3">
      <c r="A28" s="19" t="s">
        <v>95</v>
      </c>
      <c r="B28" s="21">
        <v>3909.0606554235337</v>
      </c>
      <c r="C28" s="21">
        <v>12043.38405036726</v>
      </c>
      <c r="D28" s="21">
        <v>24276.263822805577</v>
      </c>
      <c r="E28" s="21">
        <v>82176.096858638746</v>
      </c>
      <c r="F28" s="21">
        <v>28232.94150309973</v>
      </c>
      <c r="G28" s="21">
        <v>150637.74689033485</v>
      </c>
    </row>
    <row r="29" spans="1:7" x14ac:dyDescent="0.3">
      <c r="A29" s="19" t="s">
        <v>96</v>
      </c>
      <c r="B29" s="21">
        <v>3909.0606554235337</v>
      </c>
      <c r="C29" s="21">
        <v>12043.38405036726</v>
      </c>
      <c r="D29" s="21">
        <v>24276.263822805577</v>
      </c>
      <c r="E29" s="21">
        <v>82176.096858638746</v>
      </c>
      <c r="F29" s="21">
        <v>28232.94150309973</v>
      </c>
      <c r="G29" s="21">
        <v>150637.74689033485</v>
      </c>
    </row>
    <row r="30" spans="1:7" x14ac:dyDescent="0.3">
      <c r="A30" s="19" t="s">
        <v>97</v>
      </c>
      <c r="B30" s="21">
        <v>3909.0606554235337</v>
      </c>
      <c r="C30" s="21">
        <v>12043.38405036726</v>
      </c>
      <c r="D30" s="21">
        <v>24276.263822805577</v>
      </c>
      <c r="E30" s="21">
        <v>82176.096858638746</v>
      </c>
      <c r="F30" s="21">
        <v>28232.94150309973</v>
      </c>
      <c r="G30" s="21">
        <v>150637.74689033485</v>
      </c>
    </row>
    <row r="31" spans="1:7" x14ac:dyDescent="0.3">
      <c r="A31" s="19" t="s">
        <v>98</v>
      </c>
      <c r="B31" s="21">
        <v>3909.0606554235337</v>
      </c>
      <c r="C31" s="21">
        <v>12043.38405036726</v>
      </c>
      <c r="D31" s="21">
        <v>24276.263822805577</v>
      </c>
      <c r="E31" s="21">
        <v>82176.096858638746</v>
      </c>
      <c r="F31" s="21">
        <v>28232.94150309973</v>
      </c>
      <c r="G31" s="21">
        <v>150637.74689033485</v>
      </c>
    </row>
    <row r="32" spans="1:7" x14ac:dyDescent="0.3">
      <c r="A32" s="19" t="s">
        <v>99</v>
      </c>
      <c r="B32" s="21">
        <v>3909.0606554235337</v>
      </c>
      <c r="C32" s="21">
        <v>12043.38405036726</v>
      </c>
      <c r="D32" s="21">
        <v>24276.263822805577</v>
      </c>
      <c r="E32" s="21">
        <v>82176.096858638746</v>
      </c>
      <c r="F32" s="21">
        <v>28232.94150309973</v>
      </c>
      <c r="G32" s="21">
        <v>150637.74689033485</v>
      </c>
    </row>
    <row r="33" spans="1:7" x14ac:dyDescent="0.3">
      <c r="A33" s="19" t="s">
        <v>100</v>
      </c>
      <c r="B33" s="21">
        <v>3909.0606554235337</v>
      </c>
      <c r="C33" s="21">
        <v>12043.38405036726</v>
      </c>
      <c r="D33" s="21">
        <v>24276.263822805577</v>
      </c>
      <c r="E33" s="21">
        <v>82176.096858638746</v>
      </c>
      <c r="F33" s="21">
        <v>28232.94150309973</v>
      </c>
      <c r="G33" s="21">
        <v>150637.74689033485</v>
      </c>
    </row>
    <row r="34" spans="1:7" x14ac:dyDescent="0.3">
      <c r="A34" s="19" t="s">
        <v>101</v>
      </c>
      <c r="B34" s="21">
        <v>3909.0606554235337</v>
      </c>
      <c r="C34" s="21">
        <v>12043.38405036726</v>
      </c>
      <c r="D34" s="21">
        <v>24276.263822805577</v>
      </c>
      <c r="E34" s="21">
        <v>82176.096858638746</v>
      </c>
      <c r="F34" s="21">
        <v>28232.94150309973</v>
      </c>
      <c r="G34" s="21">
        <v>150637.74689033485</v>
      </c>
    </row>
    <row r="35" spans="1:7" x14ac:dyDescent="0.3">
      <c r="A35" s="19" t="s">
        <v>102</v>
      </c>
      <c r="B35" s="21">
        <v>3909.0606554235337</v>
      </c>
      <c r="C35" s="21">
        <v>12043.38405036726</v>
      </c>
      <c r="D35" s="21">
        <v>24276.263822805577</v>
      </c>
      <c r="E35" s="21">
        <v>82176.096858638746</v>
      </c>
      <c r="F35" s="21">
        <v>28232.94150309973</v>
      </c>
      <c r="G35" s="21">
        <v>150637.74689033485</v>
      </c>
    </row>
    <row r="36" spans="1:7" x14ac:dyDescent="0.3">
      <c r="A36" s="19" t="s">
        <v>103</v>
      </c>
      <c r="B36" s="21">
        <v>3909.0606554235337</v>
      </c>
      <c r="C36" s="21">
        <v>12043.38405036726</v>
      </c>
      <c r="D36" s="21">
        <v>24276.263822805577</v>
      </c>
      <c r="E36" s="21">
        <v>82176.096858638746</v>
      </c>
      <c r="F36" s="21">
        <v>28232.94150309973</v>
      </c>
      <c r="G36" s="21">
        <v>150637.74689033485</v>
      </c>
    </row>
    <row r="37" spans="1:7" x14ac:dyDescent="0.3">
      <c r="A37" s="19" t="s">
        <v>104</v>
      </c>
      <c r="B37" s="21">
        <v>3909.0606554235337</v>
      </c>
      <c r="C37" s="21">
        <v>12043.38405036726</v>
      </c>
      <c r="D37" s="21">
        <v>24276.263822805577</v>
      </c>
      <c r="E37" s="21">
        <v>82176.096858638746</v>
      </c>
      <c r="F37" s="21">
        <v>28232.94150309973</v>
      </c>
      <c r="G37" s="21">
        <v>150637.74689033485</v>
      </c>
    </row>
    <row r="38" spans="1:7" x14ac:dyDescent="0.3">
      <c r="A38" s="19" t="s">
        <v>105</v>
      </c>
      <c r="B38" s="21">
        <v>3909.0606554235337</v>
      </c>
      <c r="C38" s="21">
        <v>12043.38405036726</v>
      </c>
      <c r="D38" s="21">
        <v>24276.263822805577</v>
      </c>
      <c r="E38" s="21">
        <v>82176.096858638746</v>
      </c>
      <c r="F38" s="21">
        <v>28232.94150309973</v>
      </c>
      <c r="G38" s="21">
        <v>150637.74689033485</v>
      </c>
    </row>
    <row r="39" spans="1:7" x14ac:dyDescent="0.3">
      <c r="A39" s="19" t="s">
        <v>106</v>
      </c>
      <c r="B39" s="21">
        <v>3909.0606554235337</v>
      </c>
      <c r="C39" s="21">
        <v>12043.38405036726</v>
      </c>
      <c r="D39" s="21">
        <v>24276.263822805577</v>
      </c>
      <c r="E39" s="21">
        <v>82176.096858638746</v>
      </c>
      <c r="F39" s="21">
        <v>28232.94150309973</v>
      </c>
      <c r="G39" s="21">
        <v>150637.74689033485</v>
      </c>
    </row>
    <row r="40" spans="1:7" x14ac:dyDescent="0.3">
      <c r="A40" s="19" t="s">
        <v>107</v>
      </c>
      <c r="B40" s="21">
        <v>3909.0606554235337</v>
      </c>
      <c r="C40" s="21">
        <v>12043.38405036726</v>
      </c>
      <c r="D40" s="21">
        <v>24276.263822805577</v>
      </c>
      <c r="E40" s="21">
        <v>82176.096858638746</v>
      </c>
      <c r="F40" s="21">
        <v>28232.94150309973</v>
      </c>
      <c r="G40" s="21">
        <v>150637.74689033485</v>
      </c>
    </row>
    <row r="41" spans="1:7" x14ac:dyDescent="0.3">
      <c r="A41" s="19" t="s">
        <v>108</v>
      </c>
      <c r="B41" s="21">
        <v>3909.0606554235337</v>
      </c>
      <c r="C41" s="21">
        <v>12043.38405036726</v>
      </c>
      <c r="D41" s="21">
        <v>24276.263822805577</v>
      </c>
      <c r="E41" s="21">
        <v>82176.096858638746</v>
      </c>
      <c r="F41" s="21">
        <v>28232.94150309973</v>
      </c>
      <c r="G41" s="21">
        <v>150637.74689033485</v>
      </c>
    </row>
    <row r="42" spans="1:7" x14ac:dyDescent="0.3">
      <c r="A42" s="19" t="s">
        <v>109</v>
      </c>
      <c r="B42" s="21">
        <v>3909.0606554235337</v>
      </c>
      <c r="C42" s="21">
        <v>12043.38405036726</v>
      </c>
      <c r="D42" s="21">
        <v>24276.263822805577</v>
      </c>
      <c r="E42" s="21">
        <v>82176.096858638746</v>
      </c>
      <c r="F42" s="21">
        <v>28232.94150309973</v>
      </c>
      <c r="G42" s="21">
        <v>150637.74689033485</v>
      </c>
    </row>
    <row r="43" spans="1:7" x14ac:dyDescent="0.3">
      <c r="A43" s="19" t="s">
        <v>110</v>
      </c>
      <c r="B43" s="21">
        <v>3909.0606554235337</v>
      </c>
      <c r="C43" s="21">
        <v>12043.38405036726</v>
      </c>
      <c r="D43" s="21">
        <v>24276.263822805577</v>
      </c>
      <c r="E43" s="21">
        <v>82176.096858638746</v>
      </c>
      <c r="F43" s="21">
        <v>28232.94150309973</v>
      </c>
      <c r="G43" s="21">
        <v>150637.74689033485</v>
      </c>
    </row>
    <row r="44" spans="1:7" x14ac:dyDescent="0.3">
      <c r="A44" s="19" t="s">
        <v>111</v>
      </c>
      <c r="B44" s="21">
        <v>3909.0606554235337</v>
      </c>
      <c r="C44" s="21">
        <v>12043.38405036726</v>
      </c>
      <c r="D44" s="21">
        <v>24276.263822805577</v>
      </c>
      <c r="E44" s="21">
        <v>82176.096858638746</v>
      </c>
      <c r="F44" s="21">
        <v>28232.94150309973</v>
      </c>
      <c r="G44" s="21">
        <v>150637.74689033485</v>
      </c>
    </row>
    <row r="45" spans="1:7" x14ac:dyDescent="0.3">
      <c r="A45" s="19" t="s">
        <v>112</v>
      </c>
      <c r="B45" s="21">
        <v>3909.0606554235337</v>
      </c>
      <c r="C45" s="21">
        <v>12043.38405036726</v>
      </c>
      <c r="D45" s="21">
        <v>24276.263822805577</v>
      </c>
      <c r="E45" s="21">
        <v>82176.096858638746</v>
      </c>
      <c r="F45" s="21">
        <v>28232.94150309973</v>
      </c>
      <c r="G45" s="21">
        <v>150637.74689033485</v>
      </c>
    </row>
    <row r="46" spans="1:7" x14ac:dyDescent="0.3">
      <c r="A46" s="19" t="s">
        <v>113</v>
      </c>
      <c r="B46" s="21">
        <v>3909.0606554235337</v>
      </c>
      <c r="C46" s="21">
        <v>12043.38405036726</v>
      </c>
      <c r="D46" s="21">
        <v>24276.263822805577</v>
      </c>
      <c r="E46" s="21">
        <v>82176.096858638746</v>
      </c>
      <c r="F46" s="21">
        <v>28232.94150309973</v>
      </c>
      <c r="G46" s="21">
        <v>150637.74689033485</v>
      </c>
    </row>
    <row r="47" spans="1:7" x14ac:dyDescent="0.3">
      <c r="A47" s="19" t="s">
        <v>114</v>
      </c>
      <c r="B47" s="21">
        <v>3909.0606554235337</v>
      </c>
      <c r="C47" s="21">
        <v>12043.38405036726</v>
      </c>
      <c r="D47" s="21">
        <v>24276.263822805577</v>
      </c>
      <c r="E47" s="21">
        <v>82176.096858638746</v>
      </c>
      <c r="F47" s="21">
        <v>28232.94150309973</v>
      </c>
      <c r="G47" s="21">
        <v>150637.74689033485</v>
      </c>
    </row>
    <row r="48" spans="1:7" x14ac:dyDescent="0.3">
      <c r="A48" s="19" t="s">
        <v>115</v>
      </c>
      <c r="B48" s="21">
        <v>3909.0606554235337</v>
      </c>
      <c r="C48" s="21">
        <v>12043.38405036726</v>
      </c>
      <c r="D48" s="21">
        <v>24276.263822805577</v>
      </c>
      <c r="E48" s="21">
        <v>82176.096858638746</v>
      </c>
      <c r="F48" s="21">
        <v>28232.94150309973</v>
      </c>
      <c r="G48" s="21">
        <v>150637.74689033485</v>
      </c>
    </row>
    <row r="49" spans="1:7" x14ac:dyDescent="0.3">
      <c r="A49" s="19" t="s">
        <v>116</v>
      </c>
      <c r="B49" s="21">
        <v>3909.0606554235337</v>
      </c>
      <c r="C49" s="21">
        <v>12043.38405036726</v>
      </c>
      <c r="D49" s="21">
        <v>24276.263822805577</v>
      </c>
      <c r="E49" s="21">
        <v>82176.096858638746</v>
      </c>
      <c r="F49" s="21">
        <v>28232.94150309973</v>
      </c>
      <c r="G49" s="21">
        <v>150637.74689033485</v>
      </c>
    </row>
    <row r="50" spans="1:7" x14ac:dyDescent="0.3">
      <c r="A50" s="19" t="s">
        <v>117</v>
      </c>
      <c r="B50" s="21">
        <v>3909.0606554235337</v>
      </c>
      <c r="C50" s="21">
        <v>12043.38405036726</v>
      </c>
      <c r="D50" s="21">
        <v>24276.263822805577</v>
      </c>
      <c r="E50" s="21">
        <v>82176.096858638746</v>
      </c>
      <c r="F50" s="21">
        <v>28232.94150309973</v>
      </c>
      <c r="G50" s="21">
        <v>150637.74689033485</v>
      </c>
    </row>
    <row r="51" spans="1:7" x14ac:dyDescent="0.3">
      <c r="A51" s="19" t="s">
        <v>118</v>
      </c>
      <c r="B51" s="21">
        <v>3909.0606554235337</v>
      </c>
      <c r="C51" s="21">
        <v>12043.38405036726</v>
      </c>
      <c r="D51" s="21">
        <v>24276.263822805577</v>
      </c>
      <c r="E51" s="21">
        <v>82176.096858638746</v>
      </c>
      <c r="F51" s="21">
        <v>28232.94150309973</v>
      </c>
      <c r="G51" s="21">
        <v>150637.74689033485</v>
      </c>
    </row>
    <row r="52" spans="1:7" x14ac:dyDescent="0.3">
      <c r="A52" s="19" t="s">
        <v>119</v>
      </c>
      <c r="B52" s="21">
        <v>3909.0606554235337</v>
      </c>
      <c r="C52" s="21">
        <v>12043.38405036726</v>
      </c>
      <c r="D52" s="21">
        <v>24276.263822805577</v>
      </c>
      <c r="E52" s="21">
        <v>82176.096858638746</v>
      </c>
      <c r="F52" s="21">
        <v>28232.94150309973</v>
      </c>
      <c r="G52" s="21">
        <v>150637.74689033485</v>
      </c>
    </row>
    <row r="53" spans="1:7" x14ac:dyDescent="0.3">
      <c r="A53" s="19" t="s">
        <v>120</v>
      </c>
      <c r="B53" s="21">
        <v>3909.0606554235337</v>
      </c>
      <c r="C53" s="21">
        <v>12043.38405036726</v>
      </c>
      <c r="D53" s="21">
        <v>24276.263822805577</v>
      </c>
      <c r="E53" s="21">
        <v>82176.096858638746</v>
      </c>
      <c r="F53" s="21">
        <v>28232.94150309973</v>
      </c>
      <c r="G53" s="21">
        <v>150637.74689033485</v>
      </c>
    </row>
    <row r="54" spans="1:7" x14ac:dyDescent="0.3">
      <c r="A54" s="19" t="s">
        <v>121</v>
      </c>
      <c r="B54" s="21">
        <v>3909.0606554235337</v>
      </c>
      <c r="C54" s="21">
        <v>12043.38405036726</v>
      </c>
      <c r="D54" s="21">
        <v>24276.263822805577</v>
      </c>
      <c r="E54" s="21">
        <v>82176.096858638746</v>
      </c>
      <c r="F54" s="21">
        <v>28232.94150309973</v>
      </c>
      <c r="G54" s="21">
        <v>150637.74689033485</v>
      </c>
    </row>
    <row r="55" spans="1:7" x14ac:dyDescent="0.3">
      <c r="A55" s="19" t="s">
        <v>122</v>
      </c>
      <c r="B55" s="21">
        <v>3909.0606554235337</v>
      </c>
      <c r="C55" s="21">
        <v>12043.38405036726</v>
      </c>
      <c r="D55" s="21">
        <v>24276.263822805577</v>
      </c>
      <c r="E55" s="21">
        <v>82176.096858638746</v>
      </c>
      <c r="F55" s="21">
        <v>28232.94150309973</v>
      </c>
      <c r="G55" s="21">
        <v>150637.74689033485</v>
      </c>
    </row>
    <row r="56" spans="1:7" x14ac:dyDescent="0.3">
      <c r="A56" s="19" t="s">
        <v>123</v>
      </c>
      <c r="B56" s="21">
        <v>3909.0606554235337</v>
      </c>
      <c r="C56" s="21">
        <v>12043.38405036726</v>
      </c>
      <c r="D56" s="21">
        <v>24276.263822805577</v>
      </c>
      <c r="E56" s="21">
        <v>82176.096858638746</v>
      </c>
      <c r="F56" s="21">
        <v>28232.94150309973</v>
      </c>
      <c r="G56" s="21">
        <v>150637.74689033485</v>
      </c>
    </row>
    <row r="57" spans="1:7" x14ac:dyDescent="0.3">
      <c r="A57" s="19" t="s">
        <v>124</v>
      </c>
      <c r="B57" s="21">
        <v>3909.0606554235337</v>
      </c>
      <c r="C57" s="21">
        <v>12043.38405036726</v>
      </c>
      <c r="D57" s="21">
        <v>24276.263822805577</v>
      </c>
      <c r="E57" s="21">
        <v>82176.096858638746</v>
      </c>
      <c r="F57" s="21">
        <v>28232.94150309973</v>
      </c>
      <c r="G57" s="21">
        <v>150637.74689033485</v>
      </c>
    </row>
    <row r="58" spans="1:7" x14ac:dyDescent="0.3">
      <c r="A58" s="19" t="s">
        <v>125</v>
      </c>
      <c r="B58" s="21">
        <v>3909.0606554235337</v>
      </c>
      <c r="C58" s="21">
        <v>12043.38405036726</v>
      </c>
      <c r="D58" s="21">
        <v>24276.263822805577</v>
      </c>
      <c r="E58" s="21">
        <v>82176.096858638746</v>
      </c>
      <c r="F58" s="21">
        <v>28232.94150309973</v>
      </c>
      <c r="G58" s="21">
        <v>150637.74689033485</v>
      </c>
    </row>
    <row r="59" spans="1:7" x14ac:dyDescent="0.3">
      <c r="A59" s="19" t="s">
        <v>126</v>
      </c>
      <c r="B59" s="21">
        <v>3909.0606554235337</v>
      </c>
      <c r="C59" s="21">
        <v>12043.38405036726</v>
      </c>
      <c r="D59" s="21">
        <v>24276.263822805577</v>
      </c>
      <c r="E59" s="21">
        <v>82176.096858638746</v>
      </c>
      <c r="F59" s="21">
        <v>28232.94150309973</v>
      </c>
      <c r="G59" s="21">
        <v>150637.74689033485</v>
      </c>
    </row>
    <row r="60" spans="1:7" x14ac:dyDescent="0.3">
      <c r="A60" s="19" t="s">
        <v>127</v>
      </c>
      <c r="B60" s="21">
        <v>3909.0606554235337</v>
      </c>
      <c r="C60" s="21">
        <v>12043.38405036726</v>
      </c>
      <c r="D60" s="21">
        <v>24276.263822805577</v>
      </c>
      <c r="E60" s="21">
        <v>82176.096858638746</v>
      </c>
      <c r="F60" s="21">
        <v>28232.94150309973</v>
      </c>
      <c r="G60" s="21">
        <v>150637.74689033485</v>
      </c>
    </row>
    <row r="61" spans="1:7" x14ac:dyDescent="0.3">
      <c r="A61" s="19" t="s">
        <v>128</v>
      </c>
      <c r="B61" s="21">
        <v>3909.0606554235337</v>
      </c>
      <c r="C61" s="21">
        <v>12043.38405036726</v>
      </c>
      <c r="D61" s="21">
        <v>24276.263822805577</v>
      </c>
      <c r="E61" s="21">
        <v>82176.096858638746</v>
      </c>
      <c r="F61" s="21">
        <v>28232.94150309973</v>
      </c>
      <c r="G61" s="21">
        <v>150637.74689033485</v>
      </c>
    </row>
    <row r="62" spans="1:7" x14ac:dyDescent="0.3">
      <c r="A62" s="19" t="s">
        <v>129</v>
      </c>
      <c r="B62" s="21">
        <v>3909.0606554235337</v>
      </c>
      <c r="C62" s="21">
        <v>12043.38405036726</v>
      </c>
      <c r="D62" s="21">
        <v>24276.263822805577</v>
      </c>
      <c r="E62" s="21">
        <v>82176.096858638746</v>
      </c>
      <c r="F62" s="21">
        <v>28232.94150309973</v>
      </c>
      <c r="G62" s="21">
        <v>150637.74689033485</v>
      </c>
    </row>
    <row r="63" spans="1:7" x14ac:dyDescent="0.3">
      <c r="A63" s="19" t="s">
        <v>130</v>
      </c>
      <c r="B63" s="21">
        <v>3909.0606554235337</v>
      </c>
      <c r="C63" s="21">
        <v>12043.38405036726</v>
      </c>
      <c r="D63" s="21">
        <v>24276.263822805577</v>
      </c>
      <c r="E63" s="21">
        <v>82176.096858638746</v>
      </c>
      <c r="F63" s="21">
        <v>28232.94150309973</v>
      </c>
      <c r="G63" s="21">
        <v>150637.74689033485</v>
      </c>
    </row>
    <row r="64" spans="1:7" x14ac:dyDescent="0.3">
      <c r="A64" s="19" t="s">
        <v>131</v>
      </c>
      <c r="B64" s="21">
        <v>3909.0606554235337</v>
      </c>
      <c r="C64" s="21">
        <v>12043.38405036726</v>
      </c>
      <c r="D64" s="21">
        <v>24276.263822805577</v>
      </c>
      <c r="E64" s="21">
        <v>82176.096858638746</v>
      </c>
      <c r="F64" s="21">
        <v>28232.94150309973</v>
      </c>
      <c r="G64" s="21">
        <v>150637.74689033485</v>
      </c>
    </row>
    <row r="65" spans="1:7" x14ac:dyDescent="0.3">
      <c r="A65" s="19" t="s">
        <v>132</v>
      </c>
      <c r="B65" s="21">
        <v>3909.0606554235337</v>
      </c>
      <c r="C65" s="21">
        <v>12043.38405036726</v>
      </c>
      <c r="D65" s="21">
        <v>24276.263822805577</v>
      </c>
      <c r="E65" s="21">
        <v>82176.096858638746</v>
      </c>
      <c r="F65" s="21">
        <v>28232.94150309973</v>
      </c>
      <c r="G65" s="21">
        <v>150637.74689033485</v>
      </c>
    </row>
    <row r="66" spans="1:7" x14ac:dyDescent="0.3">
      <c r="A66" s="19" t="s">
        <v>133</v>
      </c>
      <c r="B66" s="21">
        <v>3909.0606554235337</v>
      </c>
      <c r="C66" s="21">
        <v>12043.38405036726</v>
      </c>
      <c r="D66" s="21">
        <v>24276.263822805577</v>
      </c>
      <c r="E66" s="21">
        <v>82176.096858638746</v>
      </c>
      <c r="F66" s="21">
        <v>28232.94150309973</v>
      </c>
      <c r="G66" s="21">
        <v>150637.74689033485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8C2D-D520-4E99-A913-DC20FCD8B0CB}">
  <dimension ref="A1:T66"/>
  <sheetViews>
    <sheetView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I18" sqref="I18"/>
    </sheetView>
  </sheetViews>
  <sheetFormatPr defaultColWidth="8.88671875" defaultRowHeight="14.4" x14ac:dyDescent="0.3"/>
  <cols>
    <col min="1" max="2" width="8.88671875" style="13"/>
    <col min="3" max="3" width="10" style="13" bestFit="1" customWidth="1"/>
    <col min="4" max="6" width="11.6640625" style="13" bestFit="1" customWidth="1"/>
    <col min="7" max="7" width="10" style="13" bestFit="1" customWidth="1"/>
    <col min="8" max="8" width="11.6640625" style="13" bestFit="1" customWidth="1"/>
    <col min="9" max="9" width="15.21875" style="13" bestFit="1" customWidth="1"/>
    <col min="10" max="12" width="16.21875" style="13" bestFit="1" customWidth="1"/>
    <col min="13" max="13" width="14.5546875" style="13" bestFit="1" customWidth="1"/>
    <col min="14" max="14" width="12.33203125" style="13" bestFit="1" customWidth="1"/>
    <col min="15" max="15" width="11" style="13" bestFit="1" customWidth="1"/>
    <col min="16" max="18" width="12.77734375" style="13" bestFit="1" customWidth="1"/>
    <col min="19" max="19" width="12.5546875" style="13" customWidth="1"/>
    <col min="20" max="20" width="14.88671875" style="13" bestFit="1" customWidth="1"/>
    <col min="21" max="16384" width="8.88671875" style="13"/>
  </cols>
  <sheetData>
    <row r="1" spans="1:20" ht="20.399999999999999" x14ac:dyDescent="0.3">
      <c r="A1" s="2" t="s">
        <v>66</v>
      </c>
      <c r="B1" s="2" t="s">
        <v>65</v>
      </c>
      <c r="C1" s="2" t="s">
        <v>73</v>
      </c>
      <c r="D1" s="2" t="s">
        <v>74</v>
      </c>
      <c r="E1" s="2" t="s">
        <v>76</v>
      </c>
      <c r="F1" s="2" t="s">
        <v>77</v>
      </c>
      <c r="G1" s="2" t="s">
        <v>78</v>
      </c>
      <c r="H1" s="2" t="s">
        <v>75</v>
      </c>
      <c r="I1" s="2" t="s">
        <v>138</v>
      </c>
      <c r="J1" s="2" t="s">
        <v>139</v>
      </c>
      <c r="K1" s="2" t="s">
        <v>140</v>
      </c>
      <c r="L1" s="2" t="s">
        <v>147</v>
      </c>
      <c r="M1" s="2" t="s">
        <v>148</v>
      </c>
      <c r="N1" s="2" t="s">
        <v>149</v>
      </c>
      <c r="O1" s="2" t="s">
        <v>141</v>
      </c>
      <c r="P1" s="2" t="s">
        <v>142</v>
      </c>
      <c r="Q1" s="2" t="s">
        <v>143</v>
      </c>
      <c r="R1" s="2" t="s">
        <v>144</v>
      </c>
      <c r="S1" s="2" t="s">
        <v>145</v>
      </c>
      <c r="T1" s="2" t="s">
        <v>146</v>
      </c>
    </row>
    <row r="2" spans="1:20" x14ac:dyDescent="0.3">
      <c r="A2" s="9" t="s">
        <v>67</v>
      </c>
      <c r="B2" s="10" t="s">
        <v>52</v>
      </c>
      <c r="C2" s="11">
        <v>0</v>
      </c>
      <c r="D2" s="12">
        <v>0</v>
      </c>
      <c r="E2" s="12">
        <v>0</v>
      </c>
      <c r="F2" s="12">
        <v>7</v>
      </c>
      <c r="G2" s="12">
        <v>10</v>
      </c>
      <c r="H2" s="12">
        <v>17</v>
      </c>
      <c r="I2" s="21">
        <v>3969.5696152320511</v>
      </c>
      <c r="J2" s="21">
        <v>11111.086265060239</v>
      </c>
      <c r="K2" s="21">
        <v>26672.768894771674</v>
      </c>
      <c r="L2" s="21">
        <v>79542.512910194419</v>
      </c>
      <c r="M2" s="21">
        <v>27861.485158883632</v>
      </c>
      <c r="N2" s="21">
        <v>149157.42284414204</v>
      </c>
      <c r="O2" s="13">
        <f>C2/I2*100000</f>
        <v>0</v>
      </c>
      <c r="P2" s="13">
        <f t="shared" ref="P2:S2" si="0">D2/J2*100000</f>
        <v>0</v>
      </c>
      <c r="Q2" s="13">
        <f t="shared" si="0"/>
        <v>0</v>
      </c>
      <c r="R2" s="13">
        <f t="shared" si="0"/>
        <v>8.8003254409414797</v>
      </c>
      <c r="S2" s="13">
        <f t="shared" si="0"/>
        <v>35.891841167022285</v>
      </c>
      <c r="T2" s="13">
        <f>H2/N2*100000</f>
        <v>11.397354336004909</v>
      </c>
    </row>
    <row r="3" spans="1:20" x14ac:dyDescent="0.3">
      <c r="A3" s="9" t="s">
        <v>67</v>
      </c>
      <c r="B3" s="10" t="s">
        <v>53</v>
      </c>
      <c r="C3" s="11">
        <v>2</v>
      </c>
      <c r="D3" s="12">
        <v>0</v>
      </c>
      <c r="E3" s="12">
        <v>1</v>
      </c>
      <c r="F3" s="12">
        <v>6</v>
      </c>
      <c r="G3" s="12">
        <v>11</v>
      </c>
      <c r="H3" s="12">
        <v>20</v>
      </c>
      <c r="I3" s="21">
        <v>3969.5696152320511</v>
      </c>
      <c r="J3" s="21">
        <v>11111.086265060239</v>
      </c>
      <c r="K3" s="21">
        <v>26672.768894771674</v>
      </c>
      <c r="L3" s="21">
        <v>79542.512910194419</v>
      </c>
      <c r="M3" s="21">
        <v>27861.485158883632</v>
      </c>
      <c r="N3" s="21">
        <v>149157.42284414204</v>
      </c>
      <c r="O3" s="13">
        <f t="shared" ref="O3:O66" si="1">C3/I3*100000</f>
        <v>50.383295769032252</v>
      </c>
      <c r="P3" s="13">
        <f t="shared" ref="P3:P66" si="2">D3/J3*100000</f>
        <v>0</v>
      </c>
      <c r="Q3" s="13">
        <f t="shared" ref="Q3:Q66" si="3">E3/K3*100000</f>
        <v>3.749142070495791</v>
      </c>
      <c r="R3" s="13">
        <f t="shared" ref="R3:R66" si="4">F3/L3*100000</f>
        <v>7.5431360922355539</v>
      </c>
      <c r="S3" s="13">
        <f t="shared" ref="S3:S66" si="5">G3/M3*100000</f>
        <v>39.48102528372452</v>
      </c>
      <c r="T3" s="13">
        <f t="shared" ref="T3:T66" si="6">H3/N3*100000</f>
        <v>13.408652160005774</v>
      </c>
    </row>
    <row r="4" spans="1:20" x14ac:dyDescent="0.3">
      <c r="A4" s="9" t="s">
        <v>67</v>
      </c>
      <c r="B4" s="10" t="s">
        <v>54</v>
      </c>
      <c r="C4" s="11">
        <v>1</v>
      </c>
      <c r="D4" s="12">
        <v>0</v>
      </c>
      <c r="E4" s="12">
        <v>0</v>
      </c>
      <c r="F4" s="12">
        <v>4</v>
      </c>
      <c r="G4" s="12">
        <v>16</v>
      </c>
      <c r="H4" s="12">
        <v>21</v>
      </c>
      <c r="I4" s="21">
        <v>3969.5696152320511</v>
      </c>
      <c r="J4" s="21">
        <v>11111.086265060239</v>
      </c>
      <c r="K4" s="21">
        <v>26672.768894771674</v>
      </c>
      <c r="L4" s="21">
        <v>79542.512910194419</v>
      </c>
      <c r="M4" s="21">
        <v>27861.485158883632</v>
      </c>
      <c r="N4" s="21">
        <v>149157.42284414204</v>
      </c>
      <c r="O4" s="13">
        <f t="shared" si="1"/>
        <v>25.191647884516126</v>
      </c>
      <c r="P4" s="13">
        <f t="shared" si="2"/>
        <v>0</v>
      </c>
      <c r="Q4" s="13">
        <f t="shared" si="3"/>
        <v>0</v>
      </c>
      <c r="R4" s="13">
        <f t="shared" si="4"/>
        <v>5.0287573948237023</v>
      </c>
      <c r="S4" s="13">
        <f t="shared" si="5"/>
        <v>57.426945867235659</v>
      </c>
      <c r="T4" s="13">
        <f t="shared" si="6"/>
        <v>14.079084768006066</v>
      </c>
    </row>
    <row r="5" spans="1:20" x14ac:dyDescent="0.3">
      <c r="A5" s="9" t="s">
        <v>67</v>
      </c>
      <c r="B5" s="10" t="s">
        <v>55</v>
      </c>
      <c r="C5" s="11">
        <v>0</v>
      </c>
      <c r="D5" s="12">
        <v>0</v>
      </c>
      <c r="E5" s="12">
        <v>0</v>
      </c>
      <c r="F5" s="12">
        <v>4</v>
      </c>
      <c r="G5" s="12">
        <v>18</v>
      </c>
      <c r="H5" s="12">
        <v>22</v>
      </c>
      <c r="I5" s="21">
        <v>3969.5696152320511</v>
      </c>
      <c r="J5" s="21">
        <v>11111.086265060239</v>
      </c>
      <c r="K5" s="21">
        <v>26672.768894771674</v>
      </c>
      <c r="L5" s="21">
        <v>79542.512910194419</v>
      </c>
      <c r="M5" s="21">
        <v>27861.485158883632</v>
      </c>
      <c r="N5" s="21">
        <v>149157.42284414204</v>
      </c>
      <c r="O5" s="13">
        <f t="shared" si="1"/>
        <v>0</v>
      </c>
      <c r="P5" s="13">
        <f t="shared" si="2"/>
        <v>0</v>
      </c>
      <c r="Q5" s="13">
        <f t="shared" si="3"/>
        <v>0</v>
      </c>
      <c r="R5" s="13">
        <f t="shared" si="4"/>
        <v>5.0287573948237023</v>
      </c>
      <c r="S5" s="13">
        <f t="shared" si="5"/>
        <v>64.605314100640115</v>
      </c>
      <c r="T5" s="13">
        <f t="shared" si="6"/>
        <v>14.749517376006352</v>
      </c>
    </row>
    <row r="6" spans="1:20" x14ac:dyDescent="0.3">
      <c r="A6" s="9" t="s">
        <v>67</v>
      </c>
      <c r="B6" s="10" t="s">
        <v>56</v>
      </c>
      <c r="C6" s="11">
        <v>0</v>
      </c>
      <c r="D6" s="12">
        <v>0</v>
      </c>
      <c r="E6" s="12">
        <v>1</v>
      </c>
      <c r="F6" s="12">
        <v>5</v>
      </c>
      <c r="G6" s="12">
        <v>17</v>
      </c>
      <c r="H6" s="12">
        <v>23</v>
      </c>
      <c r="I6" s="21">
        <v>3969.5696152320511</v>
      </c>
      <c r="J6" s="21">
        <v>11111.086265060239</v>
      </c>
      <c r="K6" s="21">
        <v>26672.768894771674</v>
      </c>
      <c r="L6" s="21">
        <v>79542.512910194419</v>
      </c>
      <c r="M6" s="21">
        <v>27861.485158883632</v>
      </c>
      <c r="N6" s="21">
        <v>149157.42284414204</v>
      </c>
      <c r="O6" s="13">
        <f t="shared" si="1"/>
        <v>0</v>
      </c>
      <c r="P6" s="13">
        <f t="shared" si="2"/>
        <v>0</v>
      </c>
      <c r="Q6" s="13">
        <f t="shared" si="3"/>
        <v>3.749142070495791</v>
      </c>
      <c r="R6" s="13">
        <f t="shared" si="4"/>
        <v>6.2859467435296281</v>
      </c>
      <c r="S6" s="13">
        <f t="shared" si="5"/>
        <v>61.01612998393788</v>
      </c>
      <c r="T6" s="13">
        <f t="shared" si="6"/>
        <v>15.419949984006641</v>
      </c>
    </row>
    <row r="7" spans="1:20" x14ac:dyDescent="0.3">
      <c r="A7" s="9" t="s">
        <v>67</v>
      </c>
      <c r="B7" s="10" t="s">
        <v>57</v>
      </c>
      <c r="C7" s="11">
        <v>1</v>
      </c>
      <c r="D7" s="12">
        <v>0</v>
      </c>
      <c r="E7" s="12">
        <v>1</v>
      </c>
      <c r="F7" s="12">
        <v>4</v>
      </c>
      <c r="G7" s="12">
        <v>16</v>
      </c>
      <c r="H7" s="12">
        <v>22</v>
      </c>
      <c r="I7" s="21">
        <v>3969.5696152320511</v>
      </c>
      <c r="J7" s="21">
        <v>11111.086265060239</v>
      </c>
      <c r="K7" s="21">
        <v>26672.768894771674</v>
      </c>
      <c r="L7" s="21">
        <v>79542.512910194419</v>
      </c>
      <c r="M7" s="21">
        <v>27861.485158883632</v>
      </c>
      <c r="N7" s="21">
        <v>149157.42284414204</v>
      </c>
      <c r="O7" s="13">
        <f t="shared" si="1"/>
        <v>25.191647884516126</v>
      </c>
      <c r="P7" s="13">
        <f t="shared" si="2"/>
        <v>0</v>
      </c>
      <c r="Q7" s="13">
        <f t="shared" si="3"/>
        <v>3.749142070495791</v>
      </c>
      <c r="R7" s="13">
        <f t="shared" si="4"/>
        <v>5.0287573948237023</v>
      </c>
      <c r="S7" s="13">
        <f t="shared" si="5"/>
        <v>57.426945867235659</v>
      </c>
      <c r="T7" s="13">
        <f t="shared" si="6"/>
        <v>14.749517376006352</v>
      </c>
    </row>
    <row r="8" spans="1:20" x14ac:dyDescent="0.3">
      <c r="A8" s="9" t="s">
        <v>67</v>
      </c>
      <c r="B8" s="10" t="s">
        <v>58</v>
      </c>
      <c r="C8" s="11">
        <v>1</v>
      </c>
      <c r="D8" s="12">
        <v>1</v>
      </c>
      <c r="E8" s="12">
        <v>0</v>
      </c>
      <c r="F8" s="12">
        <v>9</v>
      </c>
      <c r="G8" s="12">
        <v>10</v>
      </c>
      <c r="H8" s="12">
        <v>21</v>
      </c>
      <c r="I8" s="21">
        <v>3969.5696152320511</v>
      </c>
      <c r="J8" s="21">
        <v>11111.086265060239</v>
      </c>
      <c r="K8" s="21">
        <v>26672.768894771674</v>
      </c>
      <c r="L8" s="21">
        <v>79542.512910194419</v>
      </c>
      <c r="M8" s="21">
        <v>27861.485158883632</v>
      </c>
      <c r="N8" s="21">
        <v>149157.42284414204</v>
      </c>
      <c r="O8" s="13">
        <f t="shared" si="1"/>
        <v>25.191647884516126</v>
      </c>
      <c r="P8" s="13">
        <f t="shared" si="2"/>
        <v>9.0000201253462091</v>
      </c>
      <c r="Q8" s="13">
        <f t="shared" si="3"/>
        <v>0</v>
      </c>
      <c r="R8" s="13">
        <f t="shared" si="4"/>
        <v>11.31470413835333</v>
      </c>
      <c r="S8" s="13">
        <f t="shared" si="5"/>
        <v>35.891841167022285</v>
      </c>
      <c r="T8" s="13">
        <f t="shared" si="6"/>
        <v>14.079084768006066</v>
      </c>
    </row>
    <row r="9" spans="1:20" x14ac:dyDescent="0.3">
      <c r="A9" s="9" t="s">
        <v>67</v>
      </c>
      <c r="B9" s="10" t="s">
        <v>59</v>
      </c>
      <c r="C9" s="11">
        <v>2</v>
      </c>
      <c r="D9" s="12">
        <v>0</v>
      </c>
      <c r="E9" s="12">
        <v>2</v>
      </c>
      <c r="F9" s="12">
        <v>4</v>
      </c>
      <c r="G9" s="12">
        <v>19</v>
      </c>
      <c r="H9" s="12">
        <v>27</v>
      </c>
      <c r="I9" s="21">
        <v>3969.5696152320511</v>
      </c>
      <c r="J9" s="21">
        <v>11111.086265060239</v>
      </c>
      <c r="K9" s="21">
        <v>26672.768894771674</v>
      </c>
      <c r="L9" s="21">
        <v>79542.512910194419</v>
      </c>
      <c r="M9" s="21">
        <v>27861.485158883632</v>
      </c>
      <c r="N9" s="21">
        <v>149157.42284414204</v>
      </c>
      <c r="O9" s="13">
        <f t="shared" si="1"/>
        <v>50.383295769032252</v>
      </c>
      <c r="P9" s="13">
        <f t="shared" si="2"/>
        <v>0</v>
      </c>
      <c r="Q9" s="13">
        <f t="shared" si="3"/>
        <v>7.4982841409915819</v>
      </c>
      <c r="R9" s="13">
        <f t="shared" si="4"/>
        <v>5.0287573948237023</v>
      </c>
      <c r="S9" s="13">
        <f t="shared" si="5"/>
        <v>68.194498217342343</v>
      </c>
      <c r="T9" s="13">
        <f t="shared" si="6"/>
        <v>18.101680416007799</v>
      </c>
    </row>
    <row r="10" spans="1:20" x14ac:dyDescent="0.3">
      <c r="A10" s="9" t="s">
        <v>67</v>
      </c>
      <c r="B10" s="10" t="s">
        <v>60</v>
      </c>
      <c r="C10" s="11">
        <v>1</v>
      </c>
      <c r="D10" s="12">
        <v>0</v>
      </c>
      <c r="E10" s="12">
        <v>0</v>
      </c>
      <c r="F10" s="12">
        <v>3</v>
      </c>
      <c r="G10" s="12">
        <v>14</v>
      </c>
      <c r="H10" s="12">
        <v>18</v>
      </c>
      <c r="I10" s="21">
        <v>3969.5696152320511</v>
      </c>
      <c r="J10" s="21">
        <v>11111.086265060239</v>
      </c>
      <c r="K10" s="21">
        <v>26672.768894771674</v>
      </c>
      <c r="L10" s="21">
        <v>79542.512910194419</v>
      </c>
      <c r="M10" s="21">
        <v>27861.485158883632</v>
      </c>
      <c r="N10" s="21">
        <v>149157.42284414204</v>
      </c>
      <c r="O10" s="13">
        <f t="shared" si="1"/>
        <v>25.191647884516126</v>
      </c>
      <c r="P10" s="13">
        <f t="shared" si="2"/>
        <v>0</v>
      </c>
      <c r="Q10" s="13">
        <f t="shared" si="3"/>
        <v>0</v>
      </c>
      <c r="R10" s="13">
        <f t="shared" si="4"/>
        <v>3.771568046117777</v>
      </c>
      <c r="S10" s="13">
        <f t="shared" si="5"/>
        <v>50.248577633831196</v>
      </c>
      <c r="T10" s="13">
        <f t="shared" si="6"/>
        <v>12.067786944005197</v>
      </c>
    </row>
    <row r="11" spans="1:20" x14ac:dyDescent="0.3">
      <c r="A11" s="9" t="s">
        <v>67</v>
      </c>
      <c r="B11" s="10" t="s">
        <v>61</v>
      </c>
      <c r="C11" s="11">
        <v>2</v>
      </c>
      <c r="D11" s="12">
        <v>0</v>
      </c>
      <c r="E11" s="12">
        <v>0</v>
      </c>
      <c r="F11" s="12">
        <v>4</v>
      </c>
      <c r="G11" s="12">
        <v>26</v>
      </c>
      <c r="H11" s="12">
        <v>32</v>
      </c>
      <c r="I11" s="21">
        <v>3969.5696152320511</v>
      </c>
      <c r="J11" s="21">
        <v>11111.086265060239</v>
      </c>
      <c r="K11" s="21">
        <v>26672.768894771674</v>
      </c>
      <c r="L11" s="21">
        <v>79542.512910194419</v>
      </c>
      <c r="M11" s="21">
        <v>27861.485158883632</v>
      </c>
      <c r="N11" s="21">
        <v>149157.42284414204</v>
      </c>
      <c r="O11" s="13">
        <f t="shared" si="1"/>
        <v>50.383295769032252</v>
      </c>
      <c r="P11" s="13">
        <f t="shared" si="2"/>
        <v>0</v>
      </c>
      <c r="Q11" s="13">
        <f t="shared" si="3"/>
        <v>0</v>
      </c>
      <c r="R11" s="13">
        <f t="shared" si="4"/>
        <v>5.0287573948237023</v>
      </c>
      <c r="S11" s="13">
        <f t="shared" si="5"/>
        <v>93.318787034257937</v>
      </c>
      <c r="T11" s="13">
        <f t="shared" si="6"/>
        <v>21.453843456009242</v>
      </c>
    </row>
    <row r="12" spans="1:20" x14ac:dyDescent="0.3">
      <c r="A12" s="9" t="s">
        <v>67</v>
      </c>
      <c r="B12" s="10" t="s">
        <v>62</v>
      </c>
      <c r="C12" s="11">
        <v>2</v>
      </c>
      <c r="D12" s="12">
        <v>1</v>
      </c>
      <c r="E12" s="12">
        <v>0</v>
      </c>
      <c r="F12" s="12">
        <v>4</v>
      </c>
      <c r="G12" s="12">
        <v>25</v>
      </c>
      <c r="H12" s="12">
        <v>32</v>
      </c>
      <c r="I12" s="21">
        <v>3969.5696152320511</v>
      </c>
      <c r="J12" s="21">
        <v>11111.086265060239</v>
      </c>
      <c r="K12" s="21">
        <v>26672.768894771674</v>
      </c>
      <c r="L12" s="21">
        <v>79542.512910194419</v>
      </c>
      <c r="M12" s="21">
        <v>27861.485158883632</v>
      </c>
      <c r="N12" s="21">
        <v>149157.42284414204</v>
      </c>
      <c r="O12" s="13">
        <f t="shared" si="1"/>
        <v>50.383295769032252</v>
      </c>
      <c r="P12" s="13">
        <f t="shared" si="2"/>
        <v>9.0000201253462091</v>
      </c>
      <c r="Q12" s="13">
        <f t="shared" si="3"/>
        <v>0</v>
      </c>
      <c r="R12" s="13">
        <f t="shared" si="4"/>
        <v>5.0287573948237023</v>
      </c>
      <c r="S12" s="13">
        <f t="shared" si="5"/>
        <v>89.729602917555709</v>
      </c>
      <c r="T12" s="13">
        <f t="shared" si="6"/>
        <v>21.453843456009242</v>
      </c>
    </row>
    <row r="13" spans="1:20" x14ac:dyDescent="0.3">
      <c r="A13" s="4" t="s">
        <v>67</v>
      </c>
      <c r="B13" s="10" t="s">
        <v>63</v>
      </c>
      <c r="C13" s="11">
        <v>4</v>
      </c>
      <c r="D13" s="12">
        <v>1</v>
      </c>
      <c r="E13" s="12">
        <v>1</v>
      </c>
      <c r="F13" s="12">
        <v>4</v>
      </c>
      <c r="G13" s="12">
        <v>32</v>
      </c>
      <c r="H13" s="12">
        <v>42</v>
      </c>
      <c r="I13" s="21">
        <v>3969.5696152320511</v>
      </c>
      <c r="J13" s="21">
        <v>11111.086265060239</v>
      </c>
      <c r="K13" s="21">
        <v>26672.768894771674</v>
      </c>
      <c r="L13" s="21">
        <v>79542.512910194419</v>
      </c>
      <c r="M13" s="21">
        <v>27861.485158883632</v>
      </c>
      <c r="N13" s="21">
        <v>149157.42284414204</v>
      </c>
      <c r="O13" s="13">
        <f t="shared" si="1"/>
        <v>100.7665915380645</v>
      </c>
      <c r="P13" s="13">
        <f t="shared" si="2"/>
        <v>9.0000201253462091</v>
      </c>
      <c r="Q13" s="13">
        <f t="shared" si="3"/>
        <v>3.749142070495791</v>
      </c>
      <c r="R13" s="13">
        <f t="shared" si="4"/>
        <v>5.0287573948237023</v>
      </c>
      <c r="S13" s="13">
        <f t="shared" si="5"/>
        <v>114.85389173447132</v>
      </c>
      <c r="T13" s="13">
        <f t="shared" si="6"/>
        <v>28.158169536012132</v>
      </c>
    </row>
    <row r="14" spans="1:20" x14ac:dyDescent="0.3">
      <c r="A14" s="4" t="s">
        <v>67</v>
      </c>
      <c r="B14" s="10" t="s">
        <v>64</v>
      </c>
      <c r="C14" s="11">
        <v>2</v>
      </c>
      <c r="D14" s="12">
        <v>0</v>
      </c>
      <c r="E14" s="12">
        <v>0</v>
      </c>
      <c r="F14" s="12">
        <v>4</v>
      </c>
      <c r="G14" s="12">
        <v>30</v>
      </c>
      <c r="H14" s="12">
        <v>36</v>
      </c>
      <c r="I14" s="21">
        <v>3969.5696152320511</v>
      </c>
      <c r="J14" s="21">
        <v>11111.086265060239</v>
      </c>
      <c r="K14" s="21">
        <v>26672.768894771674</v>
      </c>
      <c r="L14" s="21">
        <v>79542.512910194419</v>
      </c>
      <c r="M14" s="21">
        <v>27861.485158883632</v>
      </c>
      <c r="N14" s="21">
        <v>149157.42284414204</v>
      </c>
      <c r="O14" s="13">
        <f t="shared" si="1"/>
        <v>50.383295769032252</v>
      </c>
      <c r="P14" s="13">
        <f t="shared" si="2"/>
        <v>0</v>
      </c>
      <c r="Q14" s="13">
        <f t="shared" si="3"/>
        <v>0</v>
      </c>
      <c r="R14" s="13">
        <f t="shared" si="4"/>
        <v>5.0287573948237023</v>
      </c>
      <c r="S14" s="13">
        <f t="shared" si="5"/>
        <v>107.67552350106686</v>
      </c>
      <c r="T14" s="13">
        <f t="shared" si="6"/>
        <v>24.135573888010395</v>
      </c>
    </row>
    <row r="15" spans="1:20" x14ac:dyDescent="0.3">
      <c r="A15" s="4" t="s">
        <v>67</v>
      </c>
      <c r="B15" s="10" t="s">
        <v>82</v>
      </c>
      <c r="C15" s="11">
        <v>2</v>
      </c>
      <c r="D15" s="12">
        <v>1</v>
      </c>
      <c r="E15" s="12">
        <v>0</v>
      </c>
      <c r="F15" s="12">
        <v>3</v>
      </c>
      <c r="G15" s="12">
        <v>32</v>
      </c>
      <c r="H15" s="12">
        <v>38</v>
      </c>
      <c r="I15" s="21">
        <v>3909.0606554235337</v>
      </c>
      <c r="J15" s="21">
        <v>12043.38405036726</v>
      </c>
      <c r="K15" s="21">
        <v>24276.263822805577</v>
      </c>
      <c r="L15" s="21">
        <v>82176.096858638746</v>
      </c>
      <c r="M15" s="21">
        <v>28232.94150309973</v>
      </c>
      <c r="N15" s="21">
        <v>150637.74689033485</v>
      </c>
      <c r="O15" s="13">
        <f t="shared" si="1"/>
        <v>51.163186665449849</v>
      </c>
      <c r="P15" s="13">
        <f t="shared" si="2"/>
        <v>8.3033140504184555</v>
      </c>
      <c r="Q15" s="13">
        <f t="shared" si="3"/>
        <v>0</v>
      </c>
      <c r="R15" s="13">
        <f t="shared" si="4"/>
        <v>3.6506966316016087</v>
      </c>
      <c r="S15" s="13">
        <f t="shared" si="5"/>
        <v>113.3427772536088</v>
      </c>
      <c r="T15" s="13">
        <f t="shared" si="6"/>
        <v>25.226080968712456</v>
      </c>
    </row>
    <row r="16" spans="1:20" x14ac:dyDescent="0.3">
      <c r="A16" s="4" t="s">
        <v>67</v>
      </c>
      <c r="B16" s="10" t="s">
        <v>83</v>
      </c>
      <c r="C16" s="11">
        <v>0</v>
      </c>
      <c r="D16" s="12">
        <v>1</v>
      </c>
      <c r="E16" s="12">
        <v>0</v>
      </c>
      <c r="F16" s="12">
        <v>5</v>
      </c>
      <c r="G16" s="12">
        <v>31</v>
      </c>
      <c r="H16" s="12">
        <v>37</v>
      </c>
      <c r="I16" s="21">
        <v>3909.0606554235337</v>
      </c>
      <c r="J16" s="21">
        <v>12043.38405036726</v>
      </c>
      <c r="K16" s="21">
        <v>24276.263822805577</v>
      </c>
      <c r="L16" s="21">
        <v>82176.096858638746</v>
      </c>
      <c r="M16" s="21">
        <v>28232.94150309973</v>
      </c>
      <c r="N16" s="21">
        <v>150637.74689033485</v>
      </c>
      <c r="O16" s="13">
        <f t="shared" si="1"/>
        <v>0</v>
      </c>
      <c r="P16" s="13">
        <f t="shared" si="2"/>
        <v>8.3033140504184555</v>
      </c>
      <c r="Q16" s="13">
        <f t="shared" si="3"/>
        <v>0</v>
      </c>
      <c r="R16" s="13">
        <f t="shared" si="4"/>
        <v>6.0844943860026808</v>
      </c>
      <c r="S16" s="13">
        <f t="shared" si="5"/>
        <v>109.80081546443353</v>
      </c>
      <c r="T16" s="13">
        <f t="shared" si="6"/>
        <v>24.562236732693709</v>
      </c>
    </row>
    <row r="17" spans="1:20" x14ac:dyDescent="0.3">
      <c r="A17" s="4" t="s">
        <v>67</v>
      </c>
      <c r="B17" s="10" t="s">
        <v>84</v>
      </c>
      <c r="C17" s="11">
        <v>1</v>
      </c>
      <c r="D17" s="12">
        <v>1</v>
      </c>
      <c r="E17" s="12">
        <v>0</v>
      </c>
      <c r="F17" s="12">
        <v>8</v>
      </c>
      <c r="G17" s="12">
        <v>27</v>
      </c>
      <c r="H17" s="12">
        <v>37</v>
      </c>
      <c r="I17" s="21">
        <v>3909.0606554235337</v>
      </c>
      <c r="J17" s="21">
        <v>12043.38405036726</v>
      </c>
      <c r="K17" s="21">
        <v>24276.263822805577</v>
      </c>
      <c r="L17" s="21">
        <v>82176.096858638746</v>
      </c>
      <c r="M17" s="21">
        <v>28232.94150309973</v>
      </c>
      <c r="N17" s="21">
        <v>150637.74689033485</v>
      </c>
      <c r="O17" s="13">
        <f t="shared" si="1"/>
        <v>25.581593332724925</v>
      </c>
      <c r="P17" s="13">
        <f t="shared" si="2"/>
        <v>8.3033140504184555</v>
      </c>
      <c r="Q17" s="13">
        <f t="shared" si="3"/>
        <v>0</v>
      </c>
      <c r="R17" s="13">
        <f t="shared" si="4"/>
        <v>9.73519101760429</v>
      </c>
      <c r="S17" s="13">
        <f t="shared" si="5"/>
        <v>95.632968307732426</v>
      </c>
      <c r="T17" s="13">
        <f t="shared" si="6"/>
        <v>24.562236732693709</v>
      </c>
    </row>
    <row r="18" spans="1:20" x14ac:dyDescent="0.3">
      <c r="A18" s="4" t="s">
        <v>67</v>
      </c>
      <c r="B18" s="10" t="s">
        <v>85</v>
      </c>
      <c r="C18" s="11">
        <v>1</v>
      </c>
      <c r="D18" s="12">
        <v>0</v>
      </c>
      <c r="E18" s="12">
        <v>1</v>
      </c>
      <c r="F18" s="12">
        <v>13</v>
      </c>
      <c r="G18" s="12">
        <v>26</v>
      </c>
      <c r="H18" s="12">
        <v>41</v>
      </c>
      <c r="I18" s="21">
        <v>3909.0606554235337</v>
      </c>
      <c r="J18" s="21">
        <v>12043.38405036726</v>
      </c>
      <c r="K18" s="21">
        <v>24276.263822805577</v>
      </c>
      <c r="L18" s="21">
        <v>82176.096858638746</v>
      </c>
      <c r="M18" s="21">
        <v>28232.94150309973</v>
      </c>
      <c r="N18" s="21">
        <v>150637.74689033485</v>
      </c>
      <c r="O18" s="13">
        <f t="shared" si="1"/>
        <v>25.581593332724925</v>
      </c>
      <c r="P18" s="13">
        <f t="shared" si="2"/>
        <v>0</v>
      </c>
      <c r="Q18" s="13">
        <f t="shared" si="3"/>
        <v>4.1192500102119558</v>
      </c>
      <c r="R18" s="13">
        <f t="shared" si="4"/>
        <v>15.819685403606972</v>
      </c>
      <c r="S18" s="13">
        <f t="shared" si="5"/>
        <v>92.091006518557151</v>
      </c>
      <c r="T18" s="13">
        <f t="shared" si="6"/>
        <v>27.217613676768703</v>
      </c>
    </row>
    <row r="19" spans="1:20" x14ac:dyDescent="0.3">
      <c r="A19" s="4" t="s">
        <v>67</v>
      </c>
      <c r="B19" s="10" t="s">
        <v>86</v>
      </c>
      <c r="C19" s="11">
        <v>0</v>
      </c>
      <c r="D19" s="12">
        <v>0</v>
      </c>
      <c r="E19" s="12">
        <v>0</v>
      </c>
      <c r="F19" s="12">
        <v>7</v>
      </c>
      <c r="G19" s="12">
        <v>46</v>
      </c>
      <c r="H19" s="12">
        <v>53</v>
      </c>
      <c r="I19" s="21">
        <v>3909.0606554235337</v>
      </c>
      <c r="J19" s="21">
        <v>12043.38405036726</v>
      </c>
      <c r="K19" s="21">
        <v>24276.263822805577</v>
      </c>
      <c r="L19" s="21">
        <v>82176.096858638746</v>
      </c>
      <c r="M19" s="21">
        <v>28232.94150309973</v>
      </c>
      <c r="N19" s="21">
        <v>150637.74689033485</v>
      </c>
      <c r="O19" s="13">
        <f t="shared" si="1"/>
        <v>0</v>
      </c>
      <c r="P19" s="13">
        <f t="shared" si="2"/>
        <v>0</v>
      </c>
      <c r="Q19" s="13">
        <f t="shared" si="3"/>
        <v>0</v>
      </c>
      <c r="R19" s="13">
        <f t="shared" si="4"/>
        <v>8.5182921404037533</v>
      </c>
      <c r="S19" s="13">
        <f t="shared" si="5"/>
        <v>162.93024230206265</v>
      </c>
      <c r="T19" s="13">
        <f t="shared" si="6"/>
        <v>35.183744508993691</v>
      </c>
    </row>
    <row r="20" spans="1:20" x14ac:dyDescent="0.3">
      <c r="A20" s="4" t="s">
        <v>67</v>
      </c>
      <c r="B20" s="10" t="s">
        <v>87</v>
      </c>
      <c r="C20" s="11">
        <v>0</v>
      </c>
      <c r="D20" s="12">
        <v>1</v>
      </c>
      <c r="E20" s="12">
        <v>1</v>
      </c>
      <c r="F20" s="12">
        <v>7</v>
      </c>
      <c r="G20" s="12">
        <v>26</v>
      </c>
      <c r="H20" s="12">
        <v>35</v>
      </c>
      <c r="I20" s="21">
        <v>3909.0606554235337</v>
      </c>
      <c r="J20" s="21">
        <v>12043.38405036726</v>
      </c>
      <c r="K20" s="21">
        <v>24276.263822805577</v>
      </c>
      <c r="L20" s="21">
        <v>82176.096858638746</v>
      </c>
      <c r="M20" s="21">
        <v>28232.94150309973</v>
      </c>
      <c r="N20" s="21">
        <v>150637.74689033485</v>
      </c>
      <c r="O20" s="13">
        <f t="shared" si="1"/>
        <v>0</v>
      </c>
      <c r="P20" s="13">
        <f t="shared" si="2"/>
        <v>8.3033140504184555</v>
      </c>
      <c r="Q20" s="13">
        <f t="shared" si="3"/>
        <v>4.1192500102119558</v>
      </c>
      <c r="R20" s="13">
        <f t="shared" si="4"/>
        <v>8.5182921404037533</v>
      </c>
      <c r="S20" s="13">
        <f t="shared" si="5"/>
        <v>92.091006518557151</v>
      </c>
      <c r="T20" s="13">
        <f t="shared" si="6"/>
        <v>23.234548260656208</v>
      </c>
    </row>
    <row r="21" spans="1:20" x14ac:dyDescent="0.3">
      <c r="A21" s="4" t="s">
        <v>67</v>
      </c>
      <c r="B21" s="10" t="s">
        <v>88</v>
      </c>
      <c r="C21" s="11">
        <v>2</v>
      </c>
      <c r="D21" s="12">
        <v>1</v>
      </c>
      <c r="E21" s="12">
        <v>0</v>
      </c>
      <c r="F21" s="12">
        <v>8</v>
      </c>
      <c r="G21" s="12">
        <v>23</v>
      </c>
      <c r="H21" s="12">
        <v>34</v>
      </c>
      <c r="I21" s="21">
        <v>3909.0606554235337</v>
      </c>
      <c r="J21" s="21">
        <v>12043.38405036726</v>
      </c>
      <c r="K21" s="21">
        <v>24276.263822805577</v>
      </c>
      <c r="L21" s="21">
        <v>82176.096858638746</v>
      </c>
      <c r="M21" s="21">
        <v>28232.94150309973</v>
      </c>
      <c r="N21" s="21">
        <v>150637.74689033485</v>
      </c>
      <c r="O21" s="13">
        <f t="shared" si="1"/>
        <v>51.163186665449849</v>
      </c>
      <c r="P21" s="13">
        <f t="shared" si="2"/>
        <v>8.3033140504184555</v>
      </c>
      <c r="Q21" s="13">
        <f t="shared" si="3"/>
        <v>0</v>
      </c>
      <c r="R21" s="13">
        <f t="shared" si="4"/>
        <v>9.73519101760429</v>
      </c>
      <c r="S21" s="13">
        <f t="shared" si="5"/>
        <v>81.465121151031326</v>
      </c>
      <c r="T21" s="13">
        <f t="shared" si="6"/>
        <v>22.570704024637461</v>
      </c>
    </row>
    <row r="22" spans="1:20" x14ac:dyDescent="0.3">
      <c r="A22" s="4" t="s">
        <v>67</v>
      </c>
      <c r="B22" s="10" t="s">
        <v>89</v>
      </c>
      <c r="C22" s="11">
        <v>1</v>
      </c>
      <c r="D22" s="12">
        <v>1</v>
      </c>
      <c r="E22" s="12">
        <v>0</v>
      </c>
      <c r="F22" s="12">
        <v>3</v>
      </c>
      <c r="G22" s="12">
        <v>28</v>
      </c>
      <c r="H22" s="12">
        <v>33</v>
      </c>
      <c r="I22" s="21">
        <v>3909.0606554235337</v>
      </c>
      <c r="J22" s="21">
        <v>12043.38405036726</v>
      </c>
      <c r="K22" s="21">
        <v>24276.263822805577</v>
      </c>
      <c r="L22" s="21">
        <v>82176.096858638746</v>
      </c>
      <c r="M22" s="21">
        <v>28232.94150309973</v>
      </c>
      <c r="N22" s="21">
        <v>150637.74689033485</v>
      </c>
      <c r="O22" s="13">
        <f t="shared" si="1"/>
        <v>25.581593332724925</v>
      </c>
      <c r="P22" s="13">
        <f t="shared" si="2"/>
        <v>8.3033140504184555</v>
      </c>
      <c r="Q22" s="13">
        <f t="shared" si="3"/>
        <v>0</v>
      </c>
      <c r="R22" s="13">
        <f t="shared" si="4"/>
        <v>3.6506966316016087</v>
      </c>
      <c r="S22" s="13">
        <f t="shared" si="5"/>
        <v>99.174930096907701</v>
      </c>
      <c r="T22" s="13">
        <f t="shared" si="6"/>
        <v>21.906859788618711</v>
      </c>
    </row>
    <row r="23" spans="1:20" x14ac:dyDescent="0.3">
      <c r="A23" s="4" t="s">
        <v>67</v>
      </c>
      <c r="B23" s="10" t="s">
        <v>90</v>
      </c>
      <c r="C23" s="11">
        <v>0</v>
      </c>
      <c r="D23" s="12">
        <v>0</v>
      </c>
      <c r="E23" s="12">
        <v>2</v>
      </c>
      <c r="F23" s="12">
        <v>6</v>
      </c>
      <c r="G23" s="12">
        <v>23</v>
      </c>
      <c r="H23" s="12">
        <v>31</v>
      </c>
      <c r="I23" s="21">
        <v>3909.0606554235337</v>
      </c>
      <c r="J23" s="21">
        <v>12043.38405036726</v>
      </c>
      <c r="K23" s="21">
        <v>24276.263822805577</v>
      </c>
      <c r="L23" s="21">
        <v>82176.096858638746</v>
      </c>
      <c r="M23" s="21">
        <v>28232.94150309973</v>
      </c>
      <c r="N23" s="21">
        <v>150637.74689033485</v>
      </c>
      <c r="O23" s="13">
        <f t="shared" si="1"/>
        <v>0</v>
      </c>
      <c r="P23" s="13">
        <f t="shared" si="2"/>
        <v>0</v>
      </c>
      <c r="Q23" s="13">
        <f t="shared" si="3"/>
        <v>8.2385000204239116</v>
      </c>
      <c r="R23" s="13">
        <f t="shared" si="4"/>
        <v>7.3013932632032175</v>
      </c>
      <c r="S23" s="13">
        <f t="shared" si="5"/>
        <v>81.465121151031326</v>
      </c>
      <c r="T23" s="13">
        <f t="shared" si="6"/>
        <v>20.579171316581213</v>
      </c>
    </row>
    <row r="24" spans="1:20" x14ac:dyDescent="0.3">
      <c r="A24" s="4" t="s">
        <v>67</v>
      </c>
      <c r="B24" s="10" t="s">
        <v>91</v>
      </c>
      <c r="C24" s="11">
        <v>0</v>
      </c>
      <c r="D24" s="12">
        <v>0</v>
      </c>
      <c r="E24" s="12">
        <v>0</v>
      </c>
      <c r="F24" s="12">
        <v>11</v>
      </c>
      <c r="G24" s="12">
        <v>24</v>
      </c>
      <c r="H24" s="12">
        <v>35</v>
      </c>
      <c r="I24" s="21">
        <v>3909.0606554235337</v>
      </c>
      <c r="J24" s="21">
        <v>12043.38405036726</v>
      </c>
      <c r="K24" s="21">
        <v>24276.263822805577</v>
      </c>
      <c r="L24" s="21">
        <v>82176.096858638746</v>
      </c>
      <c r="M24" s="21">
        <v>28232.94150309973</v>
      </c>
      <c r="N24" s="21">
        <v>150637.74689033485</v>
      </c>
      <c r="O24" s="13">
        <f t="shared" si="1"/>
        <v>0</v>
      </c>
      <c r="P24" s="13">
        <f t="shared" si="2"/>
        <v>0</v>
      </c>
      <c r="Q24" s="13">
        <f t="shared" si="3"/>
        <v>0</v>
      </c>
      <c r="R24" s="13">
        <f t="shared" si="4"/>
        <v>13.385887649205898</v>
      </c>
      <c r="S24" s="13">
        <f t="shared" si="5"/>
        <v>85.007082940206601</v>
      </c>
      <c r="T24" s="13">
        <f t="shared" si="6"/>
        <v>23.234548260656208</v>
      </c>
    </row>
    <row r="25" spans="1:20" x14ac:dyDescent="0.3">
      <c r="A25" s="4" t="s">
        <v>67</v>
      </c>
      <c r="B25" s="10" t="s">
        <v>92</v>
      </c>
      <c r="C25" s="11">
        <v>1</v>
      </c>
      <c r="D25" s="12">
        <v>0</v>
      </c>
      <c r="E25" s="12">
        <v>1</v>
      </c>
      <c r="F25" s="12">
        <v>3</v>
      </c>
      <c r="G25" s="12">
        <v>21</v>
      </c>
      <c r="H25" s="12">
        <v>26</v>
      </c>
      <c r="I25" s="21">
        <v>3909.0606554235337</v>
      </c>
      <c r="J25" s="21">
        <v>12043.38405036726</v>
      </c>
      <c r="K25" s="21">
        <v>24276.263822805577</v>
      </c>
      <c r="L25" s="21">
        <v>82176.096858638746</v>
      </c>
      <c r="M25" s="21">
        <v>28232.94150309973</v>
      </c>
      <c r="N25" s="21">
        <v>150637.74689033485</v>
      </c>
      <c r="O25" s="13">
        <f t="shared" si="1"/>
        <v>25.581593332724925</v>
      </c>
      <c r="P25" s="13">
        <f t="shared" si="2"/>
        <v>0</v>
      </c>
      <c r="Q25" s="13">
        <f t="shared" si="3"/>
        <v>4.1192500102119558</v>
      </c>
      <c r="R25" s="13">
        <f t="shared" si="4"/>
        <v>3.6506966316016087</v>
      </c>
      <c r="S25" s="13">
        <f t="shared" si="5"/>
        <v>74.381197572680776</v>
      </c>
      <c r="T25" s="13">
        <f t="shared" si="6"/>
        <v>17.259950136487468</v>
      </c>
    </row>
    <row r="26" spans="1:20" x14ac:dyDescent="0.3">
      <c r="A26" s="4" t="s">
        <v>67</v>
      </c>
      <c r="B26" s="10" t="s">
        <v>93</v>
      </c>
      <c r="C26" s="11">
        <v>1</v>
      </c>
      <c r="D26" s="12">
        <v>0</v>
      </c>
      <c r="E26" s="12">
        <v>0</v>
      </c>
      <c r="F26" s="12">
        <v>7</v>
      </c>
      <c r="G26" s="12">
        <v>22</v>
      </c>
      <c r="H26" s="12">
        <v>30</v>
      </c>
      <c r="I26" s="21">
        <v>3909.0606554235337</v>
      </c>
      <c r="J26" s="21">
        <v>12043.38405036726</v>
      </c>
      <c r="K26" s="21">
        <v>24276.263822805577</v>
      </c>
      <c r="L26" s="21">
        <v>82176.096858638746</v>
      </c>
      <c r="M26" s="21">
        <v>28232.94150309973</v>
      </c>
      <c r="N26" s="21">
        <v>150637.74689033485</v>
      </c>
      <c r="O26" s="13">
        <f t="shared" si="1"/>
        <v>25.581593332724925</v>
      </c>
      <c r="P26" s="13">
        <f t="shared" si="2"/>
        <v>0</v>
      </c>
      <c r="Q26" s="13">
        <f t="shared" si="3"/>
        <v>0</v>
      </c>
      <c r="R26" s="13">
        <f t="shared" si="4"/>
        <v>8.5182921404037533</v>
      </c>
      <c r="S26" s="13">
        <f t="shared" si="5"/>
        <v>77.923159361856051</v>
      </c>
      <c r="T26" s="13">
        <f t="shared" si="6"/>
        <v>19.915327080562466</v>
      </c>
    </row>
    <row r="27" spans="1:20" x14ac:dyDescent="0.3">
      <c r="A27" s="4" t="s">
        <v>67</v>
      </c>
      <c r="B27" s="10" t="s">
        <v>94</v>
      </c>
      <c r="C27" s="11">
        <v>0</v>
      </c>
      <c r="D27" s="12">
        <v>0</v>
      </c>
      <c r="E27" s="12">
        <v>0</v>
      </c>
      <c r="F27" s="12">
        <v>5</v>
      </c>
      <c r="G27" s="12">
        <v>19</v>
      </c>
      <c r="H27" s="12">
        <v>24</v>
      </c>
      <c r="I27" s="21">
        <v>3909.0606554235337</v>
      </c>
      <c r="J27" s="21">
        <v>12043.38405036726</v>
      </c>
      <c r="K27" s="21">
        <v>24276.263822805577</v>
      </c>
      <c r="L27" s="21">
        <v>82176.096858638746</v>
      </c>
      <c r="M27" s="21">
        <v>28232.94150309973</v>
      </c>
      <c r="N27" s="21">
        <v>150637.74689033485</v>
      </c>
      <c r="O27" s="13">
        <f t="shared" si="1"/>
        <v>0</v>
      </c>
      <c r="P27" s="13">
        <f t="shared" si="2"/>
        <v>0</v>
      </c>
      <c r="Q27" s="13">
        <f t="shared" si="3"/>
        <v>0</v>
      </c>
      <c r="R27" s="13">
        <f t="shared" si="4"/>
        <v>6.0844943860026808</v>
      </c>
      <c r="S27" s="13">
        <f t="shared" si="5"/>
        <v>67.297273994330226</v>
      </c>
      <c r="T27" s="13">
        <f t="shared" si="6"/>
        <v>15.932261664449973</v>
      </c>
    </row>
    <row r="28" spans="1:20" x14ac:dyDescent="0.3">
      <c r="A28" s="4" t="s">
        <v>67</v>
      </c>
      <c r="B28" s="10" t="s">
        <v>95</v>
      </c>
      <c r="C28" s="11">
        <v>1</v>
      </c>
      <c r="D28" s="12">
        <v>1</v>
      </c>
      <c r="E28" s="12">
        <v>0</v>
      </c>
      <c r="F28" s="12">
        <v>3</v>
      </c>
      <c r="G28" s="12">
        <v>18</v>
      </c>
      <c r="H28" s="12">
        <v>23</v>
      </c>
      <c r="I28" s="21">
        <v>3909.0606554235337</v>
      </c>
      <c r="J28" s="21">
        <v>12043.38405036726</v>
      </c>
      <c r="K28" s="21">
        <v>24276.263822805577</v>
      </c>
      <c r="L28" s="21">
        <v>82176.096858638746</v>
      </c>
      <c r="M28" s="21">
        <v>28232.94150309973</v>
      </c>
      <c r="N28" s="21">
        <v>150637.74689033485</v>
      </c>
      <c r="O28" s="13">
        <f t="shared" si="1"/>
        <v>25.581593332724925</v>
      </c>
      <c r="P28" s="13">
        <f t="shared" si="2"/>
        <v>8.3033140504184555</v>
      </c>
      <c r="Q28" s="13">
        <f t="shared" si="3"/>
        <v>0</v>
      </c>
      <c r="R28" s="13">
        <f t="shared" si="4"/>
        <v>3.6506966316016087</v>
      </c>
      <c r="S28" s="13">
        <f t="shared" si="5"/>
        <v>63.755312205154958</v>
      </c>
      <c r="T28" s="13">
        <f t="shared" si="6"/>
        <v>15.268417428431222</v>
      </c>
    </row>
    <row r="29" spans="1:20" x14ac:dyDescent="0.3">
      <c r="A29" s="4" t="s">
        <v>67</v>
      </c>
      <c r="B29" s="10" t="s">
        <v>96</v>
      </c>
      <c r="C29" s="11">
        <v>0</v>
      </c>
      <c r="D29" s="12">
        <v>0</v>
      </c>
      <c r="E29" s="12">
        <v>0</v>
      </c>
      <c r="F29" s="12">
        <v>2</v>
      </c>
      <c r="G29" s="12">
        <v>11</v>
      </c>
      <c r="H29" s="12">
        <v>13</v>
      </c>
      <c r="I29" s="21">
        <v>3909.0606554235337</v>
      </c>
      <c r="J29" s="21">
        <v>12043.38405036726</v>
      </c>
      <c r="K29" s="21">
        <v>24276.263822805577</v>
      </c>
      <c r="L29" s="21">
        <v>82176.096858638746</v>
      </c>
      <c r="M29" s="21">
        <v>28232.94150309973</v>
      </c>
      <c r="N29" s="21">
        <v>150637.74689033485</v>
      </c>
      <c r="O29" s="13">
        <f t="shared" si="1"/>
        <v>0</v>
      </c>
      <c r="P29" s="13">
        <f t="shared" si="2"/>
        <v>0</v>
      </c>
      <c r="Q29" s="13">
        <f t="shared" si="3"/>
        <v>0</v>
      </c>
      <c r="R29" s="13">
        <f t="shared" si="4"/>
        <v>2.4337977544010725</v>
      </c>
      <c r="S29" s="13">
        <f t="shared" si="5"/>
        <v>38.961579680928025</v>
      </c>
      <c r="T29" s="13">
        <f t="shared" si="6"/>
        <v>8.6299750682437342</v>
      </c>
    </row>
    <row r="30" spans="1:20" x14ac:dyDescent="0.3">
      <c r="A30" s="4" t="s">
        <v>67</v>
      </c>
      <c r="B30" s="10" t="s">
        <v>97</v>
      </c>
      <c r="C30" s="11">
        <v>2</v>
      </c>
      <c r="D30" s="12">
        <v>0</v>
      </c>
      <c r="E30" s="12">
        <v>1</v>
      </c>
      <c r="F30" s="12">
        <v>8</v>
      </c>
      <c r="G30" s="12">
        <v>17</v>
      </c>
      <c r="H30" s="12">
        <v>28</v>
      </c>
      <c r="I30" s="21">
        <v>3909.0606554235337</v>
      </c>
      <c r="J30" s="21">
        <v>12043.38405036726</v>
      </c>
      <c r="K30" s="21">
        <v>24276.263822805577</v>
      </c>
      <c r="L30" s="21">
        <v>82176.096858638746</v>
      </c>
      <c r="M30" s="21">
        <v>28232.94150309973</v>
      </c>
      <c r="N30" s="21">
        <v>150637.74689033485</v>
      </c>
      <c r="O30" s="13">
        <f t="shared" si="1"/>
        <v>51.163186665449849</v>
      </c>
      <c r="P30" s="13">
        <f t="shared" si="2"/>
        <v>0</v>
      </c>
      <c r="Q30" s="13">
        <f t="shared" si="3"/>
        <v>4.1192500102119558</v>
      </c>
      <c r="R30" s="13">
        <f t="shared" si="4"/>
        <v>9.73519101760429</v>
      </c>
      <c r="S30" s="13">
        <f t="shared" si="5"/>
        <v>60.213350415979676</v>
      </c>
      <c r="T30" s="13">
        <f t="shared" si="6"/>
        <v>18.587638608524969</v>
      </c>
    </row>
    <row r="31" spans="1:20" x14ac:dyDescent="0.3">
      <c r="A31" s="4" t="s">
        <v>67</v>
      </c>
      <c r="B31" s="10" t="s">
        <v>98</v>
      </c>
      <c r="C31" s="11">
        <v>1</v>
      </c>
      <c r="D31" s="12">
        <v>0</v>
      </c>
      <c r="E31" s="12">
        <v>0</v>
      </c>
      <c r="F31" s="12">
        <v>5</v>
      </c>
      <c r="G31" s="12">
        <v>17</v>
      </c>
      <c r="H31" s="12">
        <v>23</v>
      </c>
      <c r="I31" s="21">
        <v>3909.0606554235337</v>
      </c>
      <c r="J31" s="21">
        <v>12043.38405036726</v>
      </c>
      <c r="K31" s="21">
        <v>24276.263822805577</v>
      </c>
      <c r="L31" s="21">
        <v>82176.096858638746</v>
      </c>
      <c r="M31" s="21">
        <v>28232.94150309973</v>
      </c>
      <c r="N31" s="21">
        <v>150637.74689033485</v>
      </c>
      <c r="O31" s="13">
        <f t="shared" si="1"/>
        <v>25.581593332724925</v>
      </c>
      <c r="P31" s="13">
        <f t="shared" si="2"/>
        <v>0</v>
      </c>
      <c r="Q31" s="13">
        <f t="shared" si="3"/>
        <v>0</v>
      </c>
      <c r="R31" s="13">
        <f t="shared" si="4"/>
        <v>6.0844943860026808</v>
      </c>
      <c r="S31" s="13">
        <f t="shared" si="5"/>
        <v>60.213350415979676</v>
      </c>
      <c r="T31" s="13">
        <f t="shared" si="6"/>
        <v>15.268417428431222</v>
      </c>
    </row>
    <row r="32" spans="1:20" x14ac:dyDescent="0.3">
      <c r="A32" s="4" t="s">
        <v>67</v>
      </c>
      <c r="B32" s="10" t="s">
        <v>99</v>
      </c>
      <c r="C32" s="11">
        <v>0</v>
      </c>
      <c r="D32" s="12">
        <v>0</v>
      </c>
      <c r="E32" s="12">
        <v>0</v>
      </c>
      <c r="F32" s="12">
        <v>2</v>
      </c>
      <c r="G32" s="12">
        <v>21</v>
      </c>
      <c r="H32" s="12">
        <v>23</v>
      </c>
      <c r="I32" s="21">
        <v>3909.0606554235337</v>
      </c>
      <c r="J32" s="21">
        <v>12043.38405036726</v>
      </c>
      <c r="K32" s="21">
        <v>24276.263822805577</v>
      </c>
      <c r="L32" s="21">
        <v>82176.096858638746</v>
      </c>
      <c r="M32" s="21">
        <v>28232.94150309973</v>
      </c>
      <c r="N32" s="21">
        <v>150637.74689033485</v>
      </c>
      <c r="O32" s="13">
        <f t="shared" si="1"/>
        <v>0</v>
      </c>
      <c r="P32" s="13">
        <f t="shared" si="2"/>
        <v>0</v>
      </c>
      <c r="Q32" s="13">
        <f t="shared" si="3"/>
        <v>0</v>
      </c>
      <c r="R32" s="13">
        <f t="shared" si="4"/>
        <v>2.4337977544010725</v>
      </c>
      <c r="S32" s="13">
        <f t="shared" si="5"/>
        <v>74.381197572680776</v>
      </c>
      <c r="T32" s="13">
        <f t="shared" si="6"/>
        <v>15.268417428431222</v>
      </c>
    </row>
    <row r="33" spans="1:20" x14ac:dyDescent="0.3">
      <c r="A33" s="4" t="s">
        <v>67</v>
      </c>
      <c r="B33" s="10" t="s">
        <v>100</v>
      </c>
      <c r="C33" s="11">
        <v>2</v>
      </c>
      <c r="D33" s="12">
        <v>1</v>
      </c>
      <c r="E33" s="12">
        <v>0</v>
      </c>
      <c r="F33" s="12">
        <v>3</v>
      </c>
      <c r="G33" s="12">
        <v>13</v>
      </c>
      <c r="H33" s="12">
        <v>19</v>
      </c>
      <c r="I33" s="21">
        <v>3909.0606554235337</v>
      </c>
      <c r="J33" s="21">
        <v>12043.38405036726</v>
      </c>
      <c r="K33" s="21">
        <v>24276.263822805577</v>
      </c>
      <c r="L33" s="21">
        <v>82176.096858638746</v>
      </c>
      <c r="M33" s="21">
        <v>28232.94150309973</v>
      </c>
      <c r="N33" s="21">
        <v>150637.74689033485</v>
      </c>
      <c r="O33" s="13">
        <f t="shared" si="1"/>
        <v>51.163186665449849</v>
      </c>
      <c r="P33" s="13">
        <f t="shared" si="2"/>
        <v>8.3033140504184555</v>
      </c>
      <c r="Q33" s="13">
        <f t="shared" si="3"/>
        <v>0</v>
      </c>
      <c r="R33" s="13">
        <f t="shared" si="4"/>
        <v>3.6506966316016087</v>
      </c>
      <c r="S33" s="13">
        <f t="shared" si="5"/>
        <v>46.045503259278576</v>
      </c>
      <c r="T33" s="13">
        <f t="shared" si="6"/>
        <v>12.613040484356228</v>
      </c>
    </row>
    <row r="34" spans="1:20" x14ac:dyDescent="0.3">
      <c r="A34" s="4" t="s">
        <v>67</v>
      </c>
      <c r="B34" s="10" t="s">
        <v>101</v>
      </c>
      <c r="C34" s="11">
        <v>2</v>
      </c>
      <c r="D34" s="12">
        <v>0</v>
      </c>
      <c r="E34" s="12">
        <v>0</v>
      </c>
      <c r="F34" s="12">
        <v>4</v>
      </c>
      <c r="G34" s="12">
        <v>20</v>
      </c>
      <c r="H34" s="12">
        <v>26</v>
      </c>
      <c r="I34" s="21">
        <v>3909.0606554235337</v>
      </c>
      <c r="J34" s="21">
        <v>12043.38405036726</v>
      </c>
      <c r="K34" s="21">
        <v>24276.263822805577</v>
      </c>
      <c r="L34" s="21">
        <v>82176.096858638746</v>
      </c>
      <c r="M34" s="21">
        <v>28232.94150309973</v>
      </c>
      <c r="N34" s="21">
        <v>150637.74689033485</v>
      </c>
      <c r="O34" s="13">
        <f t="shared" si="1"/>
        <v>51.163186665449849</v>
      </c>
      <c r="P34" s="13">
        <f t="shared" si="2"/>
        <v>0</v>
      </c>
      <c r="Q34" s="13">
        <f t="shared" si="3"/>
        <v>0</v>
      </c>
      <c r="R34" s="13">
        <f t="shared" si="4"/>
        <v>4.867595508802145</v>
      </c>
      <c r="S34" s="13">
        <f t="shared" si="5"/>
        <v>70.839235783505501</v>
      </c>
      <c r="T34" s="13">
        <f t="shared" si="6"/>
        <v>17.259950136487468</v>
      </c>
    </row>
    <row r="35" spans="1:20" x14ac:dyDescent="0.3">
      <c r="A35" s="4" t="s">
        <v>67</v>
      </c>
      <c r="B35" s="10" t="s">
        <v>102</v>
      </c>
      <c r="C35" s="11">
        <v>0</v>
      </c>
      <c r="D35" s="12">
        <v>0</v>
      </c>
      <c r="E35" s="12">
        <v>0</v>
      </c>
      <c r="F35" s="12">
        <v>2</v>
      </c>
      <c r="G35" s="12">
        <v>18</v>
      </c>
      <c r="H35" s="12">
        <v>20</v>
      </c>
      <c r="I35" s="21">
        <v>3909.0606554235337</v>
      </c>
      <c r="J35" s="21">
        <v>12043.38405036726</v>
      </c>
      <c r="K35" s="21">
        <v>24276.263822805577</v>
      </c>
      <c r="L35" s="21">
        <v>82176.096858638746</v>
      </c>
      <c r="M35" s="21">
        <v>28232.94150309973</v>
      </c>
      <c r="N35" s="21">
        <v>150637.74689033485</v>
      </c>
      <c r="O35" s="13">
        <f t="shared" si="1"/>
        <v>0</v>
      </c>
      <c r="P35" s="13">
        <f t="shared" si="2"/>
        <v>0</v>
      </c>
      <c r="Q35" s="13">
        <f t="shared" si="3"/>
        <v>0</v>
      </c>
      <c r="R35" s="13">
        <f t="shared" si="4"/>
        <v>2.4337977544010725</v>
      </c>
      <c r="S35" s="13">
        <f t="shared" si="5"/>
        <v>63.755312205154958</v>
      </c>
      <c r="T35" s="13">
        <f t="shared" si="6"/>
        <v>13.276884720374976</v>
      </c>
    </row>
    <row r="36" spans="1:20" x14ac:dyDescent="0.3">
      <c r="A36" s="4" t="s">
        <v>67</v>
      </c>
      <c r="B36" s="10" t="s">
        <v>103</v>
      </c>
      <c r="C36" s="11">
        <v>0</v>
      </c>
      <c r="D36" s="12">
        <v>0</v>
      </c>
      <c r="E36" s="12">
        <v>1</v>
      </c>
      <c r="F36" s="12">
        <v>3</v>
      </c>
      <c r="G36" s="12">
        <v>13</v>
      </c>
      <c r="H36" s="12">
        <v>17</v>
      </c>
      <c r="I36" s="21">
        <v>3909.0606554235337</v>
      </c>
      <c r="J36" s="21">
        <v>12043.38405036726</v>
      </c>
      <c r="K36" s="21">
        <v>24276.263822805577</v>
      </c>
      <c r="L36" s="21">
        <v>82176.096858638746</v>
      </c>
      <c r="M36" s="21">
        <v>28232.94150309973</v>
      </c>
      <c r="N36" s="21">
        <v>150637.74689033485</v>
      </c>
      <c r="O36" s="13">
        <f t="shared" si="1"/>
        <v>0</v>
      </c>
      <c r="P36" s="13">
        <f t="shared" si="2"/>
        <v>0</v>
      </c>
      <c r="Q36" s="13">
        <f t="shared" si="3"/>
        <v>4.1192500102119558</v>
      </c>
      <c r="R36" s="13">
        <f t="shared" si="4"/>
        <v>3.6506966316016087</v>
      </c>
      <c r="S36" s="13">
        <f t="shared" si="5"/>
        <v>46.045503259278576</v>
      </c>
      <c r="T36" s="13">
        <f t="shared" si="6"/>
        <v>11.285352012318731</v>
      </c>
    </row>
    <row r="37" spans="1:20" x14ac:dyDescent="0.3">
      <c r="A37" s="4" t="s">
        <v>67</v>
      </c>
      <c r="B37" s="10" t="s">
        <v>104</v>
      </c>
      <c r="C37" s="11">
        <v>2</v>
      </c>
      <c r="D37" s="12">
        <v>0</v>
      </c>
      <c r="E37" s="12">
        <v>0</v>
      </c>
      <c r="F37" s="12">
        <v>6</v>
      </c>
      <c r="G37" s="12">
        <v>21</v>
      </c>
      <c r="H37" s="12">
        <v>29</v>
      </c>
      <c r="I37" s="21">
        <v>3909.0606554235337</v>
      </c>
      <c r="J37" s="21">
        <v>12043.38405036726</v>
      </c>
      <c r="K37" s="21">
        <v>24276.263822805577</v>
      </c>
      <c r="L37" s="21">
        <v>82176.096858638746</v>
      </c>
      <c r="M37" s="21">
        <v>28232.94150309973</v>
      </c>
      <c r="N37" s="21">
        <v>150637.74689033485</v>
      </c>
      <c r="O37" s="13">
        <f t="shared" si="1"/>
        <v>51.163186665449849</v>
      </c>
      <c r="P37" s="13">
        <f t="shared" si="2"/>
        <v>0</v>
      </c>
      <c r="Q37" s="13">
        <f t="shared" si="3"/>
        <v>0</v>
      </c>
      <c r="R37" s="13">
        <f t="shared" si="4"/>
        <v>7.3013932632032175</v>
      </c>
      <c r="S37" s="13">
        <f t="shared" si="5"/>
        <v>74.381197572680776</v>
      </c>
      <c r="T37" s="13">
        <f t="shared" si="6"/>
        <v>19.251482844543716</v>
      </c>
    </row>
    <row r="38" spans="1:20" x14ac:dyDescent="0.3">
      <c r="A38" s="4" t="s">
        <v>67</v>
      </c>
      <c r="B38" s="10" t="s">
        <v>105</v>
      </c>
      <c r="C38" s="11">
        <v>0</v>
      </c>
      <c r="D38" s="12">
        <v>0</v>
      </c>
      <c r="E38" s="12">
        <v>1</v>
      </c>
      <c r="F38" s="12">
        <v>5</v>
      </c>
      <c r="G38" s="12">
        <v>13</v>
      </c>
      <c r="H38" s="12">
        <v>19</v>
      </c>
      <c r="I38" s="21">
        <v>3909.0606554235337</v>
      </c>
      <c r="J38" s="21">
        <v>12043.38405036726</v>
      </c>
      <c r="K38" s="21">
        <v>24276.263822805577</v>
      </c>
      <c r="L38" s="21">
        <v>82176.096858638746</v>
      </c>
      <c r="M38" s="21">
        <v>28232.94150309973</v>
      </c>
      <c r="N38" s="21">
        <v>150637.74689033485</v>
      </c>
      <c r="O38" s="13">
        <f t="shared" si="1"/>
        <v>0</v>
      </c>
      <c r="P38" s="13">
        <f t="shared" si="2"/>
        <v>0</v>
      </c>
      <c r="Q38" s="13">
        <f t="shared" si="3"/>
        <v>4.1192500102119558</v>
      </c>
      <c r="R38" s="13">
        <f t="shared" si="4"/>
        <v>6.0844943860026808</v>
      </c>
      <c r="S38" s="13">
        <f t="shared" si="5"/>
        <v>46.045503259278576</v>
      </c>
      <c r="T38" s="13">
        <f t="shared" si="6"/>
        <v>12.613040484356228</v>
      </c>
    </row>
    <row r="39" spans="1:20" x14ac:dyDescent="0.3">
      <c r="A39" s="4" t="s">
        <v>67</v>
      </c>
      <c r="B39" s="10" t="s">
        <v>106</v>
      </c>
      <c r="C39" s="11">
        <v>0</v>
      </c>
      <c r="D39" s="12">
        <v>0</v>
      </c>
      <c r="E39" s="12">
        <v>1</v>
      </c>
      <c r="F39" s="12">
        <v>4</v>
      </c>
      <c r="G39" s="12">
        <v>12</v>
      </c>
      <c r="H39" s="12">
        <v>17</v>
      </c>
      <c r="I39" s="21">
        <v>3909.0606554235337</v>
      </c>
      <c r="J39" s="21">
        <v>12043.38405036726</v>
      </c>
      <c r="K39" s="21">
        <v>24276.263822805577</v>
      </c>
      <c r="L39" s="21">
        <v>82176.096858638746</v>
      </c>
      <c r="M39" s="21">
        <v>28232.94150309973</v>
      </c>
      <c r="N39" s="21">
        <v>150637.74689033485</v>
      </c>
      <c r="O39" s="13">
        <f t="shared" si="1"/>
        <v>0</v>
      </c>
      <c r="P39" s="13">
        <f t="shared" si="2"/>
        <v>0</v>
      </c>
      <c r="Q39" s="13">
        <f t="shared" si="3"/>
        <v>4.1192500102119558</v>
      </c>
      <c r="R39" s="13">
        <f t="shared" si="4"/>
        <v>4.867595508802145</v>
      </c>
      <c r="S39" s="13">
        <f t="shared" si="5"/>
        <v>42.503541470103301</v>
      </c>
      <c r="T39" s="13">
        <f t="shared" si="6"/>
        <v>11.285352012318731</v>
      </c>
    </row>
    <row r="40" spans="1:20" x14ac:dyDescent="0.3">
      <c r="A40" s="4" t="s">
        <v>67</v>
      </c>
      <c r="B40" s="10" t="s">
        <v>107</v>
      </c>
      <c r="C40" s="11">
        <v>2</v>
      </c>
      <c r="D40" s="12">
        <v>0</v>
      </c>
      <c r="E40" s="12">
        <v>0</v>
      </c>
      <c r="F40" s="12">
        <v>2</v>
      </c>
      <c r="G40" s="12">
        <v>23</v>
      </c>
      <c r="H40" s="12">
        <v>27</v>
      </c>
      <c r="I40" s="21">
        <v>3909.0606554235337</v>
      </c>
      <c r="J40" s="21">
        <v>12043.38405036726</v>
      </c>
      <c r="K40" s="21">
        <v>24276.263822805577</v>
      </c>
      <c r="L40" s="21">
        <v>82176.096858638746</v>
      </c>
      <c r="M40" s="21">
        <v>28232.94150309973</v>
      </c>
      <c r="N40" s="21">
        <v>150637.74689033485</v>
      </c>
      <c r="O40" s="13">
        <f t="shared" si="1"/>
        <v>51.163186665449849</v>
      </c>
      <c r="P40" s="13">
        <f t="shared" si="2"/>
        <v>0</v>
      </c>
      <c r="Q40" s="13">
        <f t="shared" si="3"/>
        <v>0</v>
      </c>
      <c r="R40" s="13">
        <f t="shared" si="4"/>
        <v>2.4337977544010725</v>
      </c>
      <c r="S40" s="13">
        <f t="shared" si="5"/>
        <v>81.465121151031326</v>
      </c>
      <c r="T40" s="13">
        <f t="shared" si="6"/>
        <v>17.923794372506219</v>
      </c>
    </row>
    <row r="41" spans="1:20" x14ac:dyDescent="0.3">
      <c r="A41" s="4" t="s">
        <v>67</v>
      </c>
      <c r="B41" s="10" t="s">
        <v>108</v>
      </c>
      <c r="C41" s="11">
        <v>0</v>
      </c>
      <c r="D41" s="12">
        <v>0</v>
      </c>
      <c r="E41" s="12">
        <v>0</v>
      </c>
      <c r="F41" s="12">
        <v>2</v>
      </c>
      <c r="G41" s="12">
        <v>16</v>
      </c>
      <c r="H41" s="12">
        <v>18</v>
      </c>
      <c r="I41" s="21">
        <v>3909.0606554235337</v>
      </c>
      <c r="J41" s="21">
        <v>12043.38405036726</v>
      </c>
      <c r="K41" s="21">
        <v>24276.263822805577</v>
      </c>
      <c r="L41" s="21">
        <v>82176.096858638746</v>
      </c>
      <c r="M41" s="21">
        <v>28232.94150309973</v>
      </c>
      <c r="N41" s="21">
        <v>150637.74689033485</v>
      </c>
      <c r="O41" s="13">
        <f t="shared" si="1"/>
        <v>0</v>
      </c>
      <c r="P41" s="13">
        <f t="shared" si="2"/>
        <v>0</v>
      </c>
      <c r="Q41" s="13">
        <f t="shared" si="3"/>
        <v>0</v>
      </c>
      <c r="R41" s="13">
        <f t="shared" si="4"/>
        <v>2.4337977544010725</v>
      </c>
      <c r="S41" s="13">
        <f t="shared" si="5"/>
        <v>56.671388626804401</v>
      </c>
      <c r="T41" s="13">
        <f t="shared" si="6"/>
        <v>11.949196248337479</v>
      </c>
    </row>
    <row r="42" spans="1:20" x14ac:dyDescent="0.3">
      <c r="A42" s="4" t="s">
        <v>67</v>
      </c>
      <c r="B42" s="10" t="s">
        <v>109</v>
      </c>
      <c r="C42" s="11">
        <v>1</v>
      </c>
      <c r="D42" s="12">
        <v>0</v>
      </c>
      <c r="E42" s="12">
        <v>1</v>
      </c>
      <c r="F42" s="12">
        <v>2</v>
      </c>
      <c r="G42" s="12">
        <v>8</v>
      </c>
      <c r="H42" s="12">
        <v>12</v>
      </c>
      <c r="I42" s="21">
        <v>3909.0606554235337</v>
      </c>
      <c r="J42" s="21">
        <v>12043.38405036726</v>
      </c>
      <c r="K42" s="21">
        <v>24276.263822805577</v>
      </c>
      <c r="L42" s="21">
        <v>82176.096858638746</v>
      </c>
      <c r="M42" s="21">
        <v>28232.94150309973</v>
      </c>
      <c r="N42" s="21">
        <v>150637.74689033485</v>
      </c>
      <c r="O42" s="13">
        <f t="shared" si="1"/>
        <v>25.581593332724925</v>
      </c>
      <c r="P42" s="13">
        <f t="shared" si="2"/>
        <v>0</v>
      </c>
      <c r="Q42" s="13">
        <f t="shared" si="3"/>
        <v>4.1192500102119558</v>
      </c>
      <c r="R42" s="13">
        <f t="shared" si="4"/>
        <v>2.4337977544010725</v>
      </c>
      <c r="S42" s="13">
        <f t="shared" si="5"/>
        <v>28.3356943134022</v>
      </c>
      <c r="T42" s="13">
        <f t="shared" si="6"/>
        <v>7.9661308322249864</v>
      </c>
    </row>
    <row r="43" spans="1:20" x14ac:dyDescent="0.3">
      <c r="A43" s="4" t="s">
        <v>67</v>
      </c>
      <c r="B43" s="10" t="s">
        <v>110</v>
      </c>
      <c r="C43" s="11">
        <v>0</v>
      </c>
      <c r="D43" s="12">
        <v>0</v>
      </c>
      <c r="E43" s="12">
        <v>0</v>
      </c>
      <c r="F43" s="12">
        <v>5</v>
      </c>
      <c r="G43" s="12">
        <v>13</v>
      </c>
      <c r="H43" s="12">
        <v>18</v>
      </c>
      <c r="I43" s="21">
        <v>3909.0606554235337</v>
      </c>
      <c r="J43" s="21">
        <v>12043.38405036726</v>
      </c>
      <c r="K43" s="21">
        <v>24276.263822805577</v>
      </c>
      <c r="L43" s="21">
        <v>82176.096858638746</v>
      </c>
      <c r="M43" s="21">
        <v>28232.94150309973</v>
      </c>
      <c r="N43" s="21">
        <v>150637.74689033485</v>
      </c>
      <c r="O43" s="13">
        <f t="shared" si="1"/>
        <v>0</v>
      </c>
      <c r="P43" s="13">
        <f t="shared" si="2"/>
        <v>0</v>
      </c>
      <c r="Q43" s="13">
        <f t="shared" si="3"/>
        <v>0</v>
      </c>
      <c r="R43" s="13">
        <f t="shared" si="4"/>
        <v>6.0844943860026808</v>
      </c>
      <c r="S43" s="13">
        <f t="shared" si="5"/>
        <v>46.045503259278576</v>
      </c>
      <c r="T43" s="13">
        <f t="shared" si="6"/>
        <v>11.949196248337479</v>
      </c>
    </row>
    <row r="44" spans="1:20" x14ac:dyDescent="0.3">
      <c r="A44" s="4" t="s">
        <v>67</v>
      </c>
      <c r="B44" s="10" t="s">
        <v>111</v>
      </c>
      <c r="C44" s="11">
        <v>0</v>
      </c>
      <c r="D44" s="12">
        <v>0</v>
      </c>
      <c r="E44" s="12">
        <v>0</v>
      </c>
      <c r="F44" s="12">
        <v>1</v>
      </c>
      <c r="G44" s="12">
        <v>6</v>
      </c>
      <c r="H44" s="12">
        <v>7</v>
      </c>
      <c r="I44" s="21">
        <v>3909.0606554235337</v>
      </c>
      <c r="J44" s="21">
        <v>12043.38405036726</v>
      </c>
      <c r="K44" s="21">
        <v>24276.263822805577</v>
      </c>
      <c r="L44" s="21">
        <v>82176.096858638746</v>
      </c>
      <c r="M44" s="21">
        <v>28232.94150309973</v>
      </c>
      <c r="N44" s="21">
        <v>150637.74689033485</v>
      </c>
      <c r="O44" s="13">
        <f t="shared" si="1"/>
        <v>0</v>
      </c>
      <c r="P44" s="13">
        <f t="shared" si="2"/>
        <v>0</v>
      </c>
      <c r="Q44" s="13">
        <f t="shared" si="3"/>
        <v>0</v>
      </c>
      <c r="R44" s="13">
        <f t="shared" si="4"/>
        <v>1.2168988772005362</v>
      </c>
      <c r="S44" s="13">
        <f t="shared" si="5"/>
        <v>21.25177073505165</v>
      </c>
      <c r="T44" s="13">
        <f t="shared" si="6"/>
        <v>4.6469096521312423</v>
      </c>
    </row>
    <row r="45" spans="1:20" x14ac:dyDescent="0.3">
      <c r="A45" s="4" t="s">
        <v>67</v>
      </c>
      <c r="B45" s="10" t="s">
        <v>112</v>
      </c>
      <c r="C45" s="11">
        <v>0</v>
      </c>
      <c r="D45" s="12">
        <v>0</v>
      </c>
      <c r="E45" s="12">
        <v>0</v>
      </c>
      <c r="F45" s="12">
        <v>3</v>
      </c>
      <c r="G45" s="12">
        <v>15</v>
      </c>
      <c r="H45" s="12">
        <v>18</v>
      </c>
      <c r="I45" s="21">
        <v>3909.0606554235337</v>
      </c>
      <c r="J45" s="21">
        <v>12043.38405036726</v>
      </c>
      <c r="K45" s="21">
        <v>24276.263822805577</v>
      </c>
      <c r="L45" s="21">
        <v>82176.096858638746</v>
      </c>
      <c r="M45" s="21">
        <v>28232.94150309973</v>
      </c>
      <c r="N45" s="21">
        <v>150637.74689033485</v>
      </c>
      <c r="O45" s="13">
        <f t="shared" si="1"/>
        <v>0</v>
      </c>
      <c r="P45" s="13">
        <f t="shared" si="2"/>
        <v>0</v>
      </c>
      <c r="Q45" s="13">
        <f t="shared" si="3"/>
        <v>0</v>
      </c>
      <c r="R45" s="13">
        <f t="shared" si="4"/>
        <v>3.6506966316016087</v>
      </c>
      <c r="S45" s="13">
        <f t="shared" si="5"/>
        <v>53.129426837629119</v>
      </c>
      <c r="T45" s="13">
        <f t="shared" si="6"/>
        <v>11.949196248337479</v>
      </c>
    </row>
    <row r="46" spans="1:20" x14ac:dyDescent="0.3">
      <c r="A46" s="4" t="s">
        <v>67</v>
      </c>
      <c r="B46" s="10" t="s">
        <v>113</v>
      </c>
      <c r="C46" s="11">
        <v>0</v>
      </c>
      <c r="D46" s="12">
        <v>0</v>
      </c>
      <c r="E46" s="12">
        <v>0</v>
      </c>
      <c r="F46" s="12">
        <v>0</v>
      </c>
      <c r="G46" s="12">
        <v>20</v>
      </c>
      <c r="H46" s="12">
        <v>20</v>
      </c>
      <c r="I46" s="21">
        <v>3909.0606554235337</v>
      </c>
      <c r="J46" s="21">
        <v>12043.38405036726</v>
      </c>
      <c r="K46" s="21">
        <v>24276.263822805577</v>
      </c>
      <c r="L46" s="21">
        <v>82176.096858638746</v>
      </c>
      <c r="M46" s="21">
        <v>28232.94150309973</v>
      </c>
      <c r="N46" s="21">
        <v>150637.74689033485</v>
      </c>
      <c r="O46" s="13">
        <f t="shared" si="1"/>
        <v>0</v>
      </c>
      <c r="P46" s="13">
        <f t="shared" si="2"/>
        <v>0</v>
      </c>
      <c r="Q46" s="13">
        <f t="shared" si="3"/>
        <v>0</v>
      </c>
      <c r="R46" s="13">
        <f t="shared" si="4"/>
        <v>0</v>
      </c>
      <c r="S46" s="13">
        <f t="shared" si="5"/>
        <v>70.839235783505501</v>
      </c>
      <c r="T46" s="13">
        <f t="shared" si="6"/>
        <v>13.276884720374976</v>
      </c>
    </row>
    <row r="47" spans="1:20" x14ac:dyDescent="0.3">
      <c r="A47" s="4" t="s">
        <v>67</v>
      </c>
      <c r="B47" s="10" t="s">
        <v>114</v>
      </c>
      <c r="C47" s="11">
        <v>0</v>
      </c>
      <c r="D47" s="12">
        <v>0</v>
      </c>
      <c r="E47" s="12">
        <v>0</v>
      </c>
      <c r="F47" s="12">
        <v>3</v>
      </c>
      <c r="G47" s="12">
        <v>17</v>
      </c>
      <c r="H47" s="12">
        <v>20</v>
      </c>
      <c r="I47" s="21">
        <v>3909.0606554235337</v>
      </c>
      <c r="J47" s="21">
        <v>12043.38405036726</v>
      </c>
      <c r="K47" s="21">
        <v>24276.263822805577</v>
      </c>
      <c r="L47" s="21">
        <v>82176.096858638746</v>
      </c>
      <c r="M47" s="21">
        <v>28232.94150309973</v>
      </c>
      <c r="N47" s="21">
        <v>150637.74689033485</v>
      </c>
      <c r="O47" s="13">
        <f t="shared" si="1"/>
        <v>0</v>
      </c>
      <c r="P47" s="13">
        <f t="shared" si="2"/>
        <v>0</v>
      </c>
      <c r="Q47" s="13">
        <f t="shared" si="3"/>
        <v>0</v>
      </c>
      <c r="R47" s="13">
        <f t="shared" si="4"/>
        <v>3.6506966316016087</v>
      </c>
      <c r="S47" s="13">
        <f t="shared" si="5"/>
        <v>60.213350415979676</v>
      </c>
      <c r="T47" s="13">
        <f t="shared" si="6"/>
        <v>13.276884720374976</v>
      </c>
    </row>
    <row r="48" spans="1:20" x14ac:dyDescent="0.3">
      <c r="A48" s="4" t="s">
        <v>67</v>
      </c>
      <c r="B48" s="10" t="s">
        <v>115</v>
      </c>
      <c r="C48" s="11">
        <v>0</v>
      </c>
      <c r="D48" s="12">
        <v>0</v>
      </c>
      <c r="E48" s="12">
        <v>0</v>
      </c>
      <c r="F48" s="12">
        <v>0</v>
      </c>
      <c r="G48" s="12">
        <v>11</v>
      </c>
      <c r="H48" s="12">
        <v>11</v>
      </c>
      <c r="I48" s="21">
        <v>3909.0606554235337</v>
      </c>
      <c r="J48" s="21">
        <v>12043.38405036726</v>
      </c>
      <c r="K48" s="21">
        <v>24276.263822805577</v>
      </c>
      <c r="L48" s="21">
        <v>82176.096858638746</v>
      </c>
      <c r="M48" s="21">
        <v>28232.94150309973</v>
      </c>
      <c r="N48" s="21">
        <v>150637.74689033485</v>
      </c>
      <c r="O48" s="13">
        <f t="shared" si="1"/>
        <v>0</v>
      </c>
      <c r="P48" s="13">
        <f t="shared" si="2"/>
        <v>0</v>
      </c>
      <c r="Q48" s="13">
        <f t="shared" si="3"/>
        <v>0</v>
      </c>
      <c r="R48" s="13">
        <f t="shared" si="4"/>
        <v>0</v>
      </c>
      <c r="S48" s="13">
        <f t="shared" si="5"/>
        <v>38.961579680928025</v>
      </c>
      <c r="T48" s="13">
        <f t="shared" si="6"/>
        <v>7.3022865962062369</v>
      </c>
    </row>
    <row r="49" spans="1:20" x14ac:dyDescent="0.3">
      <c r="A49" s="4" t="s">
        <v>67</v>
      </c>
      <c r="B49" s="10" t="s">
        <v>116</v>
      </c>
      <c r="C49" s="11">
        <v>0</v>
      </c>
      <c r="D49" s="12">
        <v>0</v>
      </c>
      <c r="E49" s="12">
        <v>0</v>
      </c>
      <c r="F49" s="12">
        <v>6</v>
      </c>
      <c r="G49" s="12">
        <v>16</v>
      </c>
      <c r="H49" s="12">
        <v>22</v>
      </c>
      <c r="I49" s="21">
        <v>3909.0606554235337</v>
      </c>
      <c r="J49" s="21">
        <v>12043.38405036726</v>
      </c>
      <c r="K49" s="21">
        <v>24276.263822805577</v>
      </c>
      <c r="L49" s="21">
        <v>82176.096858638746</v>
      </c>
      <c r="M49" s="21">
        <v>28232.94150309973</v>
      </c>
      <c r="N49" s="21">
        <v>150637.74689033485</v>
      </c>
      <c r="O49" s="13">
        <f t="shared" si="1"/>
        <v>0</v>
      </c>
      <c r="P49" s="13">
        <f t="shared" si="2"/>
        <v>0</v>
      </c>
      <c r="Q49" s="13">
        <f t="shared" si="3"/>
        <v>0</v>
      </c>
      <c r="R49" s="13">
        <f t="shared" si="4"/>
        <v>7.3013932632032175</v>
      </c>
      <c r="S49" s="13">
        <f t="shared" si="5"/>
        <v>56.671388626804401</v>
      </c>
      <c r="T49" s="13">
        <f t="shared" si="6"/>
        <v>14.604573192412474</v>
      </c>
    </row>
    <row r="50" spans="1:20" x14ac:dyDescent="0.3">
      <c r="A50" s="4" t="s">
        <v>67</v>
      </c>
      <c r="B50" s="10" t="s">
        <v>117</v>
      </c>
      <c r="C50" s="11">
        <v>0</v>
      </c>
      <c r="D50" s="12">
        <v>0</v>
      </c>
      <c r="E50" s="12">
        <v>0</v>
      </c>
      <c r="F50" s="12">
        <v>1</v>
      </c>
      <c r="G50" s="12">
        <v>16</v>
      </c>
      <c r="H50" s="12">
        <v>17</v>
      </c>
      <c r="I50" s="21">
        <v>3909.0606554235337</v>
      </c>
      <c r="J50" s="21">
        <v>12043.38405036726</v>
      </c>
      <c r="K50" s="21">
        <v>24276.263822805577</v>
      </c>
      <c r="L50" s="21">
        <v>82176.096858638746</v>
      </c>
      <c r="M50" s="21">
        <v>28232.94150309973</v>
      </c>
      <c r="N50" s="21">
        <v>150637.74689033485</v>
      </c>
      <c r="O50" s="13">
        <f t="shared" si="1"/>
        <v>0</v>
      </c>
      <c r="P50" s="13">
        <f t="shared" si="2"/>
        <v>0</v>
      </c>
      <c r="Q50" s="13">
        <f t="shared" si="3"/>
        <v>0</v>
      </c>
      <c r="R50" s="13">
        <f t="shared" si="4"/>
        <v>1.2168988772005362</v>
      </c>
      <c r="S50" s="13">
        <f t="shared" si="5"/>
        <v>56.671388626804401</v>
      </c>
      <c r="T50" s="13">
        <f t="shared" si="6"/>
        <v>11.285352012318731</v>
      </c>
    </row>
    <row r="51" spans="1:20" x14ac:dyDescent="0.3">
      <c r="A51" s="4" t="s">
        <v>67</v>
      </c>
      <c r="B51" s="10" t="s">
        <v>118</v>
      </c>
      <c r="C51" s="11">
        <v>0</v>
      </c>
      <c r="D51" s="12">
        <v>0</v>
      </c>
      <c r="E51" s="12">
        <v>0</v>
      </c>
      <c r="F51" s="12">
        <v>3</v>
      </c>
      <c r="G51" s="12">
        <v>16</v>
      </c>
      <c r="H51" s="12">
        <v>19</v>
      </c>
      <c r="I51" s="21">
        <v>3909.0606554235337</v>
      </c>
      <c r="J51" s="21">
        <v>12043.38405036726</v>
      </c>
      <c r="K51" s="21">
        <v>24276.263822805577</v>
      </c>
      <c r="L51" s="21">
        <v>82176.096858638746</v>
      </c>
      <c r="M51" s="21">
        <v>28232.94150309973</v>
      </c>
      <c r="N51" s="21">
        <v>150637.74689033485</v>
      </c>
      <c r="O51" s="13">
        <f t="shared" si="1"/>
        <v>0</v>
      </c>
      <c r="P51" s="13">
        <f t="shared" si="2"/>
        <v>0</v>
      </c>
      <c r="Q51" s="13">
        <f t="shared" si="3"/>
        <v>0</v>
      </c>
      <c r="R51" s="13">
        <f t="shared" si="4"/>
        <v>3.6506966316016087</v>
      </c>
      <c r="S51" s="13">
        <f t="shared" si="5"/>
        <v>56.671388626804401</v>
      </c>
      <c r="T51" s="13">
        <f t="shared" si="6"/>
        <v>12.613040484356228</v>
      </c>
    </row>
    <row r="52" spans="1:20" x14ac:dyDescent="0.3">
      <c r="A52" s="4" t="s">
        <v>67</v>
      </c>
      <c r="B52" s="10" t="s">
        <v>119</v>
      </c>
      <c r="C52" s="11">
        <v>0</v>
      </c>
      <c r="D52" s="12">
        <v>1</v>
      </c>
      <c r="E52" s="12">
        <v>1</v>
      </c>
      <c r="F52" s="12">
        <v>3</v>
      </c>
      <c r="G52" s="12">
        <v>15</v>
      </c>
      <c r="H52" s="12">
        <v>20</v>
      </c>
      <c r="I52" s="21">
        <v>3909.0606554235337</v>
      </c>
      <c r="J52" s="21">
        <v>12043.38405036726</v>
      </c>
      <c r="K52" s="21">
        <v>24276.263822805577</v>
      </c>
      <c r="L52" s="21">
        <v>82176.096858638746</v>
      </c>
      <c r="M52" s="21">
        <v>28232.94150309973</v>
      </c>
      <c r="N52" s="21">
        <v>150637.74689033485</v>
      </c>
      <c r="O52" s="13">
        <f t="shared" si="1"/>
        <v>0</v>
      </c>
      <c r="P52" s="13">
        <f t="shared" si="2"/>
        <v>8.3033140504184555</v>
      </c>
      <c r="Q52" s="13">
        <f t="shared" si="3"/>
        <v>4.1192500102119558</v>
      </c>
      <c r="R52" s="13">
        <f t="shared" si="4"/>
        <v>3.6506966316016087</v>
      </c>
      <c r="S52" s="13">
        <f t="shared" si="5"/>
        <v>53.129426837629119</v>
      </c>
      <c r="T52" s="13">
        <f t="shared" si="6"/>
        <v>13.276884720374976</v>
      </c>
    </row>
    <row r="53" spans="1:20" x14ac:dyDescent="0.3">
      <c r="A53" s="4" t="s">
        <v>67</v>
      </c>
      <c r="B53" s="10" t="s">
        <v>120</v>
      </c>
      <c r="C53" s="11">
        <v>1</v>
      </c>
      <c r="D53" s="12">
        <v>0</v>
      </c>
      <c r="E53" s="12">
        <v>0</v>
      </c>
      <c r="F53" s="12">
        <v>5</v>
      </c>
      <c r="G53" s="12">
        <v>16</v>
      </c>
      <c r="H53" s="12">
        <v>22</v>
      </c>
      <c r="I53" s="21">
        <v>3909.0606554235337</v>
      </c>
      <c r="J53" s="21">
        <v>12043.38405036726</v>
      </c>
      <c r="K53" s="21">
        <v>24276.263822805577</v>
      </c>
      <c r="L53" s="21">
        <v>82176.096858638746</v>
      </c>
      <c r="M53" s="21">
        <v>28232.94150309973</v>
      </c>
      <c r="N53" s="21">
        <v>150637.74689033485</v>
      </c>
      <c r="O53" s="13">
        <f t="shared" si="1"/>
        <v>25.581593332724925</v>
      </c>
      <c r="P53" s="13">
        <f t="shared" si="2"/>
        <v>0</v>
      </c>
      <c r="Q53" s="13">
        <f t="shared" si="3"/>
        <v>0</v>
      </c>
      <c r="R53" s="13">
        <f t="shared" si="4"/>
        <v>6.0844943860026808</v>
      </c>
      <c r="S53" s="13">
        <f t="shared" si="5"/>
        <v>56.671388626804401</v>
      </c>
      <c r="T53" s="13">
        <f t="shared" si="6"/>
        <v>14.604573192412474</v>
      </c>
    </row>
    <row r="54" spans="1:20" x14ac:dyDescent="0.3">
      <c r="A54" s="4" t="s">
        <v>67</v>
      </c>
      <c r="B54" s="10" t="s">
        <v>121</v>
      </c>
      <c r="C54" s="11">
        <v>0</v>
      </c>
      <c r="D54" s="12">
        <v>0</v>
      </c>
      <c r="E54" s="12">
        <v>2</v>
      </c>
      <c r="F54" s="12">
        <v>4</v>
      </c>
      <c r="G54" s="12">
        <v>18</v>
      </c>
      <c r="H54" s="12">
        <v>24</v>
      </c>
      <c r="I54" s="21">
        <v>3909.0606554235337</v>
      </c>
      <c r="J54" s="21">
        <v>12043.38405036726</v>
      </c>
      <c r="K54" s="21">
        <v>24276.263822805577</v>
      </c>
      <c r="L54" s="21">
        <v>82176.096858638746</v>
      </c>
      <c r="M54" s="21">
        <v>28232.94150309973</v>
      </c>
      <c r="N54" s="21">
        <v>150637.74689033485</v>
      </c>
      <c r="O54" s="13">
        <f t="shared" si="1"/>
        <v>0</v>
      </c>
      <c r="P54" s="13">
        <f t="shared" si="2"/>
        <v>0</v>
      </c>
      <c r="Q54" s="13">
        <f t="shared" si="3"/>
        <v>8.2385000204239116</v>
      </c>
      <c r="R54" s="13">
        <f t="shared" si="4"/>
        <v>4.867595508802145</v>
      </c>
      <c r="S54" s="13">
        <f t="shared" si="5"/>
        <v>63.755312205154958</v>
      </c>
      <c r="T54" s="13">
        <f t="shared" si="6"/>
        <v>15.932261664449973</v>
      </c>
    </row>
    <row r="55" spans="1:20" x14ac:dyDescent="0.3">
      <c r="A55" s="4" t="s">
        <v>67</v>
      </c>
      <c r="B55" s="10" t="s">
        <v>122</v>
      </c>
      <c r="C55" s="11">
        <v>1</v>
      </c>
      <c r="D55" s="12">
        <v>0</v>
      </c>
      <c r="E55" s="12">
        <v>0</v>
      </c>
      <c r="F55" s="12">
        <v>2</v>
      </c>
      <c r="G55" s="12">
        <v>15</v>
      </c>
      <c r="H55" s="12">
        <v>18</v>
      </c>
      <c r="I55" s="21">
        <v>3909.0606554235337</v>
      </c>
      <c r="J55" s="21">
        <v>12043.38405036726</v>
      </c>
      <c r="K55" s="21">
        <v>24276.263822805577</v>
      </c>
      <c r="L55" s="21">
        <v>82176.096858638746</v>
      </c>
      <c r="M55" s="21">
        <v>28232.94150309973</v>
      </c>
      <c r="N55" s="21">
        <v>150637.74689033485</v>
      </c>
      <c r="O55" s="13">
        <f t="shared" si="1"/>
        <v>25.581593332724925</v>
      </c>
      <c r="P55" s="13">
        <f t="shared" si="2"/>
        <v>0</v>
      </c>
      <c r="Q55" s="13">
        <f t="shared" si="3"/>
        <v>0</v>
      </c>
      <c r="R55" s="13">
        <f t="shared" si="4"/>
        <v>2.4337977544010725</v>
      </c>
      <c r="S55" s="13">
        <f t="shared" si="5"/>
        <v>53.129426837629119</v>
      </c>
      <c r="T55" s="13">
        <f t="shared" si="6"/>
        <v>11.949196248337479</v>
      </c>
    </row>
    <row r="56" spans="1:20" x14ac:dyDescent="0.3">
      <c r="A56" s="4" t="s">
        <v>67</v>
      </c>
      <c r="B56" s="10" t="s">
        <v>123</v>
      </c>
      <c r="C56" s="11">
        <v>0</v>
      </c>
      <c r="D56" s="12">
        <v>1</v>
      </c>
      <c r="E56" s="12">
        <v>0</v>
      </c>
      <c r="F56" s="12">
        <v>3</v>
      </c>
      <c r="G56" s="12">
        <v>16</v>
      </c>
      <c r="H56" s="12">
        <v>20</v>
      </c>
      <c r="I56" s="21">
        <v>3909.0606554235337</v>
      </c>
      <c r="J56" s="21">
        <v>12043.38405036726</v>
      </c>
      <c r="K56" s="21">
        <v>24276.263822805577</v>
      </c>
      <c r="L56" s="21">
        <v>82176.096858638746</v>
      </c>
      <c r="M56" s="21">
        <v>28232.94150309973</v>
      </c>
      <c r="N56" s="21">
        <v>150637.74689033485</v>
      </c>
      <c r="O56" s="13">
        <f t="shared" si="1"/>
        <v>0</v>
      </c>
      <c r="P56" s="13">
        <f t="shared" si="2"/>
        <v>8.3033140504184555</v>
      </c>
      <c r="Q56" s="13">
        <f t="shared" si="3"/>
        <v>0</v>
      </c>
      <c r="R56" s="13">
        <f t="shared" si="4"/>
        <v>3.6506966316016087</v>
      </c>
      <c r="S56" s="13">
        <f t="shared" si="5"/>
        <v>56.671388626804401</v>
      </c>
      <c r="T56" s="13">
        <f t="shared" si="6"/>
        <v>13.276884720374976</v>
      </c>
    </row>
    <row r="57" spans="1:20" x14ac:dyDescent="0.3">
      <c r="A57" s="4" t="s">
        <v>67</v>
      </c>
      <c r="B57" s="10" t="s">
        <v>124</v>
      </c>
      <c r="C57" s="11">
        <v>0</v>
      </c>
      <c r="D57" s="12">
        <v>0</v>
      </c>
      <c r="E57" s="12">
        <v>0</v>
      </c>
      <c r="F57" s="12">
        <v>2</v>
      </c>
      <c r="G57" s="12">
        <v>21</v>
      </c>
      <c r="H57" s="12">
        <v>23</v>
      </c>
      <c r="I57" s="21">
        <v>3909.0606554235337</v>
      </c>
      <c r="J57" s="21">
        <v>12043.38405036726</v>
      </c>
      <c r="K57" s="21">
        <v>24276.263822805577</v>
      </c>
      <c r="L57" s="21">
        <v>82176.096858638746</v>
      </c>
      <c r="M57" s="21">
        <v>28232.94150309973</v>
      </c>
      <c r="N57" s="21">
        <v>150637.74689033485</v>
      </c>
      <c r="O57" s="13">
        <f t="shared" si="1"/>
        <v>0</v>
      </c>
      <c r="P57" s="13">
        <f t="shared" si="2"/>
        <v>0</v>
      </c>
      <c r="Q57" s="13">
        <f t="shared" si="3"/>
        <v>0</v>
      </c>
      <c r="R57" s="13">
        <f t="shared" si="4"/>
        <v>2.4337977544010725</v>
      </c>
      <c r="S57" s="13">
        <f t="shared" si="5"/>
        <v>74.381197572680776</v>
      </c>
      <c r="T57" s="13">
        <f t="shared" si="6"/>
        <v>15.268417428431222</v>
      </c>
    </row>
    <row r="58" spans="1:20" x14ac:dyDescent="0.3">
      <c r="A58" s="4" t="s">
        <v>67</v>
      </c>
      <c r="B58" s="10" t="s">
        <v>125</v>
      </c>
      <c r="C58" s="11">
        <v>0</v>
      </c>
      <c r="D58" s="12">
        <v>0</v>
      </c>
      <c r="E58" s="12">
        <v>0</v>
      </c>
      <c r="F58" s="12">
        <v>6</v>
      </c>
      <c r="G58" s="12">
        <v>15</v>
      </c>
      <c r="H58" s="12">
        <v>21</v>
      </c>
      <c r="I58" s="21">
        <v>3909.0606554235337</v>
      </c>
      <c r="J58" s="21">
        <v>12043.38405036726</v>
      </c>
      <c r="K58" s="21">
        <v>24276.263822805577</v>
      </c>
      <c r="L58" s="21">
        <v>82176.096858638746</v>
      </c>
      <c r="M58" s="21">
        <v>28232.94150309973</v>
      </c>
      <c r="N58" s="21">
        <v>150637.74689033485</v>
      </c>
      <c r="O58" s="13">
        <f t="shared" si="1"/>
        <v>0</v>
      </c>
      <c r="P58" s="13">
        <f t="shared" si="2"/>
        <v>0</v>
      </c>
      <c r="Q58" s="13">
        <f t="shared" si="3"/>
        <v>0</v>
      </c>
      <c r="R58" s="13">
        <f t="shared" si="4"/>
        <v>7.3013932632032175</v>
      </c>
      <c r="S58" s="13">
        <f t="shared" si="5"/>
        <v>53.129426837629119</v>
      </c>
      <c r="T58" s="13">
        <f t="shared" si="6"/>
        <v>13.940728956393725</v>
      </c>
    </row>
    <row r="59" spans="1:20" x14ac:dyDescent="0.3">
      <c r="A59" s="4" t="s">
        <v>67</v>
      </c>
      <c r="B59" s="10" t="s">
        <v>126</v>
      </c>
      <c r="C59" s="11">
        <v>1</v>
      </c>
      <c r="D59" s="12">
        <v>0</v>
      </c>
      <c r="E59" s="12">
        <v>0</v>
      </c>
      <c r="F59" s="12">
        <v>1</v>
      </c>
      <c r="G59" s="12">
        <v>16</v>
      </c>
      <c r="H59" s="12">
        <v>18</v>
      </c>
      <c r="I59" s="21">
        <v>3909.0606554235337</v>
      </c>
      <c r="J59" s="21">
        <v>12043.38405036726</v>
      </c>
      <c r="K59" s="21">
        <v>24276.263822805577</v>
      </c>
      <c r="L59" s="21">
        <v>82176.096858638746</v>
      </c>
      <c r="M59" s="21">
        <v>28232.94150309973</v>
      </c>
      <c r="N59" s="21">
        <v>150637.74689033485</v>
      </c>
      <c r="O59" s="13">
        <f t="shared" si="1"/>
        <v>25.581593332724925</v>
      </c>
      <c r="P59" s="13">
        <f t="shared" si="2"/>
        <v>0</v>
      </c>
      <c r="Q59" s="13">
        <f t="shared" si="3"/>
        <v>0</v>
      </c>
      <c r="R59" s="13">
        <f t="shared" si="4"/>
        <v>1.2168988772005362</v>
      </c>
      <c r="S59" s="13">
        <f t="shared" si="5"/>
        <v>56.671388626804401</v>
      </c>
      <c r="T59" s="13">
        <f t="shared" si="6"/>
        <v>11.949196248337479</v>
      </c>
    </row>
    <row r="60" spans="1:20" x14ac:dyDescent="0.3">
      <c r="A60" s="4" t="s">
        <v>67</v>
      </c>
      <c r="B60" s="10" t="s">
        <v>127</v>
      </c>
      <c r="C60" s="11">
        <v>3</v>
      </c>
      <c r="D60" s="12">
        <v>0</v>
      </c>
      <c r="E60" s="12">
        <v>0</v>
      </c>
      <c r="F60" s="12">
        <v>3</v>
      </c>
      <c r="G60" s="12">
        <v>14</v>
      </c>
      <c r="H60" s="12">
        <v>20</v>
      </c>
      <c r="I60" s="21">
        <v>3909.0606554235337</v>
      </c>
      <c r="J60" s="21">
        <v>12043.38405036726</v>
      </c>
      <c r="K60" s="21">
        <v>24276.263822805577</v>
      </c>
      <c r="L60" s="21">
        <v>82176.096858638746</v>
      </c>
      <c r="M60" s="21">
        <v>28232.94150309973</v>
      </c>
      <c r="N60" s="21">
        <v>150637.74689033485</v>
      </c>
      <c r="O60" s="13">
        <f t="shared" si="1"/>
        <v>76.744779998174778</v>
      </c>
      <c r="P60" s="13">
        <f t="shared" si="2"/>
        <v>0</v>
      </c>
      <c r="Q60" s="13">
        <f t="shared" si="3"/>
        <v>0</v>
      </c>
      <c r="R60" s="13">
        <f t="shared" si="4"/>
        <v>3.6506966316016087</v>
      </c>
      <c r="S60" s="13">
        <f t="shared" si="5"/>
        <v>49.587465048453851</v>
      </c>
      <c r="T60" s="13">
        <f t="shared" si="6"/>
        <v>13.276884720374976</v>
      </c>
    </row>
    <row r="61" spans="1:20" x14ac:dyDescent="0.3">
      <c r="A61" s="4" t="s">
        <v>67</v>
      </c>
      <c r="B61" s="10" t="s">
        <v>128</v>
      </c>
      <c r="C61" s="11">
        <v>0</v>
      </c>
      <c r="D61" s="12">
        <v>0</v>
      </c>
      <c r="E61" s="12">
        <v>0</v>
      </c>
      <c r="F61" s="12">
        <v>2</v>
      </c>
      <c r="G61" s="12">
        <v>17</v>
      </c>
      <c r="H61" s="12">
        <v>19</v>
      </c>
      <c r="I61" s="21">
        <v>3909.0606554235337</v>
      </c>
      <c r="J61" s="21">
        <v>12043.38405036726</v>
      </c>
      <c r="K61" s="21">
        <v>24276.263822805577</v>
      </c>
      <c r="L61" s="21">
        <v>82176.096858638746</v>
      </c>
      <c r="M61" s="21">
        <v>28232.94150309973</v>
      </c>
      <c r="N61" s="21">
        <v>150637.74689033485</v>
      </c>
      <c r="O61" s="13">
        <f t="shared" si="1"/>
        <v>0</v>
      </c>
      <c r="P61" s="13">
        <f t="shared" si="2"/>
        <v>0</v>
      </c>
      <c r="Q61" s="13">
        <f t="shared" si="3"/>
        <v>0</v>
      </c>
      <c r="R61" s="13">
        <f t="shared" si="4"/>
        <v>2.4337977544010725</v>
      </c>
      <c r="S61" s="13">
        <f t="shared" si="5"/>
        <v>60.213350415979676</v>
      </c>
      <c r="T61" s="13">
        <f t="shared" si="6"/>
        <v>12.613040484356228</v>
      </c>
    </row>
    <row r="62" spans="1:20" x14ac:dyDescent="0.3">
      <c r="A62" s="4" t="s">
        <v>67</v>
      </c>
      <c r="B62" s="10" t="s">
        <v>129</v>
      </c>
      <c r="C62" s="11">
        <v>2</v>
      </c>
      <c r="D62" s="12">
        <v>0</v>
      </c>
      <c r="E62" s="12">
        <v>0</v>
      </c>
      <c r="F62" s="12">
        <v>3</v>
      </c>
      <c r="G62" s="12">
        <v>13</v>
      </c>
      <c r="H62" s="12">
        <v>18</v>
      </c>
      <c r="I62" s="21">
        <v>3909.0606554235337</v>
      </c>
      <c r="J62" s="21">
        <v>12043.38405036726</v>
      </c>
      <c r="K62" s="21">
        <v>24276.263822805577</v>
      </c>
      <c r="L62" s="21">
        <v>82176.096858638746</v>
      </c>
      <c r="M62" s="21">
        <v>28232.94150309973</v>
      </c>
      <c r="N62" s="21">
        <v>150637.74689033485</v>
      </c>
      <c r="O62" s="13">
        <f t="shared" si="1"/>
        <v>51.163186665449849</v>
      </c>
      <c r="P62" s="13">
        <f t="shared" si="2"/>
        <v>0</v>
      </c>
      <c r="Q62" s="13">
        <f t="shared" si="3"/>
        <v>0</v>
      </c>
      <c r="R62" s="13">
        <f t="shared" si="4"/>
        <v>3.6506966316016087</v>
      </c>
      <c r="S62" s="13">
        <f t="shared" si="5"/>
        <v>46.045503259278576</v>
      </c>
      <c r="T62" s="13">
        <f t="shared" si="6"/>
        <v>11.949196248337479</v>
      </c>
    </row>
    <row r="63" spans="1:20" x14ac:dyDescent="0.3">
      <c r="A63" s="4" t="s">
        <v>67</v>
      </c>
      <c r="B63" s="10" t="s">
        <v>130</v>
      </c>
      <c r="C63" s="11">
        <v>0</v>
      </c>
      <c r="D63" s="12">
        <v>0</v>
      </c>
      <c r="E63" s="12">
        <v>0</v>
      </c>
      <c r="F63" s="12">
        <v>2</v>
      </c>
      <c r="G63" s="12">
        <v>17</v>
      </c>
      <c r="H63" s="12">
        <v>19</v>
      </c>
      <c r="I63" s="21">
        <v>3909.0606554235337</v>
      </c>
      <c r="J63" s="21">
        <v>12043.38405036726</v>
      </c>
      <c r="K63" s="21">
        <v>24276.263822805577</v>
      </c>
      <c r="L63" s="21">
        <v>82176.096858638746</v>
      </c>
      <c r="M63" s="21">
        <v>28232.94150309973</v>
      </c>
      <c r="N63" s="21">
        <v>150637.74689033485</v>
      </c>
      <c r="O63" s="13">
        <f t="shared" si="1"/>
        <v>0</v>
      </c>
      <c r="P63" s="13">
        <f t="shared" si="2"/>
        <v>0</v>
      </c>
      <c r="Q63" s="13">
        <f t="shared" si="3"/>
        <v>0</v>
      </c>
      <c r="R63" s="13">
        <f t="shared" si="4"/>
        <v>2.4337977544010725</v>
      </c>
      <c r="S63" s="13">
        <f t="shared" si="5"/>
        <v>60.213350415979676</v>
      </c>
      <c r="T63" s="13">
        <f t="shared" si="6"/>
        <v>12.613040484356228</v>
      </c>
    </row>
    <row r="64" spans="1:20" x14ac:dyDescent="0.3">
      <c r="A64" s="4" t="s">
        <v>67</v>
      </c>
      <c r="B64" s="10" t="s">
        <v>131</v>
      </c>
      <c r="C64" s="11">
        <v>5</v>
      </c>
      <c r="D64" s="12">
        <v>0</v>
      </c>
      <c r="E64" s="12">
        <v>0</v>
      </c>
      <c r="F64" s="12">
        <v>3</v>
      </c>
      <c r="G64" s="12">
        <v>17</v>
      </c>
      <c r="H64" s="12">
        <v>25</v>
      </c>
      <c r="I64" s="21">
        <v>3909.0606554235337</v>
      </c>
      <c r="J64" s="21">
        <v>12043.38405036726</v>
      </c>
      <c r="K64" s="21">
        <v>24276.263822805577</v>
      </c>
      <c r="L64" s="21">
        <v>82176.096858638746</v>
      </c>
      <c r="M64" s="21">
        <v>28232.94150309973</v>
      </c>
      <c r="N64" s="21">
        <v>150637.74689033485</v>
      </c>
      <c r="O64" s="13">
        <f t="shared" si="1"/>
        <v>127.90796666362462</v>
      </c>
      <c r="P64" s="13">
        <f t="shared" si="2"/>
        <v>0</v>
      </c>
      <c r="Q64" s="13">
        <f t="shared" si="3"/>
        <v>0</v>
      </c>
      <c r="R64" s="13">
        <f t="shared" si="4"/>
        <v>3.6506966316016087</v>
      </c>
      <c r="S64" s="13">
        <f t="shared" si="5"/>
        <v>60.213350415979676</v>
      </c>
      <c r="T64" s="13">
        <f t="shared" si="6"/>
        <v>16.596105900468721</v>
      </c>
    </row>
    <row r="65" spans="1:20" x14ac:dyDescent="0.3">
      <c r="A65" s="4" t="s">
        <v>67</v>
      </c>
      <c r="B65" s="10" t="s">
        <v>132</v>
      </c>
      <c r="C65" s="11">
        <v>2</v>
      </c>
      <c r="D65" s="12">
        <v>1</v>
      </c>
      <c r="E65" s="12">
        <v>1</v>
      </c>
      <c r="F65" s="12">
        <v>10</v>
      </c>
      <c r="G65" s="12">
        <v>31</v>
      </c>
      <c r="H65" s="12">
        <v>45</v>
      </c>
      <c r="I65" s="21">
        <v>3909.0606554235337</v>
      </c>
      <c r="J65" s="21">
        <v>12043.38405036726</v>
      </c>
      <c r="K65" s="21">
        <v>24276.263822805577</v>
      </c>
      <c r="L65" s="21">
        <v>82176.096858638746</v>
      </c>
      <c r="M65" s="21">
        <v>28232.94150309973</v>
      </c>
      <c r="N65" s="21">
        <v>150637.74689033485</v>
      </c>
      <c r="O65" s="13">
        <f t="shared" si="1"/>
        <v>51.163186665449849</v>
      </c>
      <c r="P65" s="13">
        <f t="shared" si="2"/>
        <v>8.3033140504184555</v>
      </c>
      <c r="Q65" s="13">
        <f t="shared" si="3"/>
        <v>4.1192500102119558</v>
      </c>
      <c r="R65" s="13">
        <f t="shared" si="4"/>
        <v>12.168988772005362</v>
      </c>
      <c r="S65" s="13">
        <f t="shared" si="5"/>
        <v>109.80081546443353</v>
      </c>
      <c r="T65" s="13">
        <f t="shared" si="6"/>
        <v>29.872990620843698</v>
      </c>
    </row>
    <row r="66" spans="1:20" x14ac:dyDescent="0.3">
      <c r="A66" s="4" t="s">
        <v>67</v>
      </c>
      <c r="B66" s="10" t="s">
        <v>133</v>
      </c>
      <c r="C66" s="11">
        <v>1</v>
      </c>
      <c r="D66" s="12">
        <v>0</v>
      </c>
      <c r="E66" s="12">
        <v>0</v>
      </c>
      <c r="F66" s="12">
        <v>8</v>
      </c>
      <c r="G66" s="12">
        <v>35</v>
      </c>
      <c r="H66" s="12">
        <v>44</v>
      </c>
      <c r="I66" s="21">
        <v>3909.0606554235337</v>
      </c>
      <c r="J66" s="21">
        <v>12043.38405036726</v>
      </c>
      <c r="K66" s="21">
        <v>24276.263822805577</v>
      </c>
      <c r="L66" s="21">
        <v>82176.096858638746</v>
      </c>
      <c r="M66" s="21">
        <v>28232.94150309973</v>
      </c>
      <c r="N66" s="21">
        <v>150637.74689033485</v>
      </c>
      <c r="O66" s="13">
        <f t="shared" si="1"/>
        <v>25.581593332724925</v>
      </c>
      <c r="P66" s="13">
        <f t="shared" si="2"/>
        <v>0</v>
      </c>
      <c r="Q66" s="13">
        <f t="shared" si="3"/>
        <v>0</v>
      </c>
      <c r="R66" s="13">
        <f t="shared" si="4"/>
        <v>9.73519101760429</v>
      </c>
      <c r="S66" s="13">
        <f t="shared" si="5"/>
        <v>123.96866262113463</v>
      </c>
      <c r="T66" s="13">
        <f t="shared" si="6"/>
        <v>29.209146384824948</v>
      </c>
    </row>
  </sheetData>
  <autoFilter ref="A1:T66" xr:uid="{64248C2D-D520-4E99-A913-DC20FCD8B0CB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3CDD6-832A-4EC4-A288-6DB963E0E057}">
  <dimension ref="A1:N105"/>
  <sheetViews>
    <sheetView tabSelected="1" workbookViewId="0">
      <pane xSplit="2" ySplit="1" topLeftCell="C3" activePane="bottomRight" state="frozen"/>
      <selection pane="topRight" activeCell="C1" sqref="C1"/>
      <selection pane="bottomLeft" activeCell="A2" sqref="A2"/>
      <selection pane="bottomRight" activeCell="L18" sqref="L18:L89"/>
    </sheetView>
  </sheetViews>
  <sheetFormatPr defaultRowHeight="14.4" x14ac:dyDescent="0.3"/>
  <cols>
    <col min="2" max="2" width="9.44140625" bestFit="1" customWidth="1"/>
    <col min="3" max="3" width="14.21875" bestFit="1" customWidth="1"/>
    <col min="4" max="4" width="12.6640625" bestFit="1" customWidth="1"/>
    <col min="5" max="6" width="13.77734375" bestFit="1" customWidth="1"/>
    <col min="7" max="7" width="11.6640625" bestFit="1" customWidth="1"/>
    <col min="8" max="8" width="20" customWidth="1"/>
    <col min="9" max="9" width="11.6640625" bestFit="1" customWidth="1"/>
    <col min="10" max="10" width="12.6640625" bestFit="1" customWidth="1"/>
    <col min="11" max="12" width="13.77734375" bestFit="1" customWidth="1"/>
    <col min="13" max="13" width="14.33203125" bestFit="1" customWidth="1"/>
    <col min="14" max="14" width="12.77734375" bestFit="1" customWidth="1"/>
  </cols>
  <sheetData>
    <row r="1" spans="1:14" x14ac:dyDescent="0.3">
      <c r="A1" s="4" t="s">
        <v>66</v>
      </c>
      <c r="B1" s="15" t="s">
        <v>65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150</v>
      </c>
      <c r="N1" s="1" t="s">
        <v>72</v>
      </c>
    </row>
    <row r="2" spans="1:14" x14ac:dyDescent="0.3">
      <c r="A2" s="4" t="s">
        <v>67</v>
      </c>
      <c r="B2" s="5" t="s">
        <v>13</v>
      </c>
      <c r="C2" s="16">
        <v>0</v>
      </c>
      <c r="D2" s="17"/>
      <c r="E2" s="16">
        <v>0</v>
      </c>
      <c r="F2" s="16">
        <v>7.1428571428571425E-2</v>
      </c>
      <c r="G2" s="16">
        <v>0.19148936170212766</v>
      </c>
      <c r="H2" s="16">
        <v>0.15151515151515152</v>
      </c>
      <c r="I2">
        <f>C2*100</f>
        <v>0</v>
      </c>
      <c r="K2">
        <f t="shared" ref="K2:N2" si="0">E2*100</f>
        <v>0</v>
      </c>
      <c r="L2">
        <f t="shared" si="0"/>
        <v>7.1428571428571423</v>
      </c>
      <c r="M2">
        <f t="shared" si="0"/>
        <v>19.148936170212767</v>
      </c>
      <c r="N2">
        <f t="shared" si="0"/>
        <v>15.151515151515152</v>
      </c>
    </row>
    <row r="3" spans="1:14" x14ac:dyDescent="0.3">
      <c r="A3" s="4" t="s">
        <v>67</v>
      </c>
      <c r="B3" s="5" t="s">
        <v>14</v>
      </c>
      <c r="C3" s="5"/>
      <c r="D3" s="17">
        <v>0</v>
      </c>
      <c r="E3" s="4"/>
      <c r="F3" s="16">
        <v>0</v>
      </c>
      <c r="G3" s="16">
        <v>0.1111111111111111</v>
      </c>
      <c r="H3" s="16">
        <v>0.08</v>
      </c>
      <c r="J3">
        <f t="shared" ref="J3:J54" si="1">D3*100</f>
        <v>0</v>
      </c>
      <c r="L3">
        <f t="shared" ref="L3:L66" si="2">F3*100</f>
        <v>0</v>
      </c>
      <c r="M3">
        <f t="shared" ref="M3:M66" si="3">G3*100</f>
        <v>11.111111111111111</v>
      </c>
      <c r="N3">
        <f t="shared" ref="N3:N66" si="4">H3*100</f>
        <v>8</v>
      </c>
    </row>
    <row r="4" spans="1:14" x14ac:dyDescent="0.3">
      <c r="A4" s="4" t="s">
        <v>67</v>
      </c>
      <c r="B4" s="5" t="s">
        <v>15</v>
      </c>
      <c r="C4" s="23">
        <v>0</v>
      </c>
      <c r="D4" s="6"/>
      <c r="E4" s="4"/>
      <c r="F4" s="16">
        <v>0</v>
      </c>
      <c r="G4" s="16">
        <v>0.10526315789473684</v>
      </c>
      <c r="H4" s="16">
        <v>6.8965517241379309E-2</v>
      </c>
      <c r="I4">
        <f t="shared" ref="I4:I62" si="5">C4*100</f>
        <v>0</v>
      </c>
      <c r="L4">
        <f t="shared" si="2"/>
        <v>0</v>
      </c>
      <c r="M4">
        <f t="shared" si="3"/>
        <v>10.526315789473683</v>
      </c>
      <c r="N4">
        <f t="shared" si="4"/>
        <v>6.8965517241379306</v>
      </c>
    </row>
    <row r="5" spans="1:14" x14ac:dyDescent="0.3">
      <c r="A5" s="4" t="s">
        <v>67</v>
      </c>
      <c r="B5" s="5" t="s">
        <v>16</v>
      </c>
      <c r="C5" s="16">
        <v>0</v>
      </c>
      <c r="D5" s="17">
        <v>0</v>
      </c>
      <c r="E5" s="16">
        <v>0</v>
      </c>
      <c r="F5" s="16">
        <v>9.0909090909090912E-2</v>
      </c>
      <c r="G5" s="16">
        <v>9.5238095238095233E-2</v>
      </c>
      <c r="H5" s="16">
        <v>8.5714285714285715E-2</v>
      </c>
      <c r="I5">
        <f t="shared" si="5"/>
        <v>0</v>
      </c>
      <c r="J5">
        <f t="shared" si="1"/>
        <v>0</v>
      </c>
      <c r="K5">
        <f t="shared" ref="K5:K62" si="6">E5*100</f>
        <v>0</v>
      </c>
      <c r="L5">
        <f t="shared" si="2"/>
        <v>9.0909090909090917</v>
      </c>
      <c r="M5">
        <f t="shared" si="3"/>
        <v>9.5238095238095237</v>
      </c>
      <c r="N5">
        <f t="shared" si="4"/>
        <v>8.5714285714285712</v>
      </c>
    </row>
    <row r="6" spans="1:14" x14ac:dyDescent="0.3">
      <c r="A6" s="4" t="s">
        <v>67</v>
      </c>
      <c r="B6" s="5" t="s">
        <v>17</v>
      </c>
      <c r="C6" s="16"/>
      <c r="D6" s="17"/>
      <c r="E6" s="4"/>
      <c r="F6" s="16">
        <v>0</v>
      </c>
      <c r="G6" s="16">
        <v>9.0909090909090912E-2</v>
      </c>
      <c r="H6" s="16">
        <v>7.6923076923076927E-2</v>
      </c>
      <c r="L6">
        <f t="shared" si="2"/>
        <v>0</v>
      </c>
      <c r="M6">
        <f t="shared" si="3"/>
        <v>9.0909090909090917</v>
      </c>
      <c r="N6">
        <f t="shared" si="4"/>
        <v>7.6923076923076925</v>
      </c>
    </row>
    <row r="7" spans="1:14" x14ac:dyDescent="0.3">
      <c r="A7" s="4" t="s">
        <v>67</v>
      </c>
      <c r="B7" s="5" t="s">
        <v>18</v>
      </c>
      <c r="C7" s="16"/>
      <c r="D7" s="17"/>
      <c r="E7" s="16">
        <v>0</v>
      </c>
      <c r="F7" s="16">
        <v>0</v>
      </c>
      <c r="G7" s="16">
        <v>0</v>
      </c>
      <c r="H7" s="16">
        <v>0</v>
      </c>
      <c r="K7">
        <f t="shared" si="6"/>
        <v>0</v>
      </c>
      <c r="L7">
        <f t="shared" si="2"/>
        <v>0</v>
      </c>
      <c r="M7">
        <f t="shared" si="3"/>
        <v>0</v>
      </c>
      <c r="N7">
        <f t="shared" si="4"/>
        <v>0</v>
      </c>
    </row>
    <row r="8" spans="1:14" x14ac:dyDescent="0.3">
      <c r="A8" s="4" t="s">
        <v>67</v>
      </c>
      <c r="B8" s="5" t="s">
        <v>19</v>
      </c>
      <c r="C8" s="16"/>
      <c r="D8" s="18"/>
      <c r="E8" s="16">
        <v>0</v>
      </c>
      <c r="F8" s="16">
        <v>0</v>
      </c>
      <c r="G8" s="16">
        <v>0.10526315789473684</v>
      </c>
      <c r="H8" s="16">
        <v>7.1428571428571425E-2</v>
      </c>
      <c r="K8">
        <f t="shared" si="6"/>
        <v>0</v>
      </c>
      <c r="L8">
        <f t="shared" si="2"/>
        <v>0</v>
      </c>
      <c r="M8">
        <f t="shared" si="3"/>
        <v>10.526315789473683</v>
      </c>
      <c r="N8">
        <f t="shared" si="4"/>
        <v>7.1428571428571423</v>
      </c>
    </row>
    <row r="9" spans="1:14" x14ac:dyDescent="0.3">
      <c r="A9" s="4" t="s">
        <v>67</v>
      </c>
      <c r="B9" s="5" t="s">
        <v>20</v>
      </c>
      <c r="C9" s="4"/>
      <c r="D9" s="17">
        <v>0</v>
      </c>
      <c r="E9" s="16">
        <v>0</v>
      </c>
      <c r="F9" s="16">
        <v>0</v>
      </c>
      <c r="G9" s="16">
        <v>0</v>
      </c>
      <c r="H9" s="16">
        <v>0</v>
      </c>
      <c r="J9">
        <f t="shared" si="1"/>
        <v>0</v>
      </c>
      <c r="K9">
        <f t="shared" si="6"/>
        <v>0</v>
      </c>
      <c r="L9">
        <f t="shared" si="2"/>
        <v>0</v>
      </c>
      <c r="M9">
        <f t="shared" si="3"/>
        <v>0</v>
      </c>
      <c r="N9">
        <f t="shared" si="4"/>
        <v>0</v>
      </c>
    </row>
    <row r="10" spans="1:14" x14ac:dyDescent="0.3">
      <c r="A10" s="4" t="s">
        <v>67</v>
      </c>
      <c r="B10" s="5" t="s">
        <v>21</v>
      </c>
      <c r="C10" s="4"/>
      <c r="D10" s="17">
        <v>0</v>
      </c>
      <c r="E10" s="4"/>
      <c r="F10" s="16">
        <v>0</v>
      </c>
      <c r="G10" s="16">
        <v>0</v>
      </c>
      <c r="H10" s="16">
        <v>0</v>
      </c>
      <c r="J10">
        <f t="shared" si="1"/>
        <v>0</v>
      </c>
      <c r="L10">
        <f t="shared" si="2"/>
        <v>0</v>
      </c>
      <c r="M10">
        <f t="shared" si="3"/>
        <v>0</v>
      </c>
      <c r="N10">
        <f t="shared" si="4"/>
        <v>0</v>
      </c>
    </row>
    <row r="11" spans="1:14" x14ac:dyDescent="0.3">
      <c r="A11" s="4" t="s">
        <v>67</v>
      </c>
      <c r="B11" s="5" t="s">
        <v>22</v>
      </c>
      <c r="C11" s="16"/>
      <c r="D11" s="6"/>
      <c r="E11" s="4"/>
      <c r="F11" s="16">
        <v>0</v>
      </c>
      <c r="G11" s="16">
        <v>5.5555555555555552E-2</v>
      </c>
      <c r="H11" s="16">
        <v>4.3478260869565216E-2</v>
      </c>
      <c r="L11">
        <f t="shared" si="2"/>
        <v>0</v>
      </c>
      <c r="M11">
        <f t="shared" si="3"/>
        <v>5.5555555555555554</v>
      </c>
      <c r="N11">
        <f t="shared" si="4"/>
        <v>4.3478260869565215</v>
      </c>
    </row>
    <row r="12" spans="1:14" x14ac:dyDescent="0.3">
      <c r="A12" s="4" t="s">
        <v>67</v>
      </c>
      <c r="B12" s="5" t="s">
        <v>23</v>
      </c>
      <c r="C12" s="16">
        <v>0</v>
      </c>
      <c r="D12" s="6"/>
      <c r="E12" s="4"/>
      <c r="F12" s="16">
        <v>0</v>
      </c>
      <c r="G12" s="16">
        <v>5.5555555555555552E-2</v>
      </c>
      <c r="H12" s="16">
        <v>4.3478260869565216E-2</v>
      </c>
      <c r="I12">
        <f t="shared" si="5"/>
        <v>0</v>
      </c>
      <c r="L12">
        <f t="shared" si="2"/>
        <v>0</v>
      </c>
      <c r="M12">
        <f t="shared" si="3"/>
        <v>5.5555555555555554</v>
      </c>
      <c r="N12">
        <f t="shared" si="4"/>
        <v>4.3478260869565215</v>
      </c>
    </row>
    <row r="13" spans="1:14" x14ac:dyDescent="0.3">
      <c r="A13" s="4" t="s">
        <v>67</v>
      </c>
      <c r="B13" s="5" t="s">
        <v>24</v>
      </c>
      <c r="C13" s="16">
        <v>0</v>
      </c>
      <c r="D13" s="17">
        <v>0</v>
      </c>
      <c r="E13" s="16">
        <v>0</v>
      </c>
      <c r="F13" s="16">
        <v>0</v>
      </c>
      <c r="G13" s="16">
        <v>0</v>
      </c>
      <c r="H13" s="16">
        <v>0</v>
      </c>
      <c r="I13">
        <f t="shared" si="5"/>
        <v>0</v>
      </c>
      <c r="J13">
        <f t="shared" si="1"/>
        <v>0</v>
      </c>
      <c r="K13">
        <f t="shared" si="6"/>
        <v>0</v>
      </c>
      <c r="L13">
        <f t="shared" si="2"/>
        <v>0</v>
      </c>
      <c r="M13">
        <f t="shared" si="3"/>
        <v>0</v>
      </c>
      <c r="N13">
        <f t="shared" si="4"/>
        <v>0</v>
      </c>
    </row>
    <row r="14" spans="1:14" x14ac:dyDescent="0.3">
      <c r="A14" s="4" t="s">
        <v>67</v>
      </c>
      <c r="B14" s="5" t="s">
        <v>25</v>
      </c>
      <c r="C14" s="4"/>
      <c r="D14" s="17"/>
      <c r="E14" s="16">
        <v>0</v>
      </c>
      <c r="F14" s="16">
        <v>0</v>
      </c>
      <c r="G14" s="16">
        <v>0</v>
      </c>
      <c r="H14" s="16">
        <v>0</v>
      </c>
      <c r="K14">
        <f t="shared" si="6"/>
        <v>0</v>
      </c>
      <c r="L14">
        <f t="shared" si="2"/>
        <v>0</v>
      </c>
      <c r="M14">
        <f t="shared" si="3"/>
        <v>0</v>
      </c>
      <c r="N14">
        <f t="shared" si="4"/>
        <v>0</v>
      </c>
    </row>
    <row r="15" spans="1:14" x14ac:dyDescent="0.3">
      <c r="A15" s="4" t="s">
        <v>67</v>
      </c>
      <c r="B15" s="5" t="s">
        <v>26</v>
      </c>
      <c r="C15" s="4"/>
      <c r="D15" s="6"/>
      <c r="E15" s="4"/>
      <c r="F15" s="16">
        <v>0</v>
      </c>
      <c r="G15" s="16">
        <v>0</v>
      </c>
      <c r="H15" s="16">
        <v>0</v>
      </c>
      <c r="L15">
        <f t="shared" si="2"/>
        <v>0</v>
      </c>
      <c r="M15">
        <f t="shared" si="3"/>
        <v>0</v>
      </c>
      <c r="N15">
        <f t="shared" si="4"/>
        <v>0</v>
      </c>
    </row>
    <row r="16" spans="1:14" x14ac:dyDescent="0.3">
      <c r="A16" s="4" t="s">
        <v>67</v>
      </c>
      <c r="B16" s="5" t="s">
        <v>27</v>
      </c>
      <c r="C16" s="16">
        <v>0</v>
      </c>
      <c r="D16" s="18"/>
      <c r="E16" s="16">
        <v>0</v>
      </c>
      <c r="F16" s="16">
        <v>0</v>
      </c>
      <c r="G16" s="16">
        <v>0</v>
      </c>
      <c r="H16" s="16">
        <v>0</v>
      </c>
      <c r="I16">
        <f t="shared" si="5"/>
        <v>0</v>
      </c>
      <c r="K16">
        <f t="shared" si="6"/>
        <v>0</v>
      </c>
      <c r="L16">
        <f t="shared" si="2"/>
        <v>0</v>
      </c>
      <c r="M16">
        <f t="shared" si="3"/>
        <v>0</v>
      </c>
      <c r="N16">
        <f t="shared" si="4"/>
        <v>0</v>
      </c>
    </row>
    <row r="17" spans="1:14" x14ac:dyDescent="0.3">
      <c r="A17" s="4" t="s">
        <v>67</v>
      </c>
      <c r="B17" s="5" t="s">
        <v>28</v>
      </c>
      <c r="C17" s="4"/>
      <c r="D17" s="17"/>
      <c r="E17" s="16">
        <v>0</v>
      </c>
      <c r="F17" s="16">
        <v>0</v>
      </c>
      <c r="G17" s="16">
        <v>0</v>
      </c>
      <c r="H17" s="16">
        <v>0</v>
      </c>
      <c r="K17">
        <f t="shared" si="6"/>
        <v>0</v>
      </c>
      <c r="L17">
        <f t="shared" si="2"/>
        <v>0</v>
      </c>
      <c r="M17">
        <f t="shared" si="3"/>
        <v>0</v>
      </c>
      <c r="N17">
        <f t="shared" si="4"/>
        <v>0</v>
      </c>
    </row>
    <row r="18" spans="1:14" x14ac:dyDescent="0.3">
      <c r="A18" s="4" t="s">
        <v>67</v>
      </c>
      <c r="B18" s="5" t="s">
        <v>29</v>
      </c>
      <c r="C18" s="16"/>
      <c r="D18" s="17"/>
      <c r="E18" s="16">
        <v>0</v>
      </c>
      <c r="F18" s="16"/>
      <c r="G18" s="16">
        <v>0.13333333333333333</v>
      </c>
      <c r="H18" s="16">
        <v>0.125</v>
      </c>
      <c r="K18">
        <f t="shared" si="6"/>
        <v>0</v>
      </c>
      <c r="M18">
        <f t="shared" si="3"/>
        <v>13.333333333333334</v>
      </c>
      <c r="N18">
        <f t="shared" si="4"/>
        <v>12.5</v>
      </c>
    </row>
    <row r="19" spans="1:14" x14ac:dyDescent="0.3">
      <c r="A19" s="4" t="s">
        <v>67</v>
      </c>
      <c r="B19" s="5" t="s">
        <v>30</v>
      </c>
      <c r="C19" s="16"/>
      <c r="D19" s="17">
        <v>0</v>
      </c>
      <c r="E19" s="16">
        <v>0</v>
      </c>
      <c r="F19" s="16">
        <v>0</v>
      </c>
      <c r="G19" s="16">
        <v>0.125</v>
      </c>
      <c r="H19" s="16">
        <v>8.3333333333333329E-2</v>
      </c>
      <c r="J19">
        <f t="shared" si="1"/>
        <v>0</v>
      </c>
      <c r="K19">
        <f t="shared" si="6"/>
        <v>0</v>
      </c>
      <c r="L19">
        <f t="shared" si="2"/>
        <v>0</v>
      </c>
      <c r="M19">
        <f t="shared" si="3"/>
        <v>12.5</v>
      </c>
      <c r="N19">
        <f t="shared" si="4"/>
        <v>8.3333333333333321</v>
      </c>
    </row>
    <row r="20" spans="1:14" x14ac:dyDescent="0.3">
      <c r="A20" s="4" t="s">
        <v>67</v>
      </c>
      <c r="B20" s="5" t="s">
        <v>31</v>
      </c>
      <c r="C20" s="16"/>
      <c r="D20" s="17">
        <v>0</v>
      </c>
      <c r="E20" s="4"/>
      <c r="F20" s="16">
        <v>0</v>
      </c>
      <c r="G20" s="16">
        <v>5.8823529411764705E-2</v>
      </c>
      <c r="H20" s="16">
        <v>4.7619047619047616E-2</v>
      </c>
      <c r="J20">
        <f t="shared" si="1"/>
        <v>0</v>
      </c>
      <c r="L20">
        <f t="shared" si="2"/>
        <v>0</v>
      </c>
      <c r="M20">
        <f t="shared" si="3"/>
        <v>5.8823529411764701</v>
      </c>
      <c r="N20">
        <f t="shared" si="4"/>
        <v>4.7619047619047619</v>
      </c>
    </row>
    <row r="21" spans="1:14" x14ac:dyDescent="0.3">
      <c r="A21" s="4" t="s">
        <v>67</v>
      </c>
      <c r="B21" s="5" t="s">
        <v>32</v>
      </c>
      <c r="C21" s="16"/>
      <c r="D21" s="6"/>
      <c r="E21" s="4"/>
      <c r="F21" s="16">
        <v>0</v>
      </c>
      <c r="G21" s="16">
        <v>0</v>
      </c>
      <c r="H21" s="16">
        <v>0</v>
      </c>
      <c r="L21">
        <f t="shared" si="2"/>
        <v>0</v>
      </c>
      <c r="M21">
        <f t="shared" si="3"/>
        <v>0</v>
      </c>
      <c r="N21">
        <f t="shared" si="4"/>
        <v>0</v>
      </c>
    </row>
    <row r="22" spans="1:14" x14ac:dyDescent="0.3">
      <c r="A22" s="4" t="s">
        <v>67</v>
      </c>
      <c r="B22" s="5" t="s">
        <v>33</v>
      </c>
      <c r="C22" s="16">
        <v>0</v>
      </c>
      <c r="D22" s="17"/>
      <c r="E22" s="16"/>
      <c r="F22" s="16">
        <v>0</v>
      </c>
      <c r="G22" s="16">
        <v>0.16666666666666666</v>
      </c>
      <c r="H22" s="16">
        <v>0.14285714285714285</v>
      </c>
      <c r="I22">
        <f t="shared" si="5"/>
        <v>0</v>
      </c>
      <c r="L22">
        <f t="shared" si="2"/>
        <v>0</v>
      </c>
      <c r="M22">
        <f t="shared" si="3"/>
        <v>16.666666666666664</v>
      </c>
      <c r="N22">
        <f t="shared" si="4"/>
        <v>14.285714285714285</v>
      </c>
    </row>
    <row r="23" spans="1:14" x14ac:dyDescent="0.3">
      <c r="A23" s="4" t="s">
        <v>67</v>
      </c>
      <c r="B23" s="5" t="s">
        <v>34</v>
      </c>
      <c r="C23" s="16"/>
      <c r="D23" s="18"/>
      <c r="E23" s="16"/>
      <c r="F23" s="16">
        <v>0</v>
      </c>
      <c r="G23" s="16">
        <v>9.0909090909090912E-2</v>
      </c>
      <c r="H23" s="16">
        <v>7.6923076923076927E-2</v>
      </c>
      <c r="L23">
        <f t="shared" si="2"/>
        <v>0</v>
      </c>
      <c r="M23">
        <f t="shared" si="3"/>
        <v>9.0909090909090917</v>
      </c>
      <c r="N23">
        <f t="shared" si="4"/>
        <v>7.6923076923076925</v>
      </c>
    </row>
    <row r="24" spans="1:14" x14ac:dyDescent="0.3">
      <c r="A24" s="4" t="s">
        <v>67</v>
      </c>
      <c r="B24" s="5" t="s">
        <v>35</v>
      </c>
      <c r="C24" s="16"/>
      <c r="D24" s="17">
        <v>0</v>
      </c>
      <c r="E24" s="4"/>
      <c r="F24" s="16">
        <v>0</v>
      </c>
      <c r="G24" s="16">
        <v>0</v>
      </c>
      <c r="H24" s="16">
        <v>0</v>
      </c>
      <c r="J24">
        <f t="shared" si="1"/>
        <v>0</v>
      </c>
      <c r="L24">
        <f t="shared" si="2"/>
        <v>0</v>
      </c>
      <c r="M24">
        <f t="shared" si="3"/>
        <v>0</v>
      </c>
      <c r="N24">
        <f t="shared" si="4"/>
        <v>0</v>
      </c>
    </row>
    <row r="25" spans="1:14" x14ac:dyDescent="0.3">
      <c r="A25" s="4" t="s">
        <v>67</v>
      </c>
      <c r="B25" s="5" t="s">
        <v>36</v>
      </c>
      <c r="C25" s="16"/>
      <c r="D25" s="18"/>
      <c r="E25" s="16">
        <v>0</v>
      </c>
      <c r="F25" s="16">
        <v>0.25</v>
      </c>
      <c r="G25" s="16">
        <v>0.1</v>
      </c>
      <c r="H25" s="16">
        <v>0.15789473684210525</v>
      </c>
      <c r="K25">
        <f t="shared" si="6"/>
        <v>0</v>
      </c>
      <c r="L25">
        <f t="shared" si="2"/>
        <v>25</v>
      </c>
      <c r="M25">
        <f t="shared" si="3"/>
        <v>10</v>
      </c>
      <c r="N25">
        <f t="shared" si="4"/>
        <v>15.789473684210526</v>
      </c>
    </row>
    <row r="26" spans="1:14" x14ac:dyDescent="0.3">
      <c r="A26" s="4" t="s">
        <v>67</v>
      </c>
      <c r="B26" s="5" t="s">
        <v>37</v>
      </c>
      <c r="C26" s="16">
        <v>0</v>
      </c>
      <c r="D26" s="17">
        <v>0</v>
      </c>
      <c r="E26" s="4"/>
      <c r="F26" s="16">
        <v>0</v>
      </c>
      <c r="G26" s="16">
        <v>0.6</v>
      </c>
      <c r="H26" s="16">
        <v>0.375</v>
      </c>
      <c r="I26">
        <f t="shared" si="5"/>
        <v>0</v>
      </c>
      <c r="J26">
        <f t="shared" si="1"/>
        <v>0</v>
      </c>
      <c r="L26">
        <f t="shared" si="2"/>
        <v>0</v>
      </c>
      <c r="M26">
        <f t="shared" si="3"/>
        <v>60</v>
      </c>
      <c r="N26">
        <f t="shared" si="4"/>
        <v>37.5</v>
      </c>
    </row>
    <row r="27" spans="1:14" x14ac:dyDescent="0.3">
      <c r="A27" s="4" t="s">
        <v>67</v>
      </c>
      <c r="B27" s="5" t="s">
        <v>38</v>
      </c>
      <c r="C27" s="4"/>
      <c r="D27" s="6"/>
      <c r="E27" s="4"/>
      <c r="F27" s="16">
        <v>0.33333333333333331</v>
      </c>
      <c r="G27" s="16">
        <v>0.18181818181818182</v>
      </c>
      <c r="H27" s="16">
        <v>0.2</v>
      </c>
      <c r="L27">
        <f t="shared" si="2"/>
        <v>33.333333333333329</v>
      </c>
      <c r="M27">
        <f t="shared" si="3"/>
        <v>18.181818181818183</v>
      </c>
      <c r="N27">
        <f t="shared" si="4"/>
        <v>20</v>
      </c>
    </row>
    <row r="28" spans="1:14" x14ac:dyDescent="0.3">
      <c r="A28" s="4" t="s">
        <v>67</v>
      </c>
      <c r="B28" s="5" t="s">
        <v>39</v>
      </c>
      <c r="C28" s="4"/>
      <c r="D28" s="6"/>
      <c r="E28" s="4"/>
      <c r="F28" s="16">
        <v>0</v>
      </c>
      <c r="G28" s="16">
        <v>0.125</v>
      </c>
      <c r="H28" s="16">
        <v>9.5238095238095233E-2</v>
      </c>
      <c r="L28">
        <f t="shared" si="2"/>
        <v>0</v>
      </c>
      <c r="M28">
        <f t="shared" si="3"/>
        <v>12.5</v>
      </c>
      <c r="N28">
        <f t="shared" si="4"/>
        <v>9.5238095238095237</v>
      </c>
    </row>
    <row r="29" spans="1:14" x14ac:dyDescent="0.3">
      <c r="A29" s="4" t="s">
        <v>67</v>
      </c>
      <c r="B29" s="5" t="s">
        <v>40</v>
      </c>
      <c r="C29" s="16"/>
      <c r="D29" s="17">
        <v>0</v>
      </c>
      <c r="E29" s="16">
        <v>0</v>
      </c>
      <c r="F29" s="16">
        <v>0.2</v>
      </c>
      <c r="G29" s="16">
        <v>0.41176470588235292</v>
      </c>
      <c r="H29" s="16">
        <v>0.33333333333333331</v>
      </c>
      <c r="J29">
        <f t="shared" si="1"/>
        <v>0</v>
      </c>
      <c r="K29">
        <f t="shared" si="6"/>
        <v>0</v>
      </c>
      <c r="L29">
        <f t="shared" si="2"/>
        <v>20</v>
      </c>
      <c r="M29">
        <f t="shared" si="3"/>
        <v>41.17647058823529</v>
      </c>
      <c r="N29">
        <f t="shared" si="4"/>
        <v>33.333333333333329</v>
      </c>
    </row>
    <row r="30" spans="1:14" x14ac:dyDescent="0.3">
      <c r="A30" s="4" t="s">
        <v>67</v>
      </c>
      <c r="B30" s="5" t="s">
        <v>41</v>
      </c>
      <c r="C30" s="4"/>
      <c r="D30" s="6"/>
      <c r="E30" s="4"/>
      <c r="F30" s="16">
        <v>1</v>
      </c>
      <c r="G30" s="16">
        <v>0.125</v>
      </c>
      <c r="H30" s="16">
        <v>0.22222222222222221</v>
      </c>
      <c r="L30">
        <f t="shared" si="2"/>
        <v>100</v>
      </c>
      <c r="M30">
        <f t="shared" si="3"/>
        <v>12.5</v>
      </c>
      <c r="N30">
        <f t="shared" si="4"/>
        <v>22.222222222222221</v>
      </c>
    </row>
    <row r="31" spans="1:14" x14ac:dyDescent="0.3">
      <c r="A31" s="4" t="s">
        <v>67</v>
      </c>
      <c r="B31" s="5" t="s">
        <v>42</v>
      </c>
      <c r="C31" s="16">
        <v>0</v>
      </c>
      <c r="D31" s="18"/>
      <c r="E31" s="16">
        <v>0</v>
      </c>
      <c r="F31" s="4"/>
      <c r="G31" s="16">
        <v>0.125</v>
      </c>
      <c r="H31" s="16">
        <v>8.3333333333333329E-2</v>
      </c>
      <c r="I31">
        <f t="shared" si="5"/>
        <v>0</v>
      </c>
      <c r="K31">
        <f t="shared" si="6"/>
        <v>0</v>
      </c>
      <c r="M31">
        <f t="shared" si="3"/>
        <v>12.5</v>
      </c>
      <c r="N31">
        <f t="shared" si="4"/>
        <v>8.3333333333333321</v>
      </c>
    </row>
    <row r="32" spans="1:14" x14ac:dyDescent="0.3">
      <c r="A32" s="4" t="s">
        <v>67</v>
      </c>
      <c r="B32" s="5" t="s">
        <v>43</v>
      </c>
      <c r="C32" s="4"/>
      <c r="D32" s="17"/>
      <c r="E32" s="16">
        <v>0</v>
      </c>
      <c r="F32" s="16">
        <v>0</v>
      </c>
      <c r="G32" s="16">
        <v>0.23076923076923078</v>
      </c>
      <c r="H32" s="16">
        <v>0.14285714285714285</v>
      </c>
      <c r="K32">
        <f t="shared" si="6"/>
        <v>0</v>
      </c>
      <c r="L32">
        <f t="shared" si="2"/>
        <v>0</v>
      </c>
      <c r="M32">
        <f t="shared" si="3"/>
        <v>23.076923076923077</v>
      </c>
      <c r="N32">
        <f t="shared" si="4"/>
        <v>14.285714285714285</v>
      </c>
    </row>
    <row r="33" spans="1:14" x14ac:dyDescent="0.3">
      <c r="A33" s="4" t="s">
        <v>67</v>
      </c>
      <c r="B33" s="5" t="s">
        <v>44</v>
      </c>
      <c r="C33" s="4"/>
      <c r="D33" s="17">
        <v>0</v>
      </c>
      <c r="E33" s="4"/>
      <c r="F33" s="16">
        <v>0</v>
      </c>
      <c r="G33" s="16">
        <v>0.1</v>
      </c>
      <c r="H33" s="16">
        <v>9.0909090909090912E-2</v>
      </c>
      <c r="J33">
        <f t="shared" si="1"/>
        <v>0</v>
      </c>
      <c r="L33">
        <f t="shared" si="2"/>
        <v>0</v>
      </c>
      <c r="M33">
        <f t="shared" si="3"/>
        <v>10</v>
      </c>
      <c r="N33">
        <f t="shared" si="4"/>
        <v>9.0909090909090917</v>
      </c>
    </row>
    <row r="34" spans="1:14" x14ac:dyDescent="0.3">
      <c r="A34" s="4" t="s">
        <v>67</v>
      </c>
      <c r="B34" s="5" t="s">
        <v>45</v>
      </c>
      <c r="C34" s="16">
        <v>0</v>
      </c>
      <c r="D34" s="17"/>
      <c r="E34" s="4"/>
      <c r="F34" s="16">
        <v>0</v>
      </c>
      <c r="G34" s="16">
        <v>0.30769230769230771</v>
      </c>
      <c r="H34" s="16">
        <v>0.21052631578947367</v>
      </c>
      <c r="I34">
        <f t="shared" si="5"/>
        <v>0</v>
      </c>
      <c r="L34">
        <f t="shared" si="2"/>
        <v>0</v>
      </c>
      <c r="M34">
        <f t="shared" si="3"/>
        <v>30.76923076923077</v>
      </c>
      <c r="N34">
        <f t="shared" si="4"/>
        <v>21.052631578947366</v>
      </c>
    </row>
    <row r="35" spans="1:14" x14ac:dyDescent="0.3">
      <c r="A35" s="4" t="s">
        <v>67</v>
      </c>
      <c r="B35" s="5" t="s">
        <v>46</v>
      </c>
      <c r="C35" s="16">
        <v>0</v>
      </c>
      <c r="D35" s="17"/>
      <c r="E35" s="16">
        <v>0</v>
      </c>
      <c r="F35" s="16">
        <v>1</v>
      </c>
      <c r="G35" s="16">
        <v>9.0909090909090912E-2</v>
      </c>
      <c r="H35" s="16">
        <v>0.14285714285714285</v>
      </c>
      <c r="I35">
        <f t="shared" si="5"/>
        <v>0</v>
      </c>
      <c r="K35">
        <f t="shared" si="6"/>
        <v>0</v>
      </c>
      <c r="L35">
        <f t="shared" si="2"/>
        <v>100</v>
      </c>
      <c r="M35">
        <f t="shared" si="3"/>
        <v>9.0909090909090917</v>
      </c>
      <c r="N35">
        <f t="shared" si="4"/>
        <v>14.285714285714285</v>
      </c>
    </row>
    <row r="36" spans="1:14" x14ac:dyDescent="0.3">
      <c r="A36" s="4" t="s">
        <v>67</v>
      </c>
      <c r="B36" s="5" t="s">
        <v>47</v>
      </c>
      <c r="C36" s="16">
        <v>0</v>
      </c>
      <c r="D36" s="18"/>
      <c r="E36" s="16"/>
      <c r="F36" s="16">
        <v>0</v>
      </c>
      <c r="G36" s="16">
        <v>0.66666666666666663</v>
      </c>
      <c r="H36" s="16">
        <v>0.4</v>
      </c>
      <c r="I36">
        <f t="shared" si="5"/>
        <v>0</v>
      </c>
      <c r="L36">
        <f t="shared" si="2"/>
        <v>0</v>
      </c>
      <c r="M36">
        <f t="shared" si="3"/>
        <v>66.666666666666657</v>
      </c>
      <c r="N36">
        <f t="shared" si="4"/>
        <v>40</v>
      </c>
    </row>
    <row r="37" spans="1:14" x14ac:dyDescent="0.3">
      <c r="A37" s="4" t="s">
        <v>67</v>
      </c>
      <c r="B37" s="5" t="s">
        <v>48</v>
      </c>
      <c r="C37" s="16"/>
      <c r="D37" s="18"/>
      <c r="E37" s="16">
        <v>0</v>
      </c>
      <c r="F37" s="16">
        <v>0</v>
      </c>
      <c r="G37" s="16">
        <v>9.0909090909090912E-2</v>
      </c>
      <c r="H37" s="16">
        <v>6.6666666666666666E-2</v>
      </c>
      <c r="K37">
        <f t="shared" si="6"/>
        <v>0</v>
      </c>
      <c r="L37">
        <f t="shared" si="2"/>
        <v>0</v>
      </c>
      <c r="M37">
        <f t="shared" si="3"/>
        <v>9.0909090909090917</v>
      </c>
      <c r="N37">
        <f t="shared" si="4"/>
        <v>6.666666666666667</v>
      </c>
    </row>
    <row r="38" spans="1:14" x14ac:dyDescent="0.3">
      <c r="A38" s="4" t="s">
        <v>67</v>
      </c>
      <c r="B38" s="5" t="s">
        <v>49</v>
      </c>
      <c r="C38" s="16"/>
      <c r="D38" s="6"/>
      <c r="E38" s="4"/>
      <c r="F38" s="16">
        <v>0.2</v>
      </c>
      <c r="G38" s="16">
        <v>0.16666666666666666</v>
      </c>
      <c r="H38" s="16">
        <v>0.17647058823529413</v>
      </c>
      <c r="L38">
        <f t="shared" si="2"/>
        <v>20</v>
      </c>
      <c r="M38">
        <f t="shared" si="3"/>
        <v>16.666666666666664</v>
      </c>
      <c r="N38">
        <f t="shared" si="4"/>
        <v>17.647058823529413</v>
      </c>
    </row>
    <row r="39" spans="1:14" x14ac:dyDescent="0.3">
      <c r="A39" s="4" t="s">
        <v>67</v>
      </c>
      <c r="B39" s="5" t="s">
        <v>50</v>
      </c>
      <c r="C39" s="16">
        <v>0</v>
      </c>
      <c r="D39" s="18"/>
      <c r="E39" s="16">
        <v>0</v>
      </c>
      <c r="F39" s="16">
        <v>0.1</v>
      </c>
      <c r="G39" s="16">
        <v>0.1111111111111111</v>
      </c>
      <c r="H39" s="16">
        <v>9.5238095238095233E-2</v>
      </c>
      <c r="I39">
        <f t="shared" si="5"/>
        <v>0</v>
      </c>
      <c r="K39">
        <f t="shared" si="6"/>
        <v>0</v>
      </c>
      <c r="L39">
        <f t="shared" si="2"/>
        <v>10</v>
      </c>
      <c r="M39">
        <f t="shared" si="3"/>
        <v>11.111111111111111</v>
      </c>
      <c r="N39">
        <f t="shared" si="4"/>
        <v>9.5238095238095237</v>
      </c>
    </row>
    <row r="40" spans="1:14" x14ac:dyDescent="0.3">
      <c r="A40" s="4" t="s">
        <v>67</v>
      </c>
      <c r="B40" s="5" t="s">
        <v>51</v>
      </c>
      <c r="C40" s="16">
        <v>0</v>
      </c>
      <c r="D40" s="6"/>
      <c r="E40" s="4"/>
      <c r="F40" s="16">
        <v>0.25</v>
      </c>
      <c r="G40" s="16">
        <v>0.41176470588235292</v>
      </c>
      <c r="H40" s="16">
        <v>0.36363636363636365</v>
      </c>
      <c r="I40">
        <f t="shared" si="5"/>
        <v>0</v>
      </c>
      <c r="L40">
        <f t="shared" si="2"/>
        <v>25</v>
      </c>
      <c r="M40">
        <f t="shared" si="3"/>
        <v>41.17647058823529</v>
      </c>
      <c r="N40">
        <f t="shared" si="4"/>
        <v>36.363636363636367</v>
      </c>
    </row>
    <row r="41" spans="1:14" x14ac:dyDescent="0.3">
      <c r="A41" s="4" t="s">
        <v>67</v>
      </c>
      <c r="B41" s="5" t="s">
        <v>52</v>
      </c>
      <c r="C41" s="4"/>
      <c r="D41" s="18"/>
      <c r="E41" s="16"/>
      <c r="F41" s="16">
        <v>0</v>
      </c>
      <c r="G41" s="16">
        <v>0.2</v>
      </c>
      <c r="H41" s="16">
        <v>0.125</v>
      </c>
      <c r="L41">
        <f t="shared" si="2"/>
        <v>0</v>
      </c>
      <c r="M41">
        <f t="shared" si="3"/>
        <v>20</v>
      </c>
      <c r="N41">
        <f t="shared" si="4"/>
        <v>12.5</v>
      </c>
    </row>
    <row r="42" spans="1:14" x14ac:dyDescent="0.3">
      <c r="A42" s="4" t="s">
        <v>67</v>
      </c>
      <c r="B42" s="5" t="s">
        <v>53</v>
      </c>
      <c r="C42" s="16">
        <v>0</v>
      </c>
      <c r="D42" s="18"/>
      <c r="E42" s="16">
        <v>0</v>
      </c>
      <c r="F42" s="16">
        <v>0</v>
      </c>
      <c r="G42" s="16">
        <v>0.16666666666666666</v>
      </c>
      <c r="H42" s="16">
        <v>0.1111111111111111</v>
      </c>
      <c r="I42">
        <f t="shared" si="5"/>
        <v>0</v>
      </c>
      <c r="K42">
        <f t="shared" si="6"/>
        <v>0</v>
      </c>
      <c r="L42">
        <f t="shared" si="2"/>
        <v>0</v>
      </c>
      <c r="M42">
        <f t="shared" si="3"/>
        <v>16.666666666666664</v>
      </c>
      <c r="N42">
        <f t="shared" si="4"/>
        <v>11.111111111111111</v>
      </c>
    </row>
    <row r="43" spans="1:14" x14ac:dyDescent="0.3">
      <c r="A43" s="4" t="s">
        <v>67</v>
      </c>
      <c r="B43" s="5" t="s">
        <v>54</v>
      </c>
      <c r="C43" s="16"/>
      <c r="D43" s="6"/>
      <c r="E43" s="4"/>
      <c r="F43" s="16">
        <v>0</v>
      </c>
      <c r="G43" s="16">
        <v>0.38461538461538464</v>
      </c>
      <c r="H43" s="16">
        <v>0.3125</v>
      </c>
      <c r="L43">
        <f t="shared" si="2"/>
        <v>0</v>
      </c>
      <c r="M43">
        <f t="shared" si="3"/>
        <v>38.461538461538467</v>
      </c>
      <c r="N43">
        <f t="shared" si="4"/>
        <v>31.25</v>
      </c>
    </row>
    <row r="44" spans="1:14" x14ac:dyDescent="0.3">
      <c r="A44" s="4" t="s">
        <v>67</v>
      </c>
      <c r="B44" s="5" t="s">
        <v>55</v>
      </c>
      <c r="C44" s="4"/>
      <c r="D44" s="6"/>
      <c r="E44" s="4"/>
      <c r="F44" s="16">
        <v>0</v>
      </c>
      <c r="G44" s="16">
        <v>6.25E-2</v>
      </c>
      <c r="H44" s="16">
        <v>0.05</v>
      </c>
      <c r="L44">
        <f t="shared" si="2"/>
        <v>0</v>
      </c>
      <c r="M44">
        <f t="shared" si="3"/>
        <v>6.25</v>
      </c>
      <c r="N44">
        <f t="shared" si="4"/>
        <v>5</v>
      </c>
    </row>
    <row r="45" spans="1:14" x14ac:dyDescent="0.3">
      <c r="A45" s="4" t="s">
        <v>67</v>
      </c>
      <c r="B45" s="5" t="s">
        <v>56</v>
      </c>
      <c r="C45" s="4"/>
      <c r="D45" s="17"/>
      <c r="E45" s="16">
        <v>0</v>
      </c>
      <c r="F45" s="16">
        <v>0</v>
      </c>
      <c r="G45" s="16">
        <v>5.8823529411764705E-2</v>
      </c>
      <c r="H45" s="16">
        <v>4.1666666666666664E-2</v>
      </c>
      <c r="K45">
        <f t="shared" si="6"/>
        <v>0</v>
      </c>
      <c r="L45">
        <f t="shared" si="2"/>
        <v>0</v>
      </c>
      <c r="M45">
        <f t="shared" si="3"/>
        <v>5.8823529411764701</v>
      </c>
      <c r="N45">
        <f t="shared" si="4"/>
        <v>4.1666666666666661</v>
      </c>
    </row>
    <row r="46" spans="1:14" x14ac:dyDescent="0.3">
      <c r="A46" s="4" t="s">
        <v>67</v>
      </c>
      <c r="B46" s="5" t="s">
        <v>57</v>
      </c>
      <c r="C46" s="16">
        <v>0</v>
      </c>
      <c r="D46" s="17"/>
      <c r="E46" s="16"/>
      <c r="F46" s="16">
        <v>0</v>
      </c>
      <c r="G46" s="16">
        <v>0.23076923076923078</v>
      </c>
      <c r="H46" s="16">
        <v>0.15</v>
      </c>
      <c r="I46">
        <f t="shared" si="5"/>
        <v>0</v>
      </c>
      <c r="L46">
        <f t="shared" si="2"/>
        <v>0</v>
      </c>
      <c r="M46">
        <f t="shared" si="3"/>
        <v>23.076923076923077</v>
      </c>
      <c r="N46">
        <f t="shared" si="4"/>
        <v>15</v>
      </c>
    </row>
    <row r="47" spans="1:14" x14ac:dyDescent="0.3">
      <c r="A47" s="4" t="s">
        <v>67</v>
      </c>
      <c r="B47" s="5" t="s">
        <v>58</v>
      </c>
      <c r="C47" s="16">
        <v>0</v>
      </c>
      <c r="D47" s="17"/>
      <c r="E47" s="16"/>
      <c r="F47" s="16">
        <v>0</v>
      </c>
      <c r="G47" s="16">
        <v>0.22222222222222221</v>
      </c>
      <c r="H47" s="16">
        <v>0.11764705882352941</v>
      </c>
      <c r="I47">
        <f t="shared" si="5"/>
        <v>0</v>
      </c>
      <c r="L47">
        <f t="shared" si="2"/>
        <v>0</v>
      </c>
      <c r="M47">
        <f t="shared" si="3"/>
        <v>22.222222222222221</v>
      </c>
      <c r="N47">
        <f t="shared" si="4"/>
        <v>11.76470588235294</v>
      </c>
    </row>
    <row r="48" spans="1:14" x14ac:dyDescent="0.3">
      <c r="A48" s="4" t="s">
        <v>67</v>
      </c>
      <c r="B48" s="5" t="s">
        <v>59</v>
      </c>
      <c r="C48" s="16">
        <v>0</v>
      </c>
      <c r="D48" s="18"/>
      <c r="E48" s="16"/>
      <c r="F48" s="16">
        <v>0</v>
      </c>
      <c r="G48" s="16">
        <v>0.15789473684210525</v>
      </c>
      <c r="H48" s="16">
        <v>0.125</v>
      </c>
      <c r="I48">
        <f t="shared" si="5"/>
        <v>0</v>
      </c>
      <c r="L48">
        <f t="shared" si="2"/>
        <v>0</v>
      </c>
      <c r="M48">
        <f t="shared" si="3"/>
        <v>15.789473684210526</v>
      </c>
      <c r="N48">
        <f t="shared" si="4"/>
        <v>12.5</v>
      </c>
    </row>
    <row r="49" spans="1:14" x14ac:dyDescent="0.3">
      <c r="A49" s="4" t="s">
        <v>67</v>
      </c>
      <c r="B49" s="5" t="s">
        <v>60</v>
      </c>
      <c r="C49" s="16">
        <v>0</v>
      </c>
      <c r="D49" s="6"/>
      <c r="E49" s="4"/>
      <c r="F49" s="16">
        <v>0</v>
      </c>
      <c r="G49" s="16">
        <v>0.14285714285714285</v>
      </c>
      <c r="H49" s="16">
        <v>0.10526315789473684</v>
      </c>
      <c r="I49">
        <f t="shared" si="5"/>
        <v>0</v>
      </c>
      <c r="L49">
        <f t="shared" si="2"/>
        <v>0</v>
      </c>
      <c r="M49">
        <f t="shared" si="3"/>
        <v>14.285714285714285</v>
      </c>
      <c r="N49">
        <f t="shared" si="4"/>
        <v>10.526315789473683</v>
      </c>
    </row>
    <row r="50" spans="1:14" x14ac:dyDescent="0.3">
      <c r="A50" s="4" t="s">
        <v>67</v>
      </c>
      <c r="B50" s="5" t="s">
        <v>61</v>
      </c>
      <c r="C50" s="16">
        <v>0</v>
      </c>
      <c r="D50" s="6"/>
      <c r="E50" s="4"/>
      <c r="F50" s="16">
        <v>0</v>
      </c>
      <c r="G50" s="16">
        <v>4.1666666666666664E-2</v>
      </c>
      <c r="H50" s="16">
        <v>3.125E-2</v>
      </c>
      <c r="I50">
        <f t="shared" si="5"/>
        <v>0</v>
      </c>
      <c r="L50">
        <f t="shared" si="2"/>
        <v>0</v>
      </c>
      <c r="M50">
        <f t="shared" si="3"/>
        <v>4.1666666666666661</v>
      </c>
      <c r="N50">
        <f t="shared" si="4"/>
        <v>3.125</v>
      </c>
    </row>
    <row r="51" spans="1:14" x14ac:dyDescent="0.3">
      <c r="A51" s="4" t="s">
        <v>67</v>
      </c>
      <c r="B51" s="5" t="s">
        <v>62</v>
      </c>
      <c r="C51" s="16"/>
      <c r="D51" s="17"/>
      <c r="E51" s="4"/>
      <c r="F51" s="16">
        <v>0.16666666666666666</v>
      </c>
      <c r="G51" s="16">
        <v>9.0909090909090912E-2</v>
      </c>
      <c r="H51" s="16">
        <v>0.10714285714285714</v>
      </c>
      <c r="L51">
        <f t="shared" si="2"/>
        <v>16.666666666666664</v>
      </c>
      <c r="M51">
        <f t="shared" si="3"/>
        <v>9.0909090909090917</v>
      </c>
      <c r="N51">
        <f t="shared" si="4"/>
        <v>10.714285714285714</v>
      </c>
    </row>
    <row r="52" spans="1:14" x14ac:dyDescent="0.3">
      <c r="A52" s="4" t="s">
        <v>67</v>
      </c>
      <c r="B52" s="5" t="s">
        <v>63</v>
      </c>
      <c r="C52" s="5"/>
      <c r="D52" s="6"/>
      <c r="E52" s="23">
        <v>0</v>
      </c>
      <c r="F52" s="16">
        <v>0</v>
      </c>
      <c r="G52" s="16">
        <v>6.4516129032258063E-2</v>
      </c>
      <c r="H52" s="16">
        <v>5.8823529411764705E-2</v>
      </c>
      <c r="K52">
        <f t="shared" si="6"/>
        <v>0</v>
      </c>
      <c r="L52">
        <f t="shared" si="2"/>
        <v>0</v>
      </c>
      <c r="M52">
        <f t="shared" si="3"/>
        <v>6.4516129032258061</v>
      </c>
      <c r="N52">
        <f t="shared" si="4"/>
        <v>5.8823529411764701</v>
      </c>
    </row>
    <row r="53" spans="1:14" x14ac:dyDescent="0.3">
      <c r="A53" s="4" t="s">
        <v>67</v>
      </c>
      <c r="B53" s="5" t="s">
        <v>64</v>
      </c>
      <c r="C53" s="5"/>
      <c r="D53" s="6"/>
      <c r="E53" s="5"/>
      <c r="F53" s="16">
        <v>0</v>
      </c>
      <c r="G53" s="16">
        <v>3.2258064516129031E-2</v>
      </c>
      <c r="H53" s="16">
        <v>2.7027027027027029E-2</v>
      </c>
      <c r="L53">
        <f t="shared" si="2"/>
        <v>0</v>
      </c>
      <c r="M53">
        <f t="shared" si="3"/>
        <v>3.225806451612903</v>
      </c>
      <c r="N53">
        <f t="shared" si="4"/>
        <v>2.7027027027027026</v>
      </c>
    </row>
    <row r="54" spans="1:14" x14ac:dyDescent="0.3">
      <c r="A54" s="4" t="s">
        <v>67</v>
      </c>
      <c r="B54" s="5" t="s">
        <v>82</v>
      </c>
      <c r="C54" s="24">
        <v>0</v>
      </c>
      <c r="D54" s="24">
        <v>0</v>
      </c>
      <c r="E54" s="4"/>
      <c r="F54" s="16">
        <v>0</v>
      </c>
      <c r="G54" s="16">
        <v>3.2258064516129031E-2</v>
      </c>
      <c r="H54" s="16">
        <v>2.6315789473684209E-2</v>
      </c>
      <c r="I54">
        <f t="shared" si="5"/>
        <v>0</v>
      </c>
      <c r="J54">
        <f t="shared" si="1"/>
        <v>0</v>
      </c>
      <c r="L54">
        <f t="shared" si="2"/>
        <v>0</v>
      </c>
      <c r="M54">
        <f t="shared" si="3"/>
        <v>3.225806451612903</v>
      </c>
      <c r="N54">
        <f t="shared" si="4"/>
        <v>2.6315789473684208</v>
      </c>
    </row>
    <row r="55" spans="1:14" x14ac:dyDescent="0.3">
      <c r="A55" s="4" t="s">
        <v>67</v>
      </c>
      <c r="B55" s="5" t="s">
        <v>83</v>
      </c>
      <c r="C55" s="4"/>
      <c r="D55" s="4"/>
      <c r="E55" s="4"/>
      <c r="F55" s="16">
        <v>0</v>
      </c>
      <c r="G55" s="16">
        <v>0</v>
      </c>
      <c r="H55" s="16">
        <v>0</v>
      </c>
      <c r="L55">
        <f t="shared" si="2"/>
        <v>0</v>
      </c>
      <c r="M55">
        <f t="shared" si="3"/>
        <v>0</v>
      </c>
      <c r="N55">
        <f t="shared" si="4"/>
        <v>0</v>
      </c>
    </row>
    <row r="56" spans="1:14" x14ac:dyDescent="0.3">
      <c r="A56" s="4" t="s">
        <v>67</v>
      </c>
      <c r="B56" s="5" t="s">
        <v>84</v>
      </c>
      <c r="C56" s="4"/>
      <c r="D56" s="4"/>
      <c r="E56" s="4"/>
      <c r="F56" s="16">
        <v>0</v>
      </c>
      <c r="G56" s="16">
        <v>3.5714285714285712E-2</v>
      </c>
      <c r="H56" s="16">
        <v>2.7777777777777776E-2</v>
      </c>
      <c r="L56">
        <f t="shared" si="2"/>
        <v>0</v>
      </c>
      <c r="M56">
        <f t="shared" si="3"/>
        <v>3.5714285714285712</v>
      </c>
      <c r="N56">
        <f t="shared" si="4"/>
        <v>2.7777777777777777</v>
      </c>
    </row>
    <row r="57" spans="1:14" x14ac:dyDescent="0.3">
      <c r="A57" s="4" t="s">
        <v>67</v>
      </c>
      <c r="B57" s="5" t="s">
        <v>85</v>
      </c>
      <c r="C57" s="4"/>
      <c r="D57" s="4"/>
      <c r="E57" s="24">
        <v>0</v>
      </c>
      <c r="F57" s="16">
        <v>0</v>
      </c>
      <c r="G57" s="16">
        <v>0</v>
      </c>
      <c r="H57" s="16">
        <v>0</v>
      </c>
      <c r="K57">
        <f t="shared" si="6"/>
        <v>0</v>
      </c>
      <c r="L57">
        <f t="shared" si="2"/>
        <v>0</v>
      </c>
      <c r="M57">
        <f t="shared" si="3"/>
        <v>0</v>
      </c>
      <c r="N57">
        <f t="shared" si="4"/>
        <v>0</v>
      </c>
    </row>
    <row r="58" spans="1:14" x14ac:dyDescent="0.3">
      <c r="A58" s="4" t="s">
        <v>67</v>
      </c>
      <c r="B58" s="5" t="s">
        <v>86</v>
      </c>
      <c r="C58" s="4"/>
      <c r="D58" s="4"/>
      <c r="E58" s="4"/>
      <c r="F58" s="16">
        <v>0.125</v>
      </c>
      <c r="G58" s="16">
        <v>2.2222222222222223E-2</v>
      </c>
      <c r="H58" s="16">
        <v>3.7735849056603772E-2</v>
      </c>
      <c r="L58">
        <f t="shared" si="2"/>
        <v>12.5</v>
      </c>
      <c r="M58">
        <f t="shared" si="3"/>
        <v>2.2222222222222223</v>
      </c>
      <c r="N58">
        <f t="shared" si="4"/>
        <v>3.7735849056603774</v>
      </c>
    </row>
    <row r="59" spans="1:14" x14ac:dyDescent="0.3">
      <c r="A59" s="4" t="s">
        <v>67</v>
      </c>
      <c r="B59" s="5" t="s">
        <v>87</v>
      </c>
      <c r="C59" s="4"/>
      <c r="D59" s="4"/>
      <c r="E59" s="24">
        <v>0</v>
      </c>
      <c r="F59" s="16">
        <v>0</v>
      </c>
      <c r="G59" s="16">
        <v>0</v>
      </c>
      <c r="H59" s="16">
        <v>0</v>
      </c>
      <c r="K59">
        <f t="shared" si="6"/>
        <v>0</v>
      </c>
      <c r="L59">
        <f t="shared" si="2"/>
        <v>0</v>
      </c>
      <c r="M59">
        <f t="shared" si="3"/>
        <v>0</v>
      </c>
      <c r="N59">
        <f t="shared" si="4"/>
        <v>0</v>
      </c>
    </row>
    <row r="60" spans="1:14" x14ac:dyDescent="0.3">
      <c r="A60" s="4" t="s">
        <v>67</v>
      </c>
      <c r="B60" s="5" t="s">
        <v>88</v>
      </c>
      <c r="C60" s="4"/>
      <c r="D60" s="4"/>
      <c r="E60" s="4"/>
      <c r="F60" s="16">
        <v>0.16666666666666666</v>
      </c>
      <c r="G60" s="16">
        <v>0</v>
      </c>
      <c r="H60" s="16">
        <v>4.7619047619047616E-2</v>
      </c>
      <c r="L60">
        <f t="shared" si="2"/>
        <v>16.666666666666664</v>
      </c>
      <c r="M60">
        <f t="shared" si="3"/>
        <v>0</v>
      </c>
      <c r="N60">
        <f t="shared" si="4"/>
        <v>4.7619047619047619</v>
      </c>
    </row>
    <row r="61" spans="1:14" x14ac:dyDescent="0.3">
      <c r="A61" s="4" t="s">
        <v>67</v>
      </c>
      <c r="B61" s="5" t="s">
        <v>89</v>
      </c>
      <c r="C61" s="24">
        <v>0</v>
      </c>
      <c r="D61" s="4"/>
      <c r="E61" s="4"/>
      <c r="F61" s="16">
        <v>0</v>
      </c>
      <c r="G61" s="16">
        <v>0.10526315789473684</v>
      </c>
      <c r="H61" s="16">
        <v>8.3333333333333329E-2</v>
      </c>
      <c r="I61">
        <f t="shared" si="5"/>
        <v>0</v>
      </c>
      <c r="L61">
        <f t="shared" si="2"/>
        <v>0</v>
      </c>
      <c r="M61">
        <f t="shared" si="3"/>
        <v>10.526315789473683</v>
      </c>
      <c r="N61">
        <f t="shared" si="4"/>
        <v>8.3333333333333321</v>
      </c>
    </row>
    <row r="62" spans="1:14" x14ac:dyDescent="0.3">
      <c r="A62" s="4" t="s">
        <v>67</v>
      </c>
      <c r="B62" s="5" t="s">
        <v>90</v>
      </c>
      <c r="C62" s="24">
        <v>0</v>
      </c>
      <c r="D62" s="4"/>
      <c r="E62" s="24">
        <v>0</v>
      </c>
      <c r="F62" s="16">
        <v>0</v>
      </c>
      <c r="G62" s="16">
        <v>6.25E-2</v>
      </c>
      <c r="H62" s="16">
        <v>4.1666666666666664E-2</v>
      </c>
      <c r="I62">
        <f t="shared" si="5"/>
        <v>0</v>
      </c>
      <c r="K62">
        <f t="shared" si="6"/>
        <v>0</v>
      </c>
      <c r="L62">
        <f t="shared" si="2"/>
        <v>0</v>
      </c>
      <c r="M62">
        <f t="shared" si="3"/>
        <v>6.25</v>
      </c>
      <c r="N62">
        <f t="shared" si="4"/>
        <v>4.1666666666666661</v>
      </c>
    </row>
    <row r="63" spans="1:14" x14ac:dyDescent="0.3">
      <c r="A63" s="4" t="s">
        <v>67</v>
      </c>
      <c r="B63" s="5" t="s">
        <v>91</v>
      </c>
      <c r="C63" s="4"/>
      <c r="D63" s="4"/>
      <c r="E63" s="4"/>
      <c r="F63" s="16">
        <v>0</v>
      </c>
      <c r="G63" s="16">
        <v>0.05</v>
      </c>
      <c r="H63" s="16">
        <v>3.5714285714285712E-2</v>
      </c>
      <c r="L63">
        <f t="shared" si="2"/>
        <v>0</v>
      </c>
      <c r="M63">
        <f t="shared" si="3"/>
        <v>5</v>
      </c>
      <c r="N63">
        <f t="shared" si="4"/>
        <v>3.5714285714285712</v>
      </c>
    </row>
    <row r="64" spans="1:14" x14ac:dyDescent="0.3">
      <c r="A64" s="4" t="s">
        <v>67</v>
      </c>
      <c r="B64" s="5" t="s">
        <v>92</v>
      </c>
      <c r="C64" s="4"/>
      <c r="D64" s="4"/>
      <c r="E64" s="4"/>
      <c r="F64" s="16">
        <v>0</v>
      </c>
      <c r="G64" s="16">
        <v>0</v>
      </c>
      <c r="H64" s="16">
        <v>0</v>
      </c>
      <c r="L64">
        <f t="shared" si="2"/>
        <v>0</v>
      </c>
      <c r="M64">
        <f t="shared" si="3"/>
        <v>0</v>
      </c>
      <c r="N64">
        <f t="shared" si="4"/>
        <v>0</v>
      </c>
    </row>
    <row r="65" spans="1:14" x14ac:dyDescent="0.3">
      <c r="A65" s="4" t="s">
        <v>67</v>
      </c>
      <c r="B65" s="5" t="s">
        <v>93</v>
      </c>
      <c r="C65" s="4"/>
      <c r="D65" s="4"/>
      <c r="E65" s="4"/>
      <c r="F65" s="16">
        <v>0</v>
      </c>
      <c r="G65" s="16">
        <v>0</v>
      </c>
      <c r="H65" s="16">
        <v>0</v>
      </c>
      <c r="L65">
        <f t="shared" si="2"/>
        <v>0</v>
      </c>
      <c r="M65">
        <f t="shared" si="3"/>
        <v>0</v>
      </c>
      <c r="N65">
        <f t="shared" si="4"/>
        <v>0</v>
      </c>
    </row>
    <row r="66" spans="1:14" x14ac:dyDescent="0.3">
      <c r="A66" s="4" t="s">
        <v>67</v>
      </c>
      <c r="B66" s="5" t="s">
        <v>94</v>
      </c>
      <c r="C66" s="4"/>
      <c r="D66" s="4"/>
      <c r="E66" s="4"/>
      <c r="F66" s="16">
        <v>0</v>
      </c>
      <c r="G66" s="16">
        <v>0</v>
      </c>
      <c r="H66" s="16">
        <v>0</v>
      </c>
      <c r="L66">
        <f t="shared" si="2"/>
        <v>0</v>
      </c>
      <c r="M66">
        <f t="shared" si="3"/>
        <v>0</v>
      </c>
      <c r="N66">
        <f t="shared" si="4"/>
        <v>0</v>
      </c>
    </row>
    <row r="67" spans="1:14" x14ac:dyDescent="0.3">
      <c r="A67" s="4" t="s">
        <v>67</v>
      </c>
      <c r="B67" s="5" t="s">
        <v>95</v>
      </c>
      <c r="C67" s="4"/>
      <c r="D67" s="4"/>
      <c r="E67" s="4"/>
      <c r="F67" s="16">
        <v>0</v>
      </c>
      <c r="G67" s="16">
        <v>6.6666666666666666E-2</v>
      </c>
      <c r="H67" s="16">
        <v>6.25E-2</v>
      </c>
      <c r="L67">
        <f t="shared" ref="L67:L105" si="7">F67*100</f>
        <v>0</v>
      </c>
      <c r="M67">
        <f t="shared" ref="M67:M105" si="8">G67*100</f>
        <v>6.666666666666667</v>
      </c>
      <c r="N67">
        <f t="shared" ref="N67:N105" si="9">H67*100</f>
        <v>6.25</v>
      </c>
    </row>
    <row r="68" spans="1:14" x14ac:dyDescent="0.3">
      <c r="A68" s="4" t="s">
        <v>67</v>
      </c>
      <c r="B68" s="5" t="s">
        <v>96</v>
      </c>
      <c r="C68" s="4"/>
      <c r="D68" s="4"/>
      <c r="E68" s="4"/>
      <c r="F68" s="16">
        <v>0</v>
      </c>
      <c r="G68" s="16">
        <v>0</v>
      </c>
      <c r="H68" s="16">
        <v>0</v>
      </c>
      <c r="L68">
        <f t="shared" si="7"/>
        <v>0</v>
      </c>
      <c r="M68">
        <f t="shared" si="8"/>
        <v>0</v>
      </c>
      <c r="N68">
        <f t="shared" si="9"/>
        <v>0</v>
      </c>
    </row>
    <row r="69" spans="1:14" x14ac:dyDescent="0.3">
      <c r="A69" s="4" t="s">
        <v>67</v>
      </c>
      <c r="B69" s="5" t="s">
        <v>97</v>
      </c>
      <c r="C69" s="24">
        <v>0</v>
      </c>
      <c r="D69" s="4"/>
      <c r="E69" s="24">
        <v>0</v>
      </c>
      <c r="F69" s="16">
        <v>0.16666666666666666</v>
      </c>
      <c r="G69" s="16">
        <v>0</v>
      </c>
      <c r="H69" s="16">
        <v>4.3478260869565202E-2</v>
      </c>
      <c r="I69">
        <f t="shared" ref="I69:I104" si="10">C69*100</f>
        <v>0</v>
      </c>
      <c r="K69">
        <f t="shared" ref="K69:K104" si="11">E69*100</f>
        <v>0</v>
      </c>
      <c r="L69">
        <f t="shared" si="7"/>
        <v>16.666666666666664</v>
      </c>
      <c r="M69">
        <f t="shared" si="8"/>
        <v>0</v>
      </c>
      <c r="N69">
        <f t="shared" si="9"/>
        <v>4.3478260869565206</v>
      </c>
    </row>
    <row r="70" spans="1:14" x14ac:dyDescent="0.3">
      <c r="A70" s="4" t="s">
        <v>67</v>
      </c>
      <c r="B70" s="5" t="s">
        <v>98</v>
      </c>
      <c r="C70" s="4"/>
      <c r="D70" s="4"/>
      <c r="E70" s="4"/>
      <c r="F70" s="16">
        <v>0.25</v>
      </c>
      <c r="G70" s="16">
        <v>0.16666666666666666</v>
      </c>
      <c r="H70" s="16">
        <v>0.1875</v>
      </c>
      <c r="L70">
        <f t="shared" si="7"/>
        <v>25</v>
      </c>
      <c r="M70">
        <f t="shared" si="8"/>
        <v>16.666666666666664</v>
      </c>
      <c r="N70">
        <f t="shared" si="9"/>
        <v>18.75</v>
      </c>
    </row>
    <row r="71" spans="1:14" x14ac:dyDescent="0.3">
      <c r="A71" s="4" t="s">
        <v>67</v>
      </c>
      <c r="B71" s="5" t="s">
        <v>99</v>
      </c>
      <c r="C71" s="4"/>
      <c r="D71" s="4"/>
      <c r="E71" s="4"/>
      <c r="F71" s="16">
        <v>0</v>
      </c>
      <c r="G71" s="16">
        <v>6.6666666666666666E-2</v>
      </c>
      <c r="H71" s="16">
        <v>5.8823529411764705E-2</v>
      </c>
      <c r="L71">
        <f t="shared" si="7"/>
        <v>0</v>
      </c>
      <c r="M71">
        <f t="shared" si="8"/>
        <v>6.666666666666667</v>
      </c>
      <c r="N71">
        <f t="shared" si="9"/>
        <v>5.8823529411764701</v>
      </c>
    </row>
    <row r="72" spans="1:14" x14ac:dyDescent="0.3">
      <c r="A72" s="4" t="s">
        <v>67</v>
      </c>
      <c r="B72" s="5" t="s">
        <v>100</v>
      </c>
      <c r="C72" s="4"/>
      <c r="D72" s="4"/>
      <c r="E72" s="4"/>
      <c r="F72" s="16">
        <v>0</v>
      </c>
      <c r="G72" s="16">
        <v>0.1</v>
      </c>
      <c r="H72" s="16">
        <v>9.0909090909090912E-2</v>
      </c>
      <c r="L72">
        <f t="shared" si="7"/>
        <v>0</v>
      </c>
      <c r="M72">
        <f t="shared" si="8"/>
        <v>10</v>
      </c>
      <c r="N72">
        <f t="shared" si="9"/>
        <v>9.0909090909090917</v>
      </c>
    </row>
    <row r="73" spans="1:14" x14ac:dyDescent="0.3">
      <c r="A73" s="4" t="s">
        <v>67</v>
      </c>
      <c r="B73" s="5" t="s">
        <v>101</v>
      </c>
      <c r="C73" s="24">
        <v>0</v>
      </c>
      <c r="D73" s="4"/>
      <c r="E73" s="4"/>
      <c r="F73" s="16">
        <v>0</v>
      </c>
      <c r="G73" s="16">
        <v>0</v>
      </c>
      <c r="H73" s="16">
        <v>0</v>
      </c>
      <c r="I73">
        <f t="shared" si="10"/>
        <v>0</v>
      </c>
      <c r="L73">
        <f t="shared" si="7"/>
        <v>0</v>
      </c>
      <c r="M73">
        <f t="shared" si="8"/>
        <v>0</v>
      </c>
      <c r="N73">
        <f t="shared" si="9"/>
        <v>0</v>
      </c>
    </row>
    <row r="74" spans="1:14" x14ac:dyDescent="0.3">
      <c r="A74" s="4" t="s">
        <v>67</v>
      </c>
      <c r="B74" s="5" t="s">
        <v>102</v>
      </c>
      <c r="C74" s="4"/>
      <c r="D74" s="4"/>
      <c r="E74" s="4"/>
      <c r="F74" s="16">
        <v>0</v>
      </c>
      <c r="G74" s="16">
        <v>7.1428571428571425E-2</v>
      </c>
      <c r="H74" s="16">
        <v>5.8823529411764705E-2</v>
      </c>
      <c r="L74">
        <f t="shared" si="7"/>
        <v>0</v>
      </c>
      <c r="M74">
        <f t="shared" si="8"/>
        <v>7.1428571428571423</v>
      </c>
      <c r="N74">
        <f t="shared" si="9"/>
        <v>5.8823529411764701</v>
      </c>
    </row>
    <row r="75" spans="1:14" x14ac:dyDescent="0.3">
      <c r="A75" s="4" t="s">
        <v>67</v>
      </c>
      <c r="B75" s="5" t="s">
        <v>103</v>
      </c>
      <c r="C75" s="4"/>
      <c r="D75" s="4"/>
      <c r="E75" s="24">
        <v>0</v>
      </c>
      <c r="F75" s="16">
        <v>0</v>
      </c>
      <c r="G75" s="16">
        <v>0.15384615384615385</v>
      </c>
      <c r="H75" s="16">
        <v>0.11764705882352941</v>
      </c>
      <c r="K75">
        <f t="shared" si="11"/>
        <v>0</v>
      </c>
      <c r="L75">
        <f t="shared" si="7"/>
        <v>0</v>
      </c>
      <c r="M75">
        <f t="shared" si="8"/>
        <v>15.384615384615385</v>
      </c>
      <c r="N75">
        <f t="shared" si="9"/>
        <v>11.76470588235294</v>
      </c>
    </row>
    <row r="76" spans="1:14" x14ac:dyDescent="0.3">
      <c r="A76" s="4" t="s">
        <v>67</v>
      </c>
      <c r="B76" s="5" t="s">
        <v>104</v>
      </c>
      <c r="C76" s="24">
        <v>0</v>
      </c>
      <c r="D76" s="4"/>
      <c r="E76" s="4"/>
      <c r="F76" s="16">
        <v>0.16666666666666666</v>
      </c>
      <c r="G76" s="16">
        <v>5.2631578947368418E-2</v>
      </c>
      <c r="H76" s="16">
        <v>7.407407407407407E-2</v>
      </c>
      <c r="I76">
        <f t="shared" si="10"/>
        <v>0</v>
      </c>
      <c r="L76">
        <f t="shared" si="7"/>
        <v>16.666666666666664</v>
      </c>
      <c r="M76">
        <f t="shared" si="8"/>
        <v>5.2631578947368416</v>
      </c>
      <c r="N76">
        <f t="shared" si="9"/>
        <v>7.4074074074074066</v>
      </c>
    </row>
    <row r="77" spans="1:14" x14ac:dyDescent="0.3">
      <c r="A77" s="4" t="s">
        <v>67</v>
      </c>
      <c r="B77" s="5" t="s">
        <v>105</v>
      </c>
      <c r="C77" s="4"/>
      <c r="D77" s="4"/>
      <c r="E77" s="4"/>
      <c r="F77" s="16">
        <v>0</v>
      </c>
      <c r="G77" s="16">
        <v>0</v>
      </c>
      <c r="H77" s="16">
        <v>0</v>
      </c>
      <c r="L77">
        <f t="shared" si="7"/>
        <v>0</v>
      </c>
      <c r="M77">
        <f t="shared" si="8"/>
        <v>0</v>
      </c>
      <c r="N77">
        <f t="shared" si="9"/>
        <v>0</v>
      </c>
    </row>
    <row r="78" spans="1:14" x14ac:dyDescent="0.3">
      <c r="A78" s="4" t="s">
        <v>67</v>
      </c>
      <c r="B78" s="5" t="s">
        <v>106</v>
      </c>
      <c r="C78" s="24">
        <v>0</v>
      </c>
      <c r="D78" s="4"/>
      <c r="E78" s="4"/>
      <c r="F78" s="16">
        <v>0</v>
      </c>
      <c r="G78" s="16">
        <v>0</v>
      </c>
      <c r="H78" s="16">
        <v>0</v>
      </c>
      <c r="I78">
        <f t="shared" si="10"/>
        <v>0</v>
      </c>
      <c r="L78">
        <f t="shared" si="7"/>
        <v>0</v>
      </c>
      <c r="M78">
        <f t="shared" si="8"/>
        <v>0</v>
      </c>
      <c r="N78">
        <f t="shared" si="9"/>
        <v>0</v>
      </c>
    </row>
    <row r="79" spans="1:14" x14ac:dyDescent="0.3">
      <c r="A79" s="4" t="s">
        <v>67</v>
      </c>
      <c r="B79" s="5" t="s">
        <v>107</v>
      </c>
      <c r="C79" s="24">
        <v>0</v>
      </c>
      <c r="D79" s="4"/>
      <c r="E79" s="4"/>
      <c r="F79" s="16">
        <v>0</v>
      </c>
      <c r="G79" s="16">
        <v>0.1111111111111111</v>
      </c>
      <c r="H79" s="16">
        <v>0.1</v>
      </c>
      <c r="I79">
        <f t="shared" si="10"/>
        <v>0</v>
      </c>
      <c r="L79">
        <f t="shared" si="7"/>
        <v>0</v>
      </c>
      <c r="M79">
        <f t="shared" si="8"/>
        <v>11.111111111111111</v>
      </c>
      <c r="N79">
        <f t="shared" si="9"/>
        <v>10</v>
      </c>
    </row>
    <row r="80" spans="1:14" x14ac:dyDescent="0.3">
      <c r="A80" s="4" t="s">
        <v>67</v>
      </c>
      <c r="B80" s="5" t="s">
        <v>108</v>
      </c>
      <c r="C80" s="4"/>
      <c r="D80" s="4"/>
      <c r="E80" s="4"/>
      <c r="F80" s="16">
        <v>0</v>
      </c>
      <c r="G80" s="16">
        <v>0.1875</v>
      </c>
      <c r="H80" s="16">
        <v>0.16666666666666666</v>
      </c>
      <c r="L80">
        <f t="shared" si="7"/>
        <v>0</v>
      </c>
      <c r="M80">
        <f t="shared" si="8"/>
        <v>18.75</v>
      </c>
      <c r="N80">
        <f t="shared" si="9"/>
        <v>16.666666666666664</v>
      </c>
    </row>
    <row r="81" spans="1:14" x14ac:dyDescent="0.3">
      <c r="A81" s="4" t="s">
        <v>67</v>
      </c>
      <c r="B81" s="5" t="s">
        <v>109</v>
      </c>
      <c r="C81" s="4"/>
      <c r="D81" s="4"/>
      <c r="E81" s="24">
        <v>0</v>
      </c>
      <c r="F81" s="16">
        <v>0</v>
      </c>
      <c r="G81" s="16">
        <v>0</v>
      </c>
      <c r="H81" s="16">
        <v>0</v>
      </c>
      <c r="K81">
        <f t="shared" si="11"/>
        <v>0</v>
      </c>
      <c r="L81">
        <f t="shared" si="7"/>
        <v>0</v>
      </c>
      <c r="M81">
        <f t="shared" si="8"/>
        <v>0</v>
      </c>
      <c r="N81">
        <f t="shared" si="9"/>
        <v>0</v>
      </c>
    </row>
    <row r="82" spans="1:14" x14ac:dyDescent="0.3">
      <c r="A82" s="4" t="s">
        <v>67</v>
      </c>
      <c r="B82" s="5" t="s">
        <v>110</v>
      </c>
      <c r="C82" s="4"/>
      <c r="D82" s="4"/>
      <c r="E82" s="4"/>
      <c r="F82" s="16">
        <v>0</v>
      </c>
      <c r="G82" s="16">
        <v>0</v>
      </c>
      <c r="H82" s="16">
        <v>0</v>
      </c>
      <c r="L82">
        <f t="shared" si="7"/>
        <v>0</v>
      </c>
      <c r="M82">
        <f t="shared" si="8"/>
        <v>0</v>
      </c>
      <c r="N82">
        <f t="shared" si="9"/>
        <v>0</v>
      </c>
    </row>
    <row r="83" spans="1:14" x14ac:dyDescent="0.3">
      <c r="A83" s="4" t="s">
        <v>67</v>
      </c>
      <c r="B83" s="5" t="s">
        <v>111</v>
      </c>
      <c r="C83" s="4"/>
      <c r="D83" s="24">
        <v>0</v>
      </c>
      <c r="E83" s="4"/>
      <c r="F83" s="16">
        <v>0</v>
      </c>
      <c r="G83" s="16">
        <v>0.25</v>
      </c>
      <c r="H83" s="16">
        <v>0.16666666666666666</v>
      </c>
      <c r="J83">
        <f t="shared" ref="J83:J104" si="12">D83*100</f>
        <v>0</v>
      </c>
      <c r="L83">
        <f t="shared" si="7"/>
        <v>0</v>
      </c>
      <c r="M83">
        <f t="shared" si="8"/>
        <v>25</v>
      </c>
      <c r="N83">
        <f t="shared" si="9"/>
        <v>16.666666666666664</v>
      </c>
    </row>
    <row r="84" spans="1:14" x14ac:dyDescent="0.3">
      <c r="A84" s="4" t="s">
        <v>67</v>
      </c>
      <c r="B84" s="5" t="s">
        <v>112</v>
      </c>
      <c r="C84" s="4"/>
      <c r="D84" s="4"/>
      <c r="E84" s="4"/>
      <c r="F84" s="16">
        <v>0</v>
      </c>
      <c r="G84" s="16">
        <v>8.3333333333333329E-2</v>
      </c>
      <c r="H84" s="16">
        <v>6.6666666666666666E-2</v>
      </c>
      <c r="L84">
        <f t="shared" si="7"/>
        <v>0</v>
      </c>
      <c r="M84">
        <f t="shared" si="8"/>
        <v>8.3333333333333321</v>
      </c>
      <c r="N84">
        <f t="shared" si="9"/>
        <v>6.666666666666667</v>
      </c>
    </row>
    <row r="85" spans="1:14" x14ac:dyDescent="0.3">
      <c r="A85" s="4" t="s">
        <v>67</v>
      </c>
      <c r="B85" s="5" t="s">
        <v>113</v>
      </c>
      <c r="C85" s="4"/>
      <c r="D85" s="4"/>
      <c r="E85" s="24">
        <v>0</v>
      </c>
      <c r="F85" s="16"/>
      <c r="G85" s="16">
        <v>0.14285714285714285</v>
      </c>
      <c r="H85" s="16">
        <v>0.13333333333333333</v>
      </c>
      <c r="K85">
        <f t="shared" si="11"/>
        <v>0</v>
      </c>
      <c r="M85">
        <f t="shared" si="8"/>
        <v>14.285714285714285</v>
      </c>
      <c r="N85">
        <f t="shared" si="9"/>
        <v>13.333333333333334</v>
      </c>
    </row>
    <row r="86" spans="1:14" x14ac:dyDescent="0.3">
      <c r="A86" s="4" t="s">
        <v>67</v>
      </c>
      <c r="B86" s="5" t="s">
        <v>114</v>
      </c>
      <c r="C86" s="4"/>
      <c r="D86" s="4"/>
      <c r="E86" s="4"/>
      <c r="F86" s="16">
        <v>0</v>
      </c>
      <c r="G86" s="16">
        <v>6.25E-2</v>
      </c>
      <c r="H86" s="16">
        <v>5.2631578947368418E-2</v>
      </c>
      <c r="L86">
        <f t="shared" si="7"/>
        <v>0</v>
      </c>
      <c r="M86">
        <f t="shared" si="8"/>
        <v>6.25</v>
      </c>
      <c r="N86">
        <f t="shared" si="9"/>
        <v>5.2631578947368416</v>
      </c>
    </row>
    <row r="87" spans="1:14" x14ac:dyDescent="0.3">
      <c r="A87" s="4" t="s">
        <v>67</v>
      </c>
      <c r="B87" s="5" t="s">
        <v>115</v>
      </c>
      <c r="C87" s="4"/>
      <c r="D87" s="4"/>
      <c r="E87" s="4"/>
      <c r="F87" s="16"/>
      <c r="G87" s="16">
        <v>0.1</v>
      </c>
      <c r="H87" s="16">
        <v>0.1</v>
      </c>
      <c r="M87">
        <f t="shared" si="8"/>
        <v>10</v>
      </c>
      <c r="N87">
        <f t="shared" si="9"/>
        <v>10</v>
      </c>
    </row>
    <row r="88" spans="1:14" x14ac:dyDescent="0.3">
      <c r="A88" s="4" t="s">
        <v>67</v>
      </c>
      <c r="B88" s="5" t="s">
        <v>116</v>
      </c>
      <c r="C88" s="4"/>
      <c r="D88" s="4"/>
      <c r="E88" s="4"/>
      <c r="F88" s="16">
        <v>0</v>
      </c>
      <c r="G88" s="16">
        <v>0.14285714285714285</v>
      </c>
      <c r="H88" s="16">
        <v>0.1111111111111111</v>
      </c>
      <c r="L88">
        <f t="shared" si="7"/>
        <v>0</v>
      </c>
      <c r="M88">
        <f t="shared" si="8"/>
        <v>14.285714285714285</v>
      </c>
      <c r="N88">
        <f t="shared" si="9"/>
        <v>11.111111111111111</v>
      </c>
    </row>
    <row r="89" spans="1:14" x14ac:dyDescent="0.3">
      <c r="A89" s="4" t="s">
        <v>67</v>
      </c>
      <c r="B89" s="5" t="s">
        <v>117</v>
      </c>
      <c r="C89" s="4"/>
      <c r="D89" s="4"/>
      <c r="E89" s="4"/>
      <c r="F89" s="16"/>
      <c r="G89" s="16">
        <v>8.3333333333333329E-2</v>
      </c>
      <c r="H89" s="16">
        <v>8.3333333333333329E-2</v>
      </c>
      <c r="M89">
        <f t="shared" si="8"/>
        <v>8.3333333333333321</v>
      </c>
      <c r="N89">
        <f t="shared" si="9"/>
        <v>8.3333333333333321</v>
      </c>
    </row>
    <row r="90" spans="1:14" x14ac:dyDescent="0.3">
      <c r="A90" s="4" t="s">
        <v>67</v>
      </c>
      <c r="B90" s="5" t="s">
        <v>118</v>
      </c>
      <c r="C90" s="4"/>
      <c r="D90" s="4"/>
      <c r="E90" s="4"/>
      <c r="F90" s="16">
        <v>0</v>
      </c>
      <c r="G90" s="16">
        <v>6.6666666666666666E-2</v>
      </c>
      <c r="H90" s="16">
        <v>5.2631578947368418E-2</v>
      </c>
      <c r="L90">
        <f t="shared" si="7"/>
        <v>0</v>
      </c>
      <c r="M90">
        <f t="shared" si="8"/>
        <v>6.666666666666667</v>
      </c>
      <c r="N90">
        <f t="shared" si="9"/>
        <v>5.2631578947368416</v>
      </c>
    </row>
    <row r="91" spans="1:14" x14ac:dyDescent="0.3">
      <c r="A91" s="4" t="s">
        <v>67</v>
      </c>
      <c r="B91" s="5" t="s">
        <v>119</v>
      </c>
      <c r="C91" s="4"/>
      <c r="D91" s="4"/>
      <c r="E91" s="24">
        <v>0</v>
      </c>
      <c r="F91" s="16">
        <v>0</v>
      </c>
      <c r="G91" s="16">
        <v>7.6923076923076927E-2</v>
      </c>
      <c r="H91" s="16">
        <v>5.8823529411764705E-2</v>
      </c>
      <c r="K91">
        <f t="shared" si="11"/>
        <v>0</v>
      </c>
      <c r="L91">
        <f t="shared" si="7"/>
        <v>0</v>
      </c>
      <c r="M91">
        <f t="shared" si="8"/>
        <v>7.6923076923076925</v>
      </c>
      <c r="N91">
        <f t="shared" si="9"/>
        <v>5.8823529411764701</v>
      </c>
    </row>
    <row r="92" spans="1:14" x14ac:dyDescent="0.3">
      <c r="A92" s="4" t="s">
        <v>67</v>
      </c>
      <c r="B92" s="5" t="s">
        <v>120</v>
      </c>
      <c r="C92" s="4"/>
      <c r="D92" s="4"/>
      <c r="E92" s="4"/>
      <c r="F92" s="16">
        <v>0</v>
      </c>
      <c r="G92" s="16">
        <v>0.2857142857142857</v>
      </c>
      <c r="H92" s="16">
        <v>0.22222222222222221</v>
      </c>
      <c r="L92">
        <f t="shared" si="7"/>
        <v>0</v>
      </c>
      <c r="M92">
        <f t="shared" si="8"/>
        <v>28.571428571428569</v>
      </c>
      <c r="N92">
        <f t="shared" si="9"/>
        <v>22.222222222222221</v>
      </c>
    </row>
    <row r="93" spans="1:14" x14ac:dyDescent="0.3">
      <c r="A93" s="4" t="s">
        <v>67</v>
      </c>
      <c r="B93" s="5" t="s">
        <v>121</v>
      </c>
      <c r="C93" s="4"/>
      <c r="D93" s="4"/>
      <c r="E93" s="24">
        <v>0</v>
      </c>
      <c r="F93" s="16">
        <v>0.5</v>
      </c>
      <c r="G93" s="16">
        <v>0.5625</v>
      </c>
      <c r="H93" s="16">
        <v>0.52380952380952384</v>
      </c>
      <c r="K93">
        <f t="shared" si="11"/>
        <v>0</v>
      </c>
      <c r="L93">
        <f t="shared" si="7"/>
        <v>50</v>
      </c>
      <c r="M93">
        <f t="shared" si="8"/>
        <v>56.25</v>
      </c>
      <c r="N93">
        <f t="shared" si="9"/>
        <v>52.380952380952387</v>
      </c>
    </row>
    <row r="94" spans="1:14" x14ac:dyDescent="0.3">
      <c r="A94" s="4" t="s">
        <v>67</v>
      </c>
      <c r="B94" s="5" t="s">
        <v>122</v>
      </c>
      <c r="C94" s="4"/>
      <c r="D94" s="4"/>
      <c r="E94" s="4"/>
      <c r="F94" s="16">
        <v>0.5</v>
      </c>
      <c r="G94" s="16">
        <v>0.21428571428571427</v>
      </c>
      <c r="H94" s="16">
        <v>0.25</v>
      </c>
      <c r="L94">
        <f t="shared" si="7"/>
        <v>50</v>
      </c>
      <c r="M94">
        <f t="shared" si="8"/>
        <v>21.428571428571427</v>
      </c>
      <c r="N94">
        <f t="shared" si="9"/>
        <v>25</v>
      </c>
    </row>
    <row r="95" spans="1:14" x14ac:dyDescent="0.3">
      <c r="A95" s="4" t="s">
        <v>67</v>
      </c>
      <c r="B95" s="5" t="s">
        <v>123</v>
      </c>
      <c r="C95" s="4"/>
      <c r="D95" s="24">
        <v>0</v>
      </c>
      <c r="E95" s="4"/>
      <c r="F95" s="16">
        <v>0</v>
      </c>
      <c r="G95" s="16">
        <v>0.13333333333333333</v>
      </c>
      <c r="H95" s="16">
        <v>0.10526315789473684</v>
      </c>
      <c r="J95">
        <f t="shared" si="12"/>
        <v>0</v>
      </c>
      <c r="L95">
        <f t="shared" si="7"/>
        <v>0</v>
      </c>
      <c r="M95">
        <f t="shared" si="8"/>
        <v>13.333333333333334</v>
      </c>
      <c r="N95">
        <f t="shared" si="9"/>
        <v>10.526315789473683</v>
      </c>
    </row>
    <row r="96" spans="1:14" x14ac:dyDescent="0.3">
      <c r="A96" s="4" t="s">
        <v>67</v>
      </c>
      <c r="B96" s="5" t="s">
        <v>124</v>
      </c>
      <c r="C96" s="4"/>
      <c r="D96" s="4"/>
      <c r="E96" s="4"/>
      <c r="F96" s="16">
        <v>0</v>
      </c>
      <c r="G96" s="16">
        <v>0.14285714285714285</v>
      </c>
      <c r="H96" s="16">
        <v>0.13043478260869565</v>
      </c>
      <c r="L96">
        <f t="shared" si="7"/>
        <v>0</v>
      </c>
      <c r="M96">
        <f t="shared" si="8"/>
        <v>14.285714285714285</v>
      </c>
      <c r="N96">
        <f t="shared" si="9"/>
        <v>13.043478260869565</v>
      </c>
    </row>
    <row r="97" spans="1:14" x14ac:dyDescent="0.3">
      <c r="A97" s="4" t="s">
        <v>67</v>
      </c>
      <c r="B97" s="5" t="s">
        <v>125</v>
      </c>
      <c r="C97" s="4"/>
      <c r="D97" s="4"/>
      <c r="E97" s="4"/>
      <c r="F97" s="16">
        <v>0.2</v>
      </c>
      <c r="G97" s="16">
        <v>0.30769230769230771</v>
      </c>
      <c r="H97" s="16">
        <v>0.27777777777777779</v>
      </c>
      <c r="L97">
        <f t="shared" si="7"/>
        <v>20</v>
      </c>
      <c r="M97">
        <f t="shared" si="8"/>
        <v>30.76923076923077</v>
      </c>
      <c r="N97">
        <f t="shared" si="9"/>
        <v>27.777777777777779</v>
      </c>
    </row>
    <row r="98" spans="1:14" x14ac:dyDescent="0.3">
      <c r="A98" s="4" t="s">
        <v>67</v>
      </c>
      <c r="B98" s="5" t="s">
        <v>126</v>
      </c>
      <c r="C98" s="4"/>
      <c r="D98" s="4"/>
      <c r="E98" s="4"/>
      <c r="F98" s="16">
        <v>0</v>
      </c>
      <c r="G98" s="16">
        <v>0</v>
      </c>
      <c r="H98" s="16">
        <v>0</v>
      </c>
      <c r="L98">
        <f t="shared" si="7"/>
        <v>0</v>
      </c>
      <c r="M98">
        <f t="shared" si="8"/>
        <v>0</v>
      </c>
      <c r="N98">
        <f t="shared" si="9"/>
        <v>0</v>
      </c>
    </row>
    <row r="99" spans="1:14" x14ac:dyDescent="0.3">
      <c r="A99" s="4" t="s">
        <v>67</v>
      </c>
      <c r="B99" s="5" t="s">
        <v>127</v>
      </c>
      <c r="C99" s="4"/>
      <c r="D99" s="4"/>
      <c r="E99" s="4"/>
      <c r="F99" s="16">
        <v>0</v>
      </c>
      <c r="G99" s="16">
        <v>7.1428571428571425E-2</v>
      </c>
      <c r="H99" s="16">
        <v>5.8823529411764705E-2</v>
      </c>
      <c r="L99">
        <f t="shared" si="7"/>
        <v>0</v>
      </c>
      <c r="M99">
        <f t="shared" si="8"/>
        <v>7.1428571428571423</v>
      </c>
      <c r="N99">
        <f t="shared" si="9"/>
        <v>5.8823529411764701</v>
      </c>
    </row>
    <row r="100" spans="1:14" x14ac:dyDescent="0.3">
      <c r="A100" s="4" t="s">
        <v>67</v>
      </c>
      <c r="B100" s="5" t="s">
        <v>128</v>
      </c>
      <c r="C100" s="4"/>
      <c r="D100" s="4"/>
      <c r="E100" s="4"/>
      <c r="F100" s="16">
        <v>0</v>
      </c>
      <c r="G100" s="16">
        <v>7.1428571428571425E-2</v>
      </c>
      <c r="H100" s="16">
        <v>6.25E-2</v>
      </c>
      <c r="L100">
        <f t="shared" si="7"/>
        <v>0</v>
      </c>
      <c r="M100">
        <f t="shared" si="8"/>
        <v>7.1428571428571423</v>
      </c>
      <c r="N100">
        <f t="shared" si="9"/>
        <v>6.25</v>
      </c>
    </row>
    <row r="101" spans="1:14" x14ac:dyDescent="0.3">
      <c r="A101" s="4" t="s">
        <v>67</v>
      </c>
      <c r="B101" s="5" t="s">
        <v>129</v>
      </c>
      <c r="C101" s="4"/>
      <c r="D101" s="4"/>
      <c r="E101" s="4"/>
      <c r="F101" s="16">
        <v>0</v>
      </c>
      <c r="G101" s="16">
        <v>0.16666666666666666</v>
      </c>
      <c r="H101" s="16">
        <v>0.14285714285714285</v>
      </c>
      <c r="L101">
        <f t="shared" si="7"/>
        <v>0</v>
      </c>
      <c r="M101">
        <f t="shared" si="8"/>
        <v>16.666666666666664</v>
      </c>
      <c r="N101">
        <f t="shared" si="9"/>
        <v>14.285714285714285</v>
      </c>
    </row>
    <row r="102" spans="1:14" x14ac:dyDescent="0.3">
      <c r="A102" s="4" t="s">
        <v>67</v>
      </c>
      <c r="B102" s="5" t="s">
        <v>130</v>
      </c>
      <c r="C102" s="4"/>
      <c r="D102" s="4"/>
      <c r="E102" s="4"/>
      <c r="F102" s="16">
        <v>0</v>
      </c>
      <c r="G102" s="16">
        <v>5.5555555555555552E-2</v>
      </c>
      <c r="H102" s="16">
        <v>4.7619047619047616E-2</v>
      </c>
      <c r="L102">
        <f t="shared" si="7"/>
        <v>0</v>
      </c>
      <c r="M102">
        <f t="shared" si="8"/>
        <v>5.5555555555555554</v>
      </c>
      <c r="N102">
        <f t="shared" si="9"/>
        <v>4.7619047619047619</v>
      </c>
    </row>
    <row r="103" spans="1:14" x14ac:dyDescent="0.3">
      <c r="A103" s="4" t="s">
        <v>67</v>
      </c>
      <c r="B103" s="5" t="s">
        <v>131</v>
      </c>
      <c r="C103" s="24">
        <v>0</v>
      </c>
      <c r="D103" s="4"/>
      <c r="E103" s="4"/>
      <c r="F103" s="16">
        <v>0</v>
      </c>
      <c r="G103" s="16">
        <v>0</v>
      </c>
      <c r="H103" s="16">
        <v>0</v>
      </c>
      <c r="I103">
        <f t="shared" si="10"/>
        <v>0</v>
      </c>
      <c r="L103">
        <f t="shared" si="7"/>
        <v>0</v>
      </c>
      <c r="M103">
        <f t="shared" si="8"/>
        <v>0</v>
      </c>
      <c r="N103">
        <f t="shared" si="9"/>
        <v>0</v>
      </c>
    </row>
    <row r="104" spans="1:14" x14ac:dyDescent="0.3">
      <c r="A104" s="4" t="s">
        <v>67</v>
      </c>
      <c r="B104" s="5" t="s">
        <v>132</v>
      </c>
      <c r="C104" s="24">
        <v>0</v>
      </c>
      <c r="D104" s="24">
        <v>0</v>
      </c>
      <c r="E104" s="24">
        <v>0</v>
      </c>
      <c r="F104" s="16">
        <v>0</v>
      </c>
      <c r="G104" s="16">
        <v>0</v>
      </c>
      <c r="H104" s="16">
        <v>0</v>
      </c>
      <c r="I104">
        <f t="shared" si="10"/>
        <v>0</v>
      </c>
      <c r="J104">
        <f t="shared" si="12"/>
        <v>0</v>
      </c>
      <c r="K104">
        <f t="shared" si="11"/>
        <v>0</v>
      </c>
      <c r="L104">
        <f t="shared" si="7"/>
        <v>0</v>
      </c>
      <c r="M104">
        <f t="shared" si="8"/>
        <v>0</v>
      </c>
      <c r="N104">
        <f t="shared" si="9"/>
        <v>0</v>
      </c>
    </row>
    <row r="105" spans="1:14" x14ac:dyDescent="0.3">
      <c r="A105" s="4" t="s">
        <v>67</v>
      </c>
      <c r="B105" s="5" t="s">
        <v>133</v>
      </c>
      <c r="C105" s="4"/>
      <c r="D105" s="4"/>
      <c r="E105" s="4"/>
      <c r="F105" s="16">
        <v>0.14285714285714285</v>
      </c>
      <c r="G105" s="16">
        <v>5.2631578947368418E-2</v>
      </c>
      <c r="H105" s="16">
        <v>6.6666666666666666E-2</v>
      </c>
      <c r="L105">
        <f t="shared" si="7"/>
        <v>14.285714285714285</v>
      </c>
      <c r="M105">
        <f t="shared" si="8"/>
        <v>5.2631578947368416</v>
      </c>
      <c r="N105">
        <f t="shared" si="9"/>
        <v>6.666666666666667</v>
      </c>
    </row>
  </sheetData>
  <autoFilter ref="A1:N105" xr:uid="{8073CDD6-832A-4EC4-A288-6DB963E0E057}"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First</vt:lpstr>
      <vt:lpstr>DONT USE_number of SARI_cases</vt:lpstr>
      <vt:lpstr>USE_number of SARI_resident</vt:lpstr>
      <vt:lpstr>Catchment population</vt:lpstr>
      <vt:lpstr>SARI_per_10x5pop</vt:lpstr>
      <vt:lpstr>Positivity SARS-CoV-2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2026-02-16T09:22:23Z</dcterms:modified>
</cp:coreProperties>
</file>