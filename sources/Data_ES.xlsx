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76E53B1A-E164-4DAE-AD71-13CEE04E5B65}" xr6:coauthVersionLast="47" xr6:coauthVersionMax="47" xr10:uidLastSave="{00000000-0000-0000-0000-000000000000}"/>
  <bookViews>
    <workbookView xWindow="28680" yWindow="-120" windowWidth="29040" windowHeight="15720" firstSheet="2" activeTab="6" xr2:uid="{00000000-000D-0000-FFFF-FFFF00000000}"/>
  </bookViews>
  <sheets>
    <sheet name="Read first" sheetId="7" r:id="rId1"/>
    <sheet name="SARI cases" sheetId="2" r:id="rId2"/>
    <sheet name="Catchment population" sheetId="6" r:id="rId3"/>
    <sheet name="SARI_per_10x5pop" sheetId="8" r:id="rId4"/>
    <sheet name="Positivity SARS-CoV-2" sheetId="3" r:id="rId5"/>
    <sheet name="Positivity Influenza" sheetId="4" r:id="rId6"/>
    <sheet name="Positivity RSV" sheetId="5" r:id="rId7"/>
  </sheets>
  <definedNames>
    <definedName name="_xlnm._FilterDatabase" localSheetId="2" hidden="1">'Catchment population'!$A$1:$A$67</definedName>
    <definedName name="_xlnm._FilterDatabase" localSheetId="5" hidden="1">'Positivity Influenza'!$A$1:$P$1</definedName>
    <definedName name="_xlnm._FilterDatabase" localSheetId="6" hidden="1">'Positivity RSV'!$A$1:$P$66</definedName>
    <definedName name="_xlnm._FilterDatabase" localSheetId="4" hidden="1">'Positivity SARS-CoV-2'!$A$1:$Q$66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K3" i="5"/>
  <c r="L3" i="5"/>
  <c r="M3" i="5"/>
  <c r="N3" i="5"/>
  <c r="O3" i="5"/>
  <c r="P3" i="5"/>
  <c r="J4" i="5"/>
  <c r="K4" i="5"/>
  <c r="L4" i="5"/>
  <c r="M4" i="5"/>
  <c r="N4" i="5"/>
  <c r="O4" i="5"/>
  <c r="P4" i="5"/>
  <c r="J5" i="5"/>
  <c r="K5" i="5"/>
  <c r="L5" i="5"/>
  <c r="M5" i="5"/>
  <c r="N5" i="5"/>
  <c r="O5" i="5"/>
  <c r="P5" i="5"/>
  <c r="J6" i="5"/>
  <c r="K6" i="5"/>
  <c r="L6" i="5"/>
  <c r="M6" i="5"/>
  <c r="N6" i="5"/>
  <c r="O6" i="5"/>
  <c r="P6" i="5"/>
  <c r="J7" i="5"/>
  <c r="K7" i="5"/>
  <c r="L7" i="5"/>
  <c r="M7" i="5"/>
  <c r="N7" i="5"/>
  <c r="O7" i="5"/>
  <c r="P7" i="5"/>
  <c r="J8" i="5"/>
  <c r="K8" i="5"/>
  <c r="L8" i="5"/>
  <c r="M8" i="5"/>
  <c r="N8" i="5"/>
  <c r="O8" i="5"/>
  <c r="P8" i="5"/>
  <c r="J9" i="5"/>
  <c r="K9" i="5"/>
  <c r="L9" i="5"/>
  <c r="M9" i="5"/>
  <c r="N9" i="5"/>
  <c r="O9" i="5"/>
  <c r="P9" i="5"/>
  <c r="J10" i="5"/>
  <c r="K10" i="5"/>
  <c r="L10" i="5"/>
  <c r="M10" i="5"/>
  <c r="N10" i="5"/>
  <c r="O10" i="5"/>
  <c r="P10" i="5"/>
  <c r="J11" i="5"/>
  <c r="K11" i="5"/>
  <c r="L11" i="5"/>
  <c r="M11" i="5"/>
  <c r="N11" i="5"/>
  <c r="O11" i="5"/>
  <c r="P11" i="5"/>
  <c r="J12" i="5"/>
  <c r="K12" i="5"/>
  <c r="L12" i="5"/>
  <c r="M12" i="5"/>
  <c r="N12" i="5"/>
  <c r="O12" i="5"/>
  <c r="P12" i="5"/>
  <c r="J13" i="5"/>
  <c r="K13" i="5"/>
  <c r="L13" i="5"/>
  <c r="M13" i="5"/>
  <c r="N13" i="5"/>
  <c r="O13" i="5"/>
  <c r="P13" i="5"/>
  <c r="J14" i="5"/>
  <c r="K14" i="5"/>
  <c r="L14" i="5"/>
  <c r="M14" i="5"/>
  <c r="N14" i="5"/>
  <c r="O14" i="5"/>
  <c r="P14" i="5"/>
  <c r="J15" i="5"/>
  <c r="K15" i="5"/>
  <c r="L15" i="5"/>
  <c r="M15" i="5"/>
  <c r="N15" i="5"/>
  <c r="O15" i="5"/>
  <c r="P15" i="5"/>
  <c r="J16" i="5"/>
  <c r="K16" i="5"/>
  <c r="L16" i="5"/>
  <c r="M16" i="5"/>
  <c r="N16" i="5"/>
  <c r="O16" i="5"/>
  <c r="P16" i="5"/>
  <c r="J17" i="5"/>
  <c r="K17" i="5"/>
  <c r="L17" i="5"/>
  <c r="M17" i="5"/>
  <c r="N17" i="5"/>
  <c r="O17" i="5"/>
  <c r="P17" i="5"/>
  <c r="J18" i="5"/>
  <c r="K18" i="5"/>
  <c r="L18" i="5"/>
  <c r="M18" i="5"/>
  <c r="N18" i="5"/>
  <c r="O18" i="5"/>
  <c r="P18" i="5"/>
  <c r="J19" i="5"/>
  <c r="K19" i="5"/>
  <c r="L19" i="5"/>
  <c r="M19" i="5"/>
  <c r="N19" i="5"/>
  <c r="O19" i="5"/>
  <c r="P19" i="5"/>
  <c r="J20" i="5"/>
  <c r="K20" i="5"/>
  <c r="L20" i="5"/>
  <c r="M20" i="5"/>
  <c r="N20" i="5"/>
  <c r="O20" i="5"/>
  <c r="P20" i="5"/>
  <c r="J21" i="5"/>
  <c r="K21" i="5"/>
  <c r="L21" i="5"/>
  <c r="M21" i="5"/>
  <c r="N21" i="5"/>
  <c r="O21" i="5"/>
  <c r="P21" i="5"/>
  <c r="J22" i="5"/>
  <c r="K22" i="5"/>
  <c r="L22" i="5"/>
  <c r="M22" i="5"/>
  <c r="N22" i="5"/>
  <c r="O22" i="5"/>
  <c r="P22" i="5"/>
  <c r="J23" i="5"/>
  <c r="K23" i="5"/>
  <c r="L23" i="5"/>
  <c r="M23" i="5"/>
  <c r="N23" i="5"/>
  <c r="O23" i="5"/>
  <c r="P23" i="5"/>
  <c r="J24" i="5"/>
  <c r="K24" i="5"/>
  <c r="L24" i="5"/>
  <c r="M24" i="5"/>
  <c r="N24" i="5"/>
  <c r="O24" i="5"/>
  <c r="P24" i="5"/>
  <c r="J25" i="5"/>
  <c r="K25" i="5"/>
  <c r="L25" i="5"/>
  <c r="M25" i="5"/>
  <c r="N25" i="5"/>
  <c r="O25" i="5"/>
  <c r="P25" i="5"/>
  <c r="J26" i="5"/>
  <c r="K26" i="5"/>
  <c r="L26" i="5"/>
  <c r="M26" i="5"/>
  <c r="N26" i="5"/>
  <c r="O26" i="5"/>
  <c r="P26" i="5"/>
  <c r="J27" i="5"/>
  <c r="K27" i="5"/>
  <c r="L27" i="5"/>
  <c r="M27" i="5"/>
  <c r="N27" i="5"/>
  <c r="O27" i="5"/>
  <c r="P27" i="5"/>
  <c r="J28" i="5"/>
  <c r="K28" i="5"/>
  <c r="L28" i="5"/>
  <c r="M28" i="5"/>
  <c r="N28" i="5"/>
  <c r="O28" i="5"/>
  <c r="P28" i="5"/>
  <c r="J29" i="5"/>
  <c r="K29" i="5"/>
  <c r="L29" i="5"/>
  <c r="M29" i="5"/>
  <c r="N29" i="5"/>
  <c r="O29" i="5"/>
  <c r="P29" i="5"/>
  <c r="J30" i="5"/>
  <c r="K30" i="5"/>
  <c r="L30" i="5"/>
  <c r="M30" i="5"/>
  <c r="N30" i="5"/>
  <c r="O30" i="5"/>
  <c r="P30" i="5"/>
  <c r="J31" i="5"/>
  <c r="K31" i="5"/>
  <c r="L31" i="5"/>
  <c r="M31" i="5"/>
  <c r="N31" i="5"/>
  <c r="O31" i="5"/>
  <c r="P31" i="5"/>
  <c r="J32" i="5"/>
  <c r="K32" i="5"/>
  <c r="L32" i="5"/>
  <c r="M32" i="5"/>
  <c r="N32" i="5"/>
  <c r="O32" i="5"/>
  <c r="P32" i="5"/>
  <c r="J33" i="5"/>
  <c r="K33" i="5"/>
  <c r="L33" i="5"/>
  <c r="M33" i="5"/>
  <c r="N33" i="5"/>
  <c r="O33" i="5"/>
  <c r="P33" i="5"/>
  <c r="J34" i="5"/>
  <c r="K34" i="5"/>
  <c r="L34" i="5"/>
  <c r="M34" i="5"/>
  <c r="N34" i="5"/>
  <c r="O34" i="5"/>
  <c r="P34" i="5"/>
  <c r="J35" i="5"/>
  <c r="K35" i="5"/>
  <c r="L35" i="5"/>
  <c r="M35" i="5"/>
  <c r="N35" i="5"/>
  <c r="O35" i="5"/>
  <c r="P35" i="5"/>
  <c r="J36" i="5"/>
  <c r="K36" i="5"/>
  <c r="L36" i="5"/>
  <c r="M36" i="5"/>
  <c r="N36" i="5"/>
  <c r="O36" i="5"/>
  <c r="P36" i="5"/>
  <c r="J37" i="5"/>
  <c r="K37" i="5"/>
  <c r="L37" i="5"/>
  <c r="M37" i="5"/>
  <c r="N37" i="5"/>
  <c r="O37" i="5"/>
  <c r="P37" i="5"/>
  <c r="J38" i="5"/>
  <c r="K38" i="5"/>
  <c r="L38" i="5"/>
  <c r="M38" i="5"/>
  <c r="N38" i="5"/>
  <c r="O38" i="5"/>
  <c r="P38" i="5"/>
  <c r="J39" i="5"/>
  <c r="K39" i="5"/>
  <c r="L39" i="5"/>
  <c r="M39" i="5"/>
  <c r="N39" i="5"/>
  <c r="O39" i="5"/>
  <c r="P39" i="5"/>
  <c r="J40" i="5"/>
  <c r="K40" i="5"/>
  <c r="L40" i="5"/>
  <c r="M40" i="5"/>
  <c r="N40" i="5"/>
  <c r="O40" i="5"/>
  <c r="P40" i="5"/>
  <c r="J41" i="5"/>
  <c r="K41" i="5"/>
  <c r="L41" i="5"/>
  <c r="M41" i="5"/>
  <c r="N41" i="5"/>
  <c r="O41" i="5"/>
  <c r="P41" i="5"/>
  <c r="J42" i="5"/>
  <c r="K42" i="5"/>
  <c r="L42" i="5"/>
  <c r="M42" i="5"/>
  <c r="N42" i="5"/>
  <c r="O42" i="5"/>
  <c r="P42" i="5"/>
  <c r="J43" i="5"/>
  <c r="K43" i="5"/>
  <c r="L43" i="5"/>
  <c r="M43" i="5"/>
  <c r="N43" i="5"/>
  <c r="O43" i="5"/>
  <c r="P43" i="5"/>
  <c r="J44" i="5"/>
  <c r="K44" i="5"/>
  <c r="L44" i="5"/>
  <c r="M44" i="5"/>
  <c r="N44" i="5"/>
  <c r="O44" i="5"/>
  <c r="P44" i="5"/>
  <c r="J45" i="5"/>
  <c r="K45" i="5"/>
  <c r="L45" i="5"/>
  <c r="M45" i="5"/>
  <c r="N45" i="5"/>
  <c r="O45" i="5"/>
  <c r="P45" i="5"/>
  <c r="J46" i="5"/>
  <c r="K46" i="5"/>
  <c r="L46" i="5"/>
  <c r="M46" i="5"/>
  <c r="N46" i="5"/>
  <c r="O46" i="5"/>
  <c r="P46" i="5"/>
  <c r="J47" i="5"/>
  <c r="K47" i="5"/>
  <c r="L47" i="5"/>
  <c r="M47" i="5"/>
  <c r="N47" i="5"/>
  <c r="O47" i="5"/>
  <c r="P47" i="5"/>
  <c r="J48" i="5"/>
  <c r="K48" i="5"/>
  <c r="L48" i="5"/>
  <c r="M48" i="5"/>
  <c r="N48" i="5"/>
  <c r="O48" i="5"/>
  <c r="P48" i="5"/>
  <c r="J49" i="5"/>
  <c r="K49" i="5"/>
  <c r="L49" i="5"/>
  <c r="M49" i="5"/>
  <c r="N49" i="5"/>
  <c r="O49" i="5"/>
  <c r="P49" i="5"/>
  <c r="J50" i="5"/>
  <c r="K50" i="5"/>
  <c r="L50" i="5"/>
  <c r="M50" i="5"/>
  <c r="N50" i="5"/>
  <c r="O50" i="5"/>
  <c r="P50" i="5"/>
  <c r="J51" i="5"/>
  <c r="K51" i="5"/>
  <c r="L51" i="5"/>
  <c r="M51" i="5"/>
  <c r="N51" i="5"/>
  <c r="O51" i="5"/>
  <c r="P51" i="5"/>
  <c r="J52" i="5"/>
  <c r="K52" i="5"/>
  <c r="L52" i="5"/>
  <c r="M52" i="5"/>
  <c r="N52" i="5"/>
  <c r="O52" i="5"/>
  <c r="P52" i="5"/>
  <c r="J53" i="5"/>
  <c r="K53" i="5"/>
  <c r="L53" i="5"/>
  <c r="M53" i="5"/>
  <c r="N53" i="5"/>
  <c r="O53" i="5"/>
  <c r="P53" i="5"/>
  <c r="J54" i="5"/>
  <c r="K54" i="5"/>
  <c r="L54" i="5"/>
  <c r="M54" i="5"/>
  <c r="N54" i="5"/>
  <c r="O54" i="5"/>
  <c r="P54" i="5"/>
  <c r="J55" i="5"/>
  <c r="K55" i="5"/>
  <c r="L55" i="5"/>
  <c r="M55" i="5"/>
  <c r="N55" i="5"/>
  <c r="O55" i="5"/>
  <c r="P55" i="5"/>
  <c r="J56" i="5"/>
  <c r="K56" i="5"/>
  <c r="L56" i="5"/>
  <c r="M56" i="5"/>
  <c r="N56" i="5"/>
  <c r="O56" i="5"/>
  <c r="P56" i="5"/>
  <c r="J57" i="5"/>
  <c r="K57" i="5"/>
  <c r="L57" i="5"/>
  <c r="M57" i="5"/>
  <c r="N57" i="5"/>
  <c r="O57" i="5"/>
  <c r="P57" i="5"/>
  <c r="J58" i="5"/>
  <c r="K58" i="5"/>
  <c r="L58" i="5"/>
  <c r="M58" i="5"/>
  <c r="N58" i="5"/>
  <c r="O58" i="5"/>
  <c r="P58" i="5"/>
  <c r="J59" i="5"/>
  <c r="K59" i="5"/>
  <c r="L59" i="5"/>
  <c r="M59" i="5"/>
  <c r="N59" i="5"/>
  <c r="O59" i="5"/>
  <c r="P59" i="5"/>
  <c r="J60" i="5"/>
  <c r="K60" i="5"/>
  <c r="L60" i="5"/>
  <c r="M60" i="5"/>
  <c r="N60" i="5"/>
  <c r="O60" i="5"/>
  <c r="P60" i="5"/>
  <c r="J61" i="5"/>
  <c r="K61" i="5"/>
  <c r="L61" i="5"/>
  <c r="M61" i="5"/>
  <c r="N61" i="5"/>
  <c r="O61" i="5"/>
  <c r="P61" i="5"/>
  <c r="J62" i="5"/>
  <c r="K62" i="5"/>
  <c r="L62" i="5"/>
  <c r="M62" i="5"/>
  <c r="N62" i="5"/>
  <c r="O62" i="5"/>
  <c r="P62" i="5"/>
  <c r="J63" i="5"/>
  <c r="K63" i="5"/>
  <c r="L63" i="5"/>
  <c r="M63" i="5"/>
  <c r="N63" i="5"/>
  <c r="O63" i="5"/>
  <c r="P63" i="5"/>
  <c r="J64" i="5"/>
  <c r="K64" i="5"/>
  <c r="L64" i="5"/>
  <c r="M64" i="5"/>
  <c r="N64" i="5"/>
  <c r="O64" i="5"/>
  <c r="P64" i="5"/>
  <c r="J65" i="5"/>
  <c r="K65" i="5"/>
  <c r="L65" i="5"/>
  <c r="M65" i="5"/>
  <c r="N65" i="5"/>
  <c r="O65" i="5"/>
  <c r="P65" i="5"/>
  <c r="J66" i="5"/>
  <c r="K66" i="5"/>
  <c r="L66" i="5"/>
  <c r="M66" i="5"/>
  <c r="N66" i="5"/>
  <c r="O66" i="5"/>
  <c r="P66" i="5"/>
  <c r="K2" i="5"/>
  <c r="L2" i="5"/>
  <c r="M2" i="5"/>
  <c r="N2" i="5"/>
  <c r="O2" i="5"/>
  <c r="P2" i="5"/>
  <c r="J2" i="5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2" i="4"/>
  <c r="P2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2" i="3"/>
  <c r="J3" i="4"/>
  <c r="K3" i="4"/>
  <c r="L3" i="4"/>
  <c r="M3" i="4"/>
  <c r="N3" i="4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K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J48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K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K2" i="4"/>
  <c r="L2" i="4"/>
  <c r="M2" i="4"/>
  <c r="N2" i="4"/>
  <c r="J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K2" i="3"/>
  <c r="L2" i="3"/>
  <c r="M2" i="3"/>
  <c r="N2" i="3"/>
  <c r="O2" i="3"/>
  <c r="J2" i="3"/>
  <c r="S3" i="8"/>
  <c r="T3" i="8"/>
  <c r="U3" i="8"/>
  <c r="V3" i="8"/>
  <c r="X3" i="8"/>
  <c r="Y3" i="8"/>
  <c r="Z3" i="8"/>
  <c r="S4" i="8"/>
  <c r="T4" i="8"/>
  <c r="U4" i="8"/>
  <c r="V4" i="8"/>
  <c r="X4" i="8"/>
  <c r="Y4" i="8"/>
  <c r="Z4" i="8"/>
  <c r="S5" i="8"/>
  <c r="T5" i="8"/>
  <c r="U5" i="8"/>
  <c r="V5" i="8"/>
  <c r="X5" i="8"/>
  <c r="Y5" i="8"/>
  <c r="Z5" i="8"/>
  <c r="S6" i="8"/>
  <c r="T6" i="8"/>
  <c r="U6" i="8"/>
  <c r="V6" i="8"/>
  <c r="X6" i="8"/>
  <c r="Y6" i="8"/>
  <c r="Z6" i="8"/>
  <c r="S7" i="8"/>
  <c r="T7" i="8"/>
  <c r="U7" i="8"/>
  <c r="V7" i="8"/>
  <c r="X7" i="8"/>
  <c r="Y7" i="8"/>
  <c r="Z7" i="8"/>
  <c r="S8" i="8"/>
  <c r="T8" i="8"/>
  <c r="U8" i="8"/>
  <c r="V8" i="8"/>
  <c r="W8" i="8"/>
  <c r="X8" i="8"/>
  <c r="Y8" i="8"/>
  <c r="Z8" i="8"/>
  <c r="S9" i="8"/>
  <c r="T9" i="8"/>
  <c r="U9" i="8"/>
  <c r="V9" i="8"/>
  <c r="W9" i="8"/>
  <c r="X9" i="8"/>
  <c r="Y9" i="8"/>
  <c r="Z9" i="8"/>
  <c r="S10" i="8"/>
  <c r="T10" i="8"/>
  <c r="U10" i="8"/>
  <c r="V10" i="8"/>
  <c r="W10" i="8"/>
  <c r="X10" i="8"/>
  <c r="Y10" i="8"/>
  <c r="Z10" i="8"/>
  <c r="S11" i="8"/>
  <c r="T11" i="8"/>
  <c r="U11" i="8"/>
  <c r="V11" i="8"/>
  <c r="W11" i="8"/>
  <c r="X11" i="8"/>
  <c r="Y11" i="8"/>
  <c r="Z11" i="8"/>
  <c r="S12" i="8"/>
  <c r="T12" i="8"/>
  <c r="U12" i="8"/>
  <c r="V12" i="8"/>
  <c r="W12" i="8"/>
  <c r="X12" i="8"/>
  <c r="Y12" i="8"/>
  <c r="Z12" i="8"/>
  <c r="S13" i="8"/>
  <c r="T13" i="8"/>
  <c r="U13" i="8"/>
  <c r="V13" i="8"/>
  <c r="W13" i="8"/>
  <c r="X13" i="8"/>
  <c r="Y13" i="8"/>
  <c r="Z13" i="8"/>
  <c r="S14" i="8"/>
  <c r="T14" i="8"/>
  <c r="U14" i="8"/>
  <c r="V14" i="8"/>
  <c r="X14" i="8"/>
  <c r="Y14" i="8"/>
  <c r="Z14" i="8"/>
  <c r="S15" i="8"/>
  <c r="T15" i="8"/>
  <c r="U15" i="8"/>
  <c r="V15" i="8"/>
  <c r="X15" i="8"/>
  <c r="Y15" i="8"/>
  <c r="Z15" i="8"/>
  <c r="S16" i="8"/>
  <c r="T16" i="8"/>
  <c r="U16" i="8"/>
  <c r="V16" i="8"/>
  <c r="W16" i="8"/>
  <c r="X16" i="8"/>
  <c r="Y16" i="8"/>
  <c r="Z16" i="8"/>
  <c r="S17" i="8"/>
  <c r="T17" i="8"/>
  <c r="U17" i="8"/>
  <c r="V17" i="8"/>
  <c r="W17" i="8"/>
  <c r="X17" i="8"/>
  <c r="Y17" i="8"/>
  <c r="Z17" i="8"/>
  <c r="S18" i="8"/>
  <c r="T18" i="8"/>
  <c r="U18" i="8"/>
  <c r="V18" i="8"/>
  <c r="W18" i="8"/>
  <c r="X18" i="8"/>
  <c r="Y18" i="8"/>
  <c r="Z18" i="8"/>
  <c r="S19" i="8"/>
  <c r="T19" i="8"/>
  <c r="U19" i="8"/>
  <c r="V19" i="8"/>
  <c r="W19" i="8"/>
  <c r="X19" i="8"/>
  <c r="Y19" i="8"/>
  <c r="Z19" i="8"/>
  <c r="S20" i="8"/>
  <c r="T20" i="8"/>
  <c r="U20" i="8"/>
  <c r="V20" i="8"/>
  <c r="W20" i="8"/>
  <c r="X20" i="8"/>
  <c r="Y20" i="8"/>
  <c r="Z20" i="8"/>
  <c r="S21" i="8"/>
  <c r="T21" i="8"/>
  <c r="U21" i="8"/>
  <c r="V21" i="8"/>
  <c r="W21" i="8"/>
  <c r="X21" i="8"/>
  <c r="Y21" i="8"/>
  <c r="Z21" i="8"/>
  <c r="S22" i="8"/>
  <c r="T22" i="8"/>
  <c r="U22" i="8"/>
  <c r="V22" i="8"/>
  <c r="X22" i="8"/>
  <c r="Y22" i="8"/>
  <c r="Z22" i="8"/>
  <c r="S23" i="8"/>
  <c r="T23" i="8"/>
  <c r="U23" i="8"/>
  <c r="V23" i="8"/>
  <c r="X23" i="8"/>
  <c r="Y23" i="8"/>
  <c r="Z23" i="8"/>
  <c r="S24" i="8"/>
  <c r="T24" i="8"/>
  <c r="U24" i="8"/>
  <c r="V24" i="8"/>
  <c r="W24" i="8"/>
  <c r="X24" i="8"/>
  <c r="Y24" i="8"/>
  <c r="Z24" i="8"/>
  <c r="S25" i="8"/>
  <c r="T25" i="8"/>
  <c r="U25" i="8"/>
  <c r="V25" i="8"/>
  <c r="W25" i="8"/>
  <c r="X25" i="8"/>
  <c r="Y25" i="8"/>
  <c r="Z25" i="8"/>
  <c r="S26" i="8"/>
  <c r="T26" i="8"/>
  <c r="U26" i="8"/>
  <c r="V26" i="8"/>
  <c r="W26" i="8"/>
  <c r="X26" i="8"/>
  <c r="Y26" i="8"/>
  <c r="Z26" i="8"/>
  <c r="S27" i="8"/>
  <c r="T27" i="8"/>
  <c r="U27" i="8"/>
  <c r="V27" i="8"/>
  <c r="W27" i="8"/>
  <c r="X27" i="8"/>
  <c r="Y27" i="8"/>
  <c r="Z27" i="8"/>
  <c r="S28" i="8"/>
  <c r="T28" i="8"/>
  <c r="U28" i="8"/>
  <c r="V28" i="8"/>
  <c r="W28" i="8"/>
  <c r="X28" i="8"/>
  <c r="Y28" i="8"/>
  <c r="Z28" i="8"/>
  <c r="S29" i="8"/>
  <c r="T29" i="8"/>
  <c r="U29" i="8"/>
  <c r="V29" i="8"/>
  <c r="W29" i="8"/>
  <c r="X29" i="8"/>
  <c r="Y29" i="8"/>
  <c r="Z29" i="8"/>
  <c r="S30" i="8"/>
  <c r="T30" i="8"/>
  <c r="U30" i="8"/>
  <c r="V30" i="8"/>
  <c r="X30" i="8"/>
  <c r="Y30" i="8"/>
  <c r="Z30" i="8"/>
  <c r="S31" i="8"/>
  <c r="T31" i="8"/>
  <c r="U31" i="8"/>
  <c r="V31" i="8"/>
  <c r="X31" i="8"/>
  <c r="Y31" i="8"/>
  <c r="Z31" i="8"/>
  <c r="S32" i="8"/>
  <c r="T32" i="8"/>
  <c r="U32" i="8"/>
  <c r="V32" i="8"/>
  <c r="W32" i="8"/>
  <c r="X32" i="8"/>
  <c r="Y32" i="8"/>
  <c r="Z32" i="8"/>
  <c r="S33" i="8"/>
  <c r="T33" i="8"/>
  <c r="U33" i="8"/>
  <c r="V33" i="8"/>
  <c r="W33" i="8"/>
  <c r="X33" i="8"/>
  <c r="Y33" i="8"/>
  <c r="Z33" i="8"/>
  <c r="S34" i="8"/>
  <c r="T34" i="8"/>
  <c r="U34" i="8"/>
  <c r="V34" i="8"/>
  <c r="W34" i="8"/>
  <c r="X34" i="8"/>
  <c r="Y34" i="8"/>
  <c r="Z34" i="8"/>
  <c r="S35" i="8"/>
  <c r="T35" i="8"/>
  <c r="U35" i="8"/>
  <c r="V35" i="8"/>
  <c r="W35" i="8"/>
  <c r="X35" i="8"/>
  <c r="Y35" i="8"/>
  <c r="Z35" i="8"/>
  <c r="S36" i="8"/>
  <c r="T36" i="8"/>
  <c r="U36" i="8"/>
  <c r="V36" i="8"/>
  <c r="W36" i="8"/>
  <c r="X36" i="8"/>
  <c r="Y36" i="8"/>
  <c r="Z36" i="8"/>
  <c r="S37" i="8"/>
  <c r="T37" i="8"/>
  <c r="U37" i="8"/>
  <c r="V37" i="8"/>
  <c r="W37" i="8"/>
  <c r="X37" i="8"/>
  <c r="Y37" i="8"/>
  <c r="Z37" i="8"/>
  <c r="S38" i="8"/>
  <c r="T38" i="8"/>
  <c r="U38" i="8"/>
  <c r="V38" i="8"/>
  <c r="X38" i="8"/>
  <c r="Y38" i="8"/>
  <c r="Z38" i="8"/>
  <c r="S39" i="8"/>
  <c r="T39" i="8"/>
  <c r="U39" i="8"/>
  <c r="V39" i="8"/>
  <c r="X39" i="8"/>
  <c r="Y39" i="8"/>
  <c r="Z39" i="8"/>
  <c r="S40" i="8"/>
  <c r="T40" i="8"/>
  <c r="U40" i="8"/>
  <c r="V40" i="8"/>
  <c r="W40" i="8"/>
  <c r="X40" i="8"/>
  <c r="Y40" i="8"/>
  <c r="Z40" i="8"/>
  <c r="S41" i="8"/>
  <c r="T41" i="8"/>
  <c r="U41" i="8"/>
  <c r="V41" i="8"/>
  <c r="W41" i="8"/>
  <c r="X41" i="8"/>
  <c r="Y41" i="8"/>
  <c r="Z41" i="8"/>
  <c r="S42" i="8"/>
  <c r="T42" i="8"/>
  <c r="U42" i="8"/>
  <c r="V42" i="8"/>
  <c r="W42" i="8"/>
  <c r="X42" i="8"/>
  <c r="Y42" i="8"/>
  <c r="Z42" i="8"/>
  <c r="S43" i="8"/>
  <c r="T43" i="8"/>
  <c r="U43" i="8"/>
  <c r="V43" i="8"/>
  <c r="W43" i="8"/>
  <c r="X43" i="8"/>
  <c r="Y43" i="8"/>
  <c r="Z43" i="8"/>
  <c r="S44" i="8"/>
  <c r="T44" i="8"/>
  <c r="U44" i="8"/>
  <c r="V44" i="8"/>
  <c r="W44" i="8"/>
  <c r="X44" i="8"/>
  <c r="Y44" i="8"/>
  <c r="Z44" i="8"/>
  <c r="S45" i="8"/>
  <c r="T45" i="8"/>
  <c r="U45" i="8"/>
  <c r="V45" i="8"/>
  <c r="W45" i="8"/>
  <c r="X45" i="8"/>
  <c r="Y45" i="8"/>
  <c r="Z45" i="8"/>
  <c r="S46" i="8"/>
  <c r="T46" i="8"/>
  <c r="U46" i="8"/>
  <c r="V46" i="8"/>
  <c r="X46" i="8"/>
  <c r="Y46" i="8"/>
  <c r="Z46" i="8"/>
  <c r="S47" i="8"/>
  <c r="T47" i="8"/>
  <c r="U47" i="8"/>
  <c r="V47" i="8"/>
  <c r="X47" i="8"/>
  <c r="Y47" i="8"/>
  <c r="Z47" i="8"/>
  <c r="S48" i="8"/>
  <c r="T48" i="8"/>
  <c r="U48" i="8"/>
  <c r="V48" i="8"/>
  <c r="W48" i="8"/>
  <c r="X48" i="8"/>
  <c r="Y48" i="8"/>
  <c r="Z48" i="8"/>
  <c r="S49" i="8"/>
  <c r="T49" i="8"/>
  <c r="U49" i="8"/>
  <c r="V49" i="8"/>
  <c r="W49" i="8"/>
  <c r="X49" i="8"/>
  <c r="Y49" i="8"/>
  <c r="Z49" i="8"/>
  <c r="S50" i="8"/>
  <c r="T50" i="8"/>
  <c r="U50" i="8"/>
  <c r="V50" i="8"/>
  <c r="W50" i="8"/>
  <c r="X50" i="8"/>
  <c r="Y50" i="8"/>
  <c r="Z50" i="8"/>
  <c r="S51" i="8"/>
  <c r="T51" i="8"/>
  <c r="U51" i="8"/>
  <c r="V51" i="8"/>
  <c r="W51" i="8"/>
  <c r="X51" i="8"/>
  <c r="Y51" i="8"/>
  <c r="Z51" i="8"/>
  <c r="S52" i="8"/>
  <c r="T52" i="8"/>
  <c r="U52" i="8"/>
  <c r="V52" i="8"/>
  <c r="W52" i="8"/>
  <c r="X52" i="8"/>
  <c r="Y52" i="8"/>
  <c r="Z52" i="8"/>
  <c r="S53" i="8"/>
  <c r="T53" i="8"/>
  <c r="U53" i="8"/>
  <c r="V53" i="8"/>
  <c r="W53" i="8"/>
  <c r="X53" i="8"/>
  <c r="Y53" i="8"/>
  <c r="Z53" i="8"/>
  <c r="S54" i="8"/>
  <c r="T54" i="8"/>
  <c r="U54" i="8"/>
  <c r="V54" i="8"/>
  <c r="X54" i="8"/>
  <c r="Y54" i="8"/>
  <c r="Z54" i="8"/>
  <c r="S55" i="8"/>
  <c r="T55" i="8"/>
  <c r="U55" i="8"/>
  <c r="V55" i="8"/>
  <c r="X55" i="8"/>
  <c r="Y55" i="8"/>
  <c r="Z55" i="8"/>
  <c r="S56" i="8"/>
  <c r="T56" i="8"/>
  <c r="U56" i="8"/>
  <c r="V56" i="8"/>
  <c r="W56" i="8"/>
  <c r="X56" i="8"/>
  <c r="Y56" i="8"/>
  <c r="Z56" i="8"/>
  <c r="S57" i="8"/>
  <c r="T57" i="8"/>
  <c r="U57" i="8"/>
  <c r="V57" i="8"/>
  <c r="W57" i="8"/>
  <c r="X57" i="8"/>
  <c r="Y57" i="8"/>
  <c r="Z57" i="8"/>
  <c r="S58" i="8"/>
  <c r="T58" i="8"/>
  <c r="U58" i="8"/>
  <c r="V58" i="8"/>
  <c r="W58" i="8"/>
  <c r="X58" i="8"/>
  <c r="Y58" i="8"/>
  <c r="Z58" i="8"/>
  <c r="S59" i="8"/>
  <c r="T59" i="8"/>
  <c r="U59" i="8"/>
  <c r="V59" i="8"/>
  <c r="W59" i="8"/>
  <c r="X59" i="8"/>
  <c r="Y59" i="8"/>
  <c r="Z59" i="8"/>
  <c r="S60" i="8"/>
  <c r="T60" i="8"/>
  <c r="U60" i="8"/>
  <c r="V60" i="8"/>
  <c r="W60" i="8"/>
  <c r="X60" i="8"/>
  <c r="Y60" i="8"/>
  <c r="Z60" i="8"/>
  <c r="S61" i="8"/>
  <c r="T61" i="8"/>
  <c r="U61" i="8"/>
  <c r="V61" i="8"/>
  <c r="W61" i="8"/>
  <c r="X61" i="8"/>
  <c r="Y61" i="8"/>
  <c r="Z61" i="8"/>
  <c r="S62" i="8"/>
  <c r="T62" i="8"/>
  <c r="U62" i="8"/>
  <c r="V62" i="8"/>
  <c r="X62" i="8"/>
  <c r="Y62" i="8"/>
  <c r="Z62" i="8"/>
  <c r="S63" i="8"/>
  <c r="T63" i="8"/>
  <c r="U63" i="8"/>
  <c r="V63" i="8"/>
  <c r="X63" i="8"/>
  <c r="Y63" i="8"/>
  <c r="Z63" i="8"/>
  <c r="S64" i="8"/>
  <c r="T64" i="8"/>
  <c r="U64" i="8"/>
  <c r="V64" i="8"/>
  <c r="W64" i="8"/>
  <c r="X64" i="8"/>
  <c r="Y64" i="8"/>
  <c r="Z64" i="8"/>
  <c r="S65" i="8"/>
  <c r="T65" i="8"/>
  <c r="U65" i="8"/>
  <c r="V65" i="8"/>
  <c r="W65" i="8"/>
  <c r="X65" i="8"/>
  <c r="Y65" i="8"/>
  <c r="Z65" i="8"/>
  <c r="S66" i="8"/>
  <c r="T66" i="8"/>
  <c r="U66" i="8"/>
  <c r="V66" i="8"/>
  <c r="W66" i="8"/>
  <c r="X66" i="8"/>
  <c r="Y66" i="8"/>
  <c r="Z66" i="8"/>
  <c r="X2" i="8"/>
  <c r="T2" i="8"/>
  <c r="U2" i="8"/>
  <c r="V2" i="8"/>
  <c r="W2" i="8"/>
  <c r="Y2" i="8"/>
  <c r="Z2" i="8"/>
  <c r="S2" i="8"/>
  <c r="O66" i="8"/>
  <c r="O65" i="8"/>
  <c r="O64" i="8"/>
  <c r="O63" i="8"/>
  <c r="O62" i="8"/>
  <c r="W62" i="8" s="1"/>
  <c r="O61" i="8"/>
  <c r="O60" i="8"/>
  <c r="O59" i="8"/>
  <c r="O58" i="8"/>
  <c r="O57" i="8"/>
  <c r="O56" i="8"/>
  <c r="O55" i="8"/>
  <c r="O54" i="8"/>
  <c r="W54" i="8" s="1"/>
  <c r="O53" i="8"/>
  <c r="O52" i="8"/>
  <c r="O51" i="8"/>
  <c r="O50" i="8"/>
  <c r="O49" i="8"/>
  <c r="O48" i="8"/>
  <c r="O47" i="8"/>
  <c r="O46" i="8"/>
  <c r="W46" i="8" s="1"/>
  <c r="O45" i="8"/>
  <c r="O44" i="8"/>
  <c r="O43" i="8"/>
  <c r="O42" i="8"/>
  <c r="O41" i="8"/>
  <c r="O40" i="8"/>
  <c r="O39" i="8"/>
  <c r="O38" i="8"/>
  <c r="W38" i="8" s="1"/>
  <c r="O37" i="8"/>
  <c r="O36" i="8"/>
  <c r="O35" i="8"/>
  <c r="O34" i="8"/>
  <c r="O33" i="8"/>
  <c r="O32" i="8"/>
  <c r="O31" i="8"/>
  <c r="O30" i="8"/>
  <c r="W30" i="8" s="1"/>
  <c r="O29" i="8"/>
  <c r="O28" i="8"/>
  <c r="O27" i="8"/>
  <c r="O26" i="8"/>
  <c r="O25" i="8"/>
  <c r="O24" i="8"/>
  <c r="O23" i="8"/>
  <c r="O22" i="8"/>
  <c r="W22" i="8" s="1"/>
  <c r="O21" i="8"/>
  <c r="O20" i="8"/>
  <c r="O19" i="8"/>
  <c r="O18" i="8"/>
  <c r="O17" i="8"/>
  <c r="O16" i="8"/>
  <c r="O15" i="8"/>
  <c r="O14" i="8"/>
  <c r="W14" i="8" s="1"/>
  <c r="O13" i="8"/>
  <c r="O12" i="8"/>
  <c r="O11" i="8"/>
  <c r="O10" i="8"/>
  <c r="O9" i="8"/>
  <c r="O8" i="8"/>
  <c r="O7" i="8"/>
  <c r="O6" i="8"/>
  <c r="W6" i="8" s="1"/>
  <c r="O5" i="8"/>
  <c r="O4" i="8"/>
  <c r="O3" i="8"/>
  <c r="W3" i="8" s="1"/>
  <c r="O2" i="8"/>
  <c r="G66" i="8"/>
  <c r="G65" i="8"/>
  <c r="G64" i="8"/>
  <c r="G63" i="8"/>
  <c r="W63" i="8" s="1"/>
  <c r="G62" i="8"/>
  <c r="G61" i="8"/>
  <c r="G60" i="8"/>
  <c r="G59" i="8"/>
  <c r="G58" i="8"/>
  <c r="G57" i="8"/>
  <c r="G56" i="8"/>
  <c r="G55" i="8"/>
  <c r="W55" i="8" s="1"/>
  <c r="G54" i="8"/>
  <c r="G53" i="8"/>
  <c r="G52" i="8"/>
  <c r="G51" i="8"/>
  <c r="G50" i="8"/>
  <c r="G49" i="8"/>
  <c r="G48" i="8"/>
  <c r="G47" i="8"/>
  <c r="W47" i="8" s="1"/>
  <c r="G46" i="8"/>
  <c r="G45" i="8"/>
  <c r="G44" i="8"/>
  <c r="G43" i="8"/>
  <c r="G42" i="8"/>
  <c r="G41" i="8"/>
  <c r="G40" i="8"/>
  <c r="G39" i="8"/>
  <c r="W39" i="8" s="1"/>
  <c r="G38" i="8"/>
  <c r="G37" i="8"/>
  <c r="G36" i="8"/>
  <c r="G35" i="8"/>
  <c r="G34" i="8"/>
  <c r="G33" i="8"/>
  <c r="G32" i="8"/>
  <c r="G31" i="8"/>
  <c r="W31" i="8" s="1"/>
  <c r="G30" i="8"/>
  <c r="G29" i="8"/>
  <c r="G28" i="8"/>
  <c r="G27" i="8"/>
  <c r="G26" i="8"/>
  <c r="G25" i="8"/>
  <c r="G24" i="8"/>
  <c r="G23" i="8"/>
  <c r="W23" i="8" s="1"/>
  <c r="G22" i="8"/>
  <c r="G21" i="8"/>
  <c r="G20" i="8"/>
  <c r="G19" i="8"/>
  <c r="G18" i="8"/>
  <c r="G17" i="8"/>
  <c r="G16" i="8"/>
  <c r="G15" i="8"/>
  <c r="W15" i="8" s="1"/>
  <c r="G14" i="8"/>
  <c r="G13" i="8"/>
  <c r="G12" i="8"/>
  <c r="G11" i="8"/>
  <c r="G10" i="8"/>
  <c r="G9" i="8"/>
  <c r="G8" i="8"/>
  <c r="G7" i="8"/>
  <c r="W7" i="8" s="1"/>
  <c r="G6" i="8"/>
  <c r="G5" i="8"/>
  <c r="W5" i="8" s="1"/>
  <c r="G4" i="8"/>
  <c r="W4" i="8" s="1"/>
  <c r="G3" i="8"/>
  <c r="G2" i="8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3" i="2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3" i="6"/>
</calcChain>
</file>

<file path=xl/sharedStrings.xml><?xml version="1.0" encoding="utf-8"?>
<sst xmlns="http://schemas.openxmlformats.org/spreadsheetml/2006/main" count="746" uniqueCount="125">
  <si>
    <t>Epi week</t>
  </si>
  <si>
    <t>age 0-4</t>
  </si>
  <si>
    <t>age 15-29</t>
  </si>
  <si>
    <t>age 30-64</t>
  </si>
  <si>
    <t>Total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</si>
  <si>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</si>
  <si>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</si>
  <si>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</si>
  <si>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</si>
  <si>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</si>
  <si>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</si>
  <si>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</si>
  <si>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</si>
  <si>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</si>
  <si>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</si>
  <si>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</si>
  <si>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</si>
  <si>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</si>
  <si>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age 5-14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</si>
  <si>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</si>
  <si>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</si>
  <si>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</si>
  <si>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</si>
  <si>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</si>
  <si>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</si>
  <si>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</si>
  <si>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</si>
  <si>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</si>
  <si>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</si>
  <si>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</si>
  <si>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</si>
  <si>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</si>
  <si>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</si>
  <si>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</si>
  <si>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</si>
  <si>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</si>
  <si>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</si>
  <si>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</si>
  <si>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</si>
  <si>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</si>
  <si>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</si>
  <si>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</si>
  <si>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</si>
  <si>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</si>
  <si>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</si>
  <si>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</si>
  <si>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</si>
  <si>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</si>
  <si>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</si>
  <si>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</si>
  <si>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</si>
  <si>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</si>
  <si>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</si>
  <si>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</si>
  <si>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</si>
  <si>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</si>
  <si>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</si>
  <si>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</si>
  <si>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</si>
  <si>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</si>
  <si>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</si>
  <si>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</si>
  <si>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</si>
  <si>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</si>
  <si>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</si>
  <si>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</si>
  <si>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</si>
  <si>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</si>
  <si>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</si>
  <si>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</si>
  <si>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</si>
  <si>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 xml:space="preserve">Please, complete the Excel sheets with aggregated data to the extent possible. </t>
  </si>
  <si>
    <r>
      <t xml:space="preserve">catchment population -
</t>
    </r>
    <r>
      <rPr>
        <b/>
        <i/>
        <sz val="11"/>
        <color theme="4" tint="-0.249977111117893"/>
        <rFont val="Calibri"/>
        <family val="2"/>
        <scheme val="minor"/>
      </rPr>
      <t xml:space="preserve"> if the population is stable throughout, you can simply fill in the first row (row number 3)</t>
    </r>
  </si>
  <si>
    <t xml:space="preserve">These templates cover the period from week 40 of 2024 to week 52 of 2025. However, countries are welcome to provide data from a shorter (week 01 of 2025 to week 52 of 2025) or a longer period (week 40 of 2020 to week 01 of 2025) according to data availability. </t>
  </si>
  <si>
    <r>
      <t xml:space="preserve">Number of SARI hospitalisations. 
</t>
    </r>
    <r>
      <rPr>
        <b/>
        <i/>
        <sz val="11"/>
        <color theme="4" tint="-0.249977111117893"/>
        <rFont val="Calibri"/>
        <family val="2"/>
        <scheme val="minor"/>
      </rPr>
      <t>In case you cannot provide the catchment population in the corresponding Excel sheet, then provide here SARI admission rates (number of  SARI hospitalisations per 100,000 population)</t>
    </r>
  </si>
  <si>
    <t>age 80+</t>
  </si>
  <si>
    <t>age 65-79</t>
  </si>
  <si>
    <t>saricase0_4</t>
  </si>
  <si>
    <t>saricase05_14</t>
  </si>
  <si>
    <t>saricase15_29</t>
  </si>
  <si>
    <t>saricase30_64</t>
  </si>
  <si>
    <t>saricase65+</t>
  </si>
  <si>
    <t>saricase_total</t>
  </si>
  <si>
    <t>saricase65_79</t>
  </si>
  <si>
    <t>saricase80+</t>
  </si>
  <si>
    <t>denom_age 0-4</t>
  </si>
  <si>
    <t>denom_age 5-14</t>
  </si>
  <si>
    <t>denom_age 15-29</t>
  </si>
  <si>
    <t>denom_age 30-64</t>
  </si>
  <si>
    <t>denom_age 65+</t>
  </si>
  <si>
    <t>denom_Total</t>
  </si>
  <si>
    <t>denom_age 65_79</t>
  </si>
  <si>
    <t>denom_age80+</t>
  </si>
  <si>
    <t>saricaserate0_4</t>
  </si>
  <si>
    <t>saricaserate05_14</t>
  </si>
  <si>
    <t>saricaserate15_29</t>
  </si>
  <si>
    <t>saricaserate30_64</t>
  </si>
  <si>
    <t>saricaserate_total</t>
  </si>
  <si>
    <t>saricaserate65_79</t>
  </si>
  <si>
    <t>saricaserate80+</t>
  </si>
  <si>
    <t>saricaserate65plus</t>
  </si>
  <si>
    <t>week</t>
  </si>
  <si>
    <t>country</t>
  </si>
  <si>
    <t>ES</t>
  </si>
  <si>
    <t>sc2_pos_0_4</t>
  </si>
  <si>
    <t>sc2_pos_5_14</t>
  </si>
  <si>
    <t>sc2_pos_15_29</t>
  </si>
  <si>
    <t>sc2_pos_30_64</t>
  </si>
  <si>
    <t>sc2_pos_total</t>
  </si>
  <si>
    <t>flu_pos_0_4</t>
  </si>
  <si>
    <t>flu_pos_5_14</t>
  </si>
  <si>
    <t>flu_pos_15_29</t>
  </si>
  <si>
    <t>flu_pos_30_64</t>
  </si>
  <si>
    <t>flu_pos_total</t>
  </si>
  <si>
    <t>sc2_pos_65_79</t>
  </si>
  <si>
    <t>sc2_pos_80plus</t>
  </si>
  <si>
    <t>flu_pos_65_79</t>
  </si>
  <si>
    <t>flu_pos_80plus</t>
  </si>
  <si>
    <t>rsv_pos_0_4</t>
  </si>
  <si>
    <t>rsv_pos_5_14</t>
  </si>
  <si>
    <t>rsv_pos_15_29</t>
  </si>
  <si>
    <t>rsv_pos_30_64</t>
  </si>
  <si>
    <t>rsv_pos_80plus</t>
  </si>
  <si>
    <t>rsv_pos_total</t>
  </si>
  <si>
    <t>rsv_pos_65_79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</si>
</sst>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1" fillId="0" borderId="1" xfId="1" applyBorder="1"/>
    <xf numFmtId="164" fontId="1" fillId="0" borderId="1" xfId="1" applyNumberFormat="1" applyBorder="1"/>
    <xf numFmtId="164" fontId="1" fillId="0" borderId="0" xfId="1" applyNumberFormat="1"/>
    <xf numFmtId="0" fontId="2" fillId="0" borderId="1" xfId="1" applyFont="1" applyBorder="1" applyAlignment="1">
      <alignment vertical="center"/>
    </xf>
    <xf numFmtId="0" fontId="0" fillId="2" borderId="0" xfId="0" applyFill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17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165" fontId="1" fillId="0" borderId="0" xfId="1" applyNumberFormat="1"/>
    <xf numFmtId="0" fontId="3" fillId="0" borderId="1" xfId="0" applyFont="1" applyBorder="1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3572-02D7-4D17-8055-14A6D8FBA40A}">
  <dimension ref="A2:A3"/>
  <sheetViews>
    <sheetView workbookViewId="0">
      <selection activeCell="M31" sqref="M31"/>
    </sheetView>
  </sheetViews>
  <sheetFormatPr defaultColWidth="8.88671875" defaultRowHeight="14.4" x14ac:dyDescent="0.3"/>
  <cols>
    <col min="1" max="16384" width="8.88671875" style="7"/>
  </cols>
  <sheetData>
    <row r="2" spans="1:1" x14ac:dyDescent="0.3">
      <c r="A2" s="7" t="s">
        <v>71</v>
      </c>
    </row>
    <row r="3" spans="1:1" x14ac:dyDescent="0.3">
      <c r="A3" s="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I67"/>
  <sheetViews>
    <sheetView topLeftCell="A30" workbookViewId="0">
      <selection activeCell="A2" sqref="A2:I67"/>
    </sheetView>
  </sheetViews>
  <sheetFormatPr defaultColWidth="8.88671875" defaultRowHeight="14.4" x14ac:dyDescent="0.3"/>
  <cols>
    <col min="1" max="1" width="15.44140625" style="2" customWidth="1"/>
    <col min="2" max="2" width="11" style="2" customWidth="1"/>
    <col min="3" max="3" width="16.6640625" style="2" customWidth="1"/>
    <col min="4" max="4" width="17.44140625" style="2" customWidth="1"/>
    <col min="5" max="7" width="12.33203125" style="2" customWidth="1"/>
    <col min="8" max="8" width="11.6640625" style="2" customWidth="1"/>
    <col min="9" max="9" width="16.88671875" style="2" customWidth="1"/>
    <col min="10" max="16384" width="8.88671875" style="2"/>
  </cols>
  <sheetData>
    <row r="1" spans="1:9" ht="87" customHeight="1" x14ac:dyDescent="0.3">
      <c r="A1" s="6" t="s">
        <v>0</v>
      </c>
      <c r="B1" s="17" t="s">
        <v>74</v>
      </c>
      <c r="C1" s="17"/>
      <c r="D1" s="17"/>
      <c r="E1" s="17"/>
      <c r="F1" s="17"/>
      <c r="G1" s="17"/>
      <c r="H1" s="17"/>
      <c r="I1" s="17"/>
    </row>
    <row r="2" spans="1:9" ht="20.399999999999999" customHeight="1" x14ac:dyDescent="0.3">
      <c r="A2" s="6"/>
      <c r="B2" s="12" t="s">
        <v>77</v>
      </c>
      <c r="C2" s="12" t="s">
        <v>78</v>
      </c>
      <c r="D2" s="13" t="s">
        <v>79</v>
      </c>
      <c r="E2" s="13" t="s">
        <v>80</v>
      </c>
      <c r="F2" s="13" t="s">
        <v>81</v>
      </c>
      <c r="G2" s="13" t="s">
        <v>83</v>
      </c>
      <c r="H2" s="13" t="s">
        <v>84</v>
      </c>
      <c r="I2" s="13" t="s">
        <v>82</v>
      </c>
    </row>
    <row r="3" spans="1:9" x14ac:dyDescent="0.3">
      <c r="A3" s="3" t="s">
        <v>5</v>
      </c>
      <c r="B3" s="8">
        <v>62</v>
      </c>
      <c r="C3" s="8">
        <v>27</v>
      </c>
      <c r="D3" s="8">
        <v>16</v>
      </c>
      <c r="E3" s="8">
        <v>153</v>
      </c>
      <c r="F3" s="8">
        <f>SUM(G3:H3)</f>
        <v>393</v>
      </c>
      <c r="G3" s="8">
        <v>177</v>
      </c>
      <c r="H3" s="8">
        <v>216</v>
      </c>
      <c r="I3" s="9">
        <v>651</v>
      </c>
    </row>
    <row r="4" spans="1:9" x14ac:dyDescent="0.3">
      <c r="A4" s="3" t="s">
        <v>6</v>
      </c>
      <c r="B4" s="8">
        <v>60</v>
      </c>
      <c r="C4" s="8">
        <v>35</v>
      </c>
      <c r="D4" s="8">
        <v>16</v>
      </c>
      <c r="E4" s="8">
        <v>112</v>
      </c>
      <c r="F4" s="8">
        <f t="shared" ref="F4:F67" si="0">SUM(G4:H4)</f>
        <v>396</v>
      </c>
      <c r="G4" s="8">
        <v>183</v>
      </c>
      <c r="H4" s="8">
        <v>213</v>
      </c>
      <c r="I4" s="9">
        <v>619</v>
      </c>
    </row>
    <row r="5" spans="1:9" x14ac:dyDescent="0.3">
      <c r="A5" s="3" t="s">
        <v>7</v>
      </c>
      <c r="B5" s="8">
        <v>56</v>
      </c>
      <c r="C5" s="8">
        <v>26</v>
      </c>
      <c r="D5" s="8">
        <v>15</v>
      </c>
      <c r="E5" s="8">
        <v>126</v>
      </c>
      <c r="F5" s="8">
        <f t="shared" si="0"/>
        <v>364</v>
      </c>
      <c r="G5" s="8">
        <v>154</v>
      </c>
      <c r="H5" s="8">
        <v>210</v>
      </c>
      <c r="I5" s="9">
        <v>587</v>
      </c>
    </row>
    <row r="6" spans="1:9" x14ac:dyDescent="0.3">
      <c r="A6" s="3" t="s">
        <v>8</v>
      </c>
      <c r="B6" s="8">
        <v>82</v>
      </c>
      <c r="C6" s="8">
        <v>32</v>
      </c>
      <c r="D6" s="8">
        <v>15</v>
      </c>
      <c r="E6" s="8">
        <v>129</v>
      </c>
      <c r="F6" s="8">
        <f t="shared" si="0"/>
        <v>366</v>
      </c>
      <c r="G6" s="8">
        <v>171</v>
      </c>
      <c r="H6" s="8">
        <v>195</v>
      </c>
      <c r="I6" s="9">
        <v>624</v>
      </c>
    </row>
    <row r="7" spans="1:9" x14ac:dyDescent="0.3">
      <c r="A7" s="3" t="s">
        <v>9</v>
      </c>
      <c r="B7" s="8">
        <v>59</v>
      </c>
      <c r="C7" s="8">
        <v>24</v>
      </c>
      <c r="D7" s="8">
        <v>19</v>
      </c>
      <c r="E7" s="8">
        <v>118</v>
      </c>
      <c r="F7" s="8">
        <f t="shared" si="0"/>
        <v>393</v>
      </c>
      <c r="G7" s="8">
        <v>188</v>
      </c>
      <c r="H7" s="8">
        <v>205</v>
      </c>
      <c r="I7" s="9">
        <v>613</v>
      </c>
    </row>
    <row r="8" spans="1:9" x14ac:dyDescent="0.3">
      <c r="A8" s="3" t="s">
        <v>10</v>
      </c>
      <c r="B8" s="8">
        <v>55</v>
      </c>
      <c r="C8" s="8">
        <v>32</v>
      </c>
      <c r="D8" s="8">
        <v>22</v>
      </c>
      <c r="E8" s="8">
        <v>116</v>
      </c>
      <c r="F8" s="8">
        <f t="shared" si="0"/>
        <v>374</v>
      </c>
      <c r="G8" s="8">
        <v>176</v>
      </c>
      <c r="H8" s="8">
        <v>198</v>
      </c>
      <c r="I8" s="9">
        <v>599</v>
      </c>
    </row>
    <row r="9" spans="1:9" x14ac:dyDescent="0.3">
      <c r="A9" s="3" t="s">
        <v>11</v>
      </c>
      <c r="B9" s="8">
        <v>62</v>
      </c>
      <c r="C9" s="8">
        <v>34</v>
      </c>
      <c r="D9" s="8">
        <v>15</v>
      </c>
      <c r="E9" s="8">
        <v>123</v>
      </c>
      <c r="F9" s="8">
        <f t="shared" si="0"/>
        <v>349</v>
      </c>
      <c r="G9" s="8">
        <v>154</v>
      </c>
      <c r="H9" s="8">
        <v>195</v>
      </c>
      <c r="I9" s="9">
        <v>583</v>
      </c>
    </row>
    <row r="10" spans="1:9" x14ac:dyDescent="0.3">
      <c r="A10" s="3" t="s">
        <v>12</v>
      </c>
      <c r="B10" s="8">
        <v>94</v>
      </c>
      <c r="C10" s="8">
        <v>44</v>
      </c>
      <c r="D10" s="8">
        <v>14</v>
      </c>
      <c r="E10" s="8">
        <v>143</v>
      </c>
      <c r="F10" s="8">
        <f t="shared" si="0"/>
        <v>341</v>
      </c>
      <c r="G10" s="8">
        <v>158</v>
      </c>
      <c r="H10" s="8">
        <v>183</v>
      </c>
      <c r="I10" s="9">
        <v>636</v>
      </c>
    </row>
    <row r="11" spans="1:9" x14ac:dyDescent="0.3">
      <c r="A11" s="3" t="s">
        <v>13</v>
      </c>
      <c r="B11" s="8">
        <v>119</v>
      </c>
      <c r="C11" s="8">
        <v>35</v>
      </c>
      <c r="D11" s="8">
        <v>19</v>
      </c>
      <c r="E11" s="8">
        <v>141</v>
      </c>
      <c r="F11" s="8">
        <f t="shared" si="0"/>
        <v>403</v>
      </c>
      <c r="G11" s="8">
        <v>183</v>
      </c>
      <c r="H11" s="8">
        <v>220</v>
      </c>
      <c r="I11" s="9">
        <v>717</v>
      </c>
    </row>
    <row r="12" spans="1:9" x14ac:dyDescent="0.3">
      <c r="A12" s="3" t="s">
        <v>14</v>
      </c>
      <c r="B12" s="8">
        <v>139</v>
      </c>
      <c r="C12" s="8">
        <v>35</v>
      </c>
      <c r="D12" s="8">
        <v>18</v>
      </c>
      <c r="E12" s="8">
        <v>140</v>
      </c>
      <c r="F12" s="8">
        <f t="shared" si="0"/>
        <v>416</v>
      </c>
      <c r="G12" s="8">
        <v>186</v>
      </c>
      <c r="H12" s="8">
        <v>230</v>
      </c>
      <c r="I12" s="9">
        <v>748</v>
      </c>
    </row>
    <row r="13" spans="1:9" x14ac:dyDescent="0.3">
      <c r="A13" s="3" t="s">
        <v>15</v>
      </c>
      <c r="B13" s="8">
        <v>144</v>
      </c>
      <c r="C13" s="8">
        <v>27</v>
      </c>
      <c r="D13" s="8">
        <v>21</v>
      </c>
      <c r="E13" s="8">
        <v>130</v>
      </c>
      <c r="F13" s="8">
        <f t="shared" si="0"/>
        <v>510</v>
      </c>
      <c r="G13" s="8">
        <v>235</v>
      </c>
      <c r="H13" s="8">
        <v>275</v>
      </c>
      <c r="I13" s="9">
        <v>832</v>
      </c>
    </row>
    <row r="14" spans="1:9" x14ac:dyDescent="0.3">
      <c r="A14" s="3" t="s">
        <v>16</v>
      </c>
      <c r="B14" s="8">
        <v>167</v>
      </c>
      <c r="C14" s="8">
        <v>39</v>
      </c>
      <c r="D14" s="8">
        <v>10</v>
      </c>
      <c r="E14" s="8">
        <v>153</v>
      </c>
      <c r="F14" s="8">
        <f t="shared" si="0"/>
        <v>560</v>
      </c>
      <c r="G14" s="8">
        <v>259</v>
      </c>
      <c r="H14" s="8">
        <v>301</v>
      </c>
      <c r="I14" s="9">
        <v>929</v>
      </c>
    </row>
    <row r="15" spans="1:9" x14ac:dyDescent="0.3">
      <c r="A15" s="3" t="s">
        <v>17</v>
      </c>
      <c r="B15" s="8">
        <v>177</v>
      </c>
      <c r="C15" s="8">
        <v>28</v>
      </c>
      <c r="D15" s="8">
        <v>12</v>
      </c>
      <c r="E15" s="8">
        <v>198</v>
      </c>
      <c r="F15" s="8">
        <f t="shared" si="0"/>
        <v>718</v>
      </c>
      <c r="G15" s="8">
        <v>342</v>
      </c>
      <c r="H15" s="8">
        <v>376</v>
      </c>
      <c r="I15" s="9">
        <v>1133</v>
      </c>
    </row>
    <row r="16" spans="1:9" x14ac:dyDescent="0.3">
      <c r="A16" s="3" t="s">
        <v>19</v>
      </c>
      <c r="B16" s="8">
        <v>137</v>
      </c>
      <c r="C16" s="8">
        <v>28</v>
      </c>
      <c r="D16" s="8">
        <v>10</v>
      </c>
      <c r="E16" s="8">
        <v>222</v>
      </c>
      <c r="F16" s="8">
        <f t="shared" si="0"/>
        <v>886</v>
      </c>
      <c r="G16" s="8">
        <v>396</v>
      </c>
      <c r="H16" s="8">
        <v>490</v>
      </c>
      <c r="I16" s="9">
        <v>1283</v>
      </c>
    </row>
    <row r="17" spans="1:9" x14ac:dyDescent="0.3">
      <c r="A17" s="3" t="s">
        <v>20</v>
      </c>
      <c r="B17" s="8">
        <v>103</v>
      </c>
      <c r="C17" s="8">
        <v>20</v>
      </c>
      <c r="D17" s="8">
        <v>13</v>
      </c>
      <c r="E17" s="8">
        <v>218</v>
      </c>
      <c r="F17" s="8">
        <f t="shared" si="0"/>
        <v>887</v>
      </c>
      <c r="G17" s="8">
        <v>360</v>
      </c>
      <c r="H17" s="8">
        <v>527</v>
      </c>
      <c r="I17" s="9">
        <v>1241</v>
      </c>
    </row>
    <row r="18" spans="1:9" x14ac:dyDescent="0.3">
      <c r="A18" s="3" t="s">
        <v>21</v>
      </c>
      <c r="B18" s="8">
        <v>98</v>
      </c>
      <c r="C18" s="8">
        <v>28</v>
      </c>
      <c r="D18" s="8">
        <v>18</v>
      </c>
      <c r="E18" s="8">
        <v>221</v>
      </c>
      <c r="F18" s="8">
        <f t="shared" si="0"/>
        <v>731</v>
      </c>
      <c r="G18" s="8">
        <v>330</v>
      </c>
      <c r="H18" s="8">
        <v>401</v>
      </c>
      <c r="I18" s="9">
        <v>1096</v>
      </c>
    </row>
    <row r="19" spans="1:9" x14ac:dyDescent="0.3">
      <c r="A19" s="3" t="s">
        <v>22</v>
      </c>
      <c r="B19" s="8">
        <v>119</v>
      </c>
      <c r="C19" s="8">
        <v>43</v>
      </c>
      <c r="D19" s="8">
        <v>23</v>
      </c>
      <c r="E19" s="8">
        <v>208</v>
      </c>
      <c r="F19" s="8">
        <f t="shared" si="0"/>
        <v>774</v>
      </c>
      <c r="G19" s="8">
        <v>336</v>
      </c>
      <c r="H19" s="8">
        <v>438</v>
      </c>
      <c r="I19" s="9">
        <v>1167</v>
      </c>
    </row>
    <row r="20" spans="1:9" x14ac:dyDescent="0.3">
      <c r="A20" s="3" t="s">
        <v>23</v>
      </c>
      <c r="B20" s="8">
        <v>128</v>
      </c>
      <c r="C20" s="8">
        <v>53</v>
      </c>
      <c r="D20" s="8">
        <v>16</v>
      </c>
      <c r="E20" s="8">
        <v>234</v>
      </c>
      <c r="F20" s="8">
        <f t="shared" si="0"/>
        <v>724</v>
      </c>
      <c r="G20" s="8">
        <v>312</v>
      </c>
      <c r="H20" s="8">
        <v>412</v>
      </c>
      <c r="I20" s="9">
        <v>1155</v>
      </c>
    </row>
    <row r="21" spans="1:9" x14ac:dyDescent="0.3">
      <c r="A21" s="3" t="s">
        <v>24</v>
      </c>
      <c r="B21" s="8">
        <v>111</v>
      </c>
      <c r="C21" s="8">
        <v>31</v>
      </c>
      <c r="D21" s="8">
        <v>16</v>
      </c>
      <c r="E21" s="8">
        <v>184</v>
      </c>
      <c r="F21" s="8">
        <f t="shared" si="0"/>
        <v>686</v>
      </c>
      <c r="G21" s="8">
        <v>297</v>
      </c>
      <c r="H21" s="8">
        <v>389</v>
      </c>
      <c r="I21" s="9">
        <v>1028</v>
      </c>
    </row>
    <row r="22" spans="1:9" x14ac:dyDescent="0.3">
      <c r="A22" s="3" t="s">
        <v>25</v>
      </c>
      <c r="B22" s="8">
        <v>110</v>
      </c>
      <c r="C22" s="8">
        <v>39</v>
      </c>
      <c r="D22" s="8">
        <v>18</v>
      </c>
      <c r="E22" s="8">
        <v>229</v>
      </c>
      <c r="F22" s="8">
        <f t="shared" si="0"/>
        <v>695</v>
      </c>
      <c r="G22" s="8">
        <v>324</v>
      </c>
      <c r="H22" s="8">
        <v>371</v>
      </c>
      <c r="I22" s="9">
        <v>1091</v>
      </c>
    </row>
    <row r="23" spans="1:9" x14ac:dyDescent="0.3">
      <c r="A23" s="3" t="s">
        <v>26</v>
      </c>
      <c r="B23" s="8">
        <v>99</v>
      </c>
      <c r="C23" s="8">
        <v>32</v>
      </c>
      <c r="D23" s="8">
        <v>18</v>
      </c>
      <c r="E23" s="8">
        <v>165</v>
      </c>
      <c r="F23" s="8">
        <f t="shared" si="0"/>
        <v>578</v>
      </c>
      <c r="G23" s="8">
        <v>244</v>
      </c>
      <c r="H23" s="8">
        <v>334</v>
      </c>
      <c r="I23" s="9">
        <v>892</v>
      </c>
    </row>
    <row r="24" spans="1:9" x14ac:dyDescent="0.3">
      <c r="A24" s="3" t="s">
        <v>27</v>
      </c>
      <c r="B24" s="8">
        <v>101</v>
      </c>
      <c r="C24" s="8">
        <v>30</v>
      </c>
      <c r="D24" s="8">
        <v>19</v>
      </c>
      <c r="E24" s="8">
        <v>144</v>
      </c>
      <c r="F24" s="8">
        <f t="shared" si="0"/>
        <v>488</v>
      </c>
      <c r="G24" s="8">
        <v>217</v>
      </c>
      <c r="H24" s="8">
        <v>271</v>
      </c>
      <c r="I24" s="9">
        <v>782</v>
      </c>
    </row>
    <row r="25" spans="1:9" x14ac:dyDescent="0.3">
      <c r="A25" s="3" t="s">
        <v>28</v>
      </c>
      <c r="B25" s="8">
        <v>93</v>
      </c>
      <c r="C25" s="8">
        <v>21</v>
      </c>
      <c r="D25" s="8">
        <v>9</v>
      </c>
      <c r="E25" s="8">
        <v>156</v>
      </c>
      <c r="F25" s="8">
        <f t="shared" si="0"/>
        <v>479</v>
      </c>
      <c r="G25" s="8">
        <v>205</v>
      </c>
      <c r="H25" s="8">
        <v>274</v>
      </c>
      <c r="I25" s="9">
        <v>758</v>
      </c>
    </row>
    <row r="26" spans="1:9" x14ac:dyDescent="0.3">
      <c r="A26" s="3" t="s">
        <v>29</v>
      </c>
      <c r="B26" s="8">
        <v>108</v>
      </c>
      <c r="C26" s="8">
        <v>25</v>
      </c>
      <c r="D26" s="8">
        <v>14</v>
      </c>
      <c r="E26" s="8">
        <v>162</v>
      </c>
      <c r="F26" s="8">
        <f t="shared" si="0"/>
        <v>479</v>
      </c>
      <c r="G26" s="8">
        <v>210</v>
      </c>
      <c r="H26" s="8">
        <v>269</v>
      </c>
      <c r="I26" s="9">
        <v>788</v>
      </c>
    </row>
    <row r="27" spans="1:9" x14ac:dyDescent="0.3">
      <c r="A27" s="3" t="s">
        <v>30</v>
      </c>
      <c r="B27" s="8">
        <v>105</v>
      </c>
      <c r="C27" s="8">
        <v>24</v>
      </c>
      <c r="D27" s="8">
        <v>14</v>
      </c>
      <c r="E27" s="8">
        <v>148</v>
      </c>
      <c r="F27" s="8">
        <f t="shared" si="0"/>
        <v>487</v>
      </c>
      <c r="G27" s="8">
        <v>230</v>
      </c>
      <c r="H27" s="8">
        <v>257</v>
      </c>
      <c r="I27" s="9">
        <v>778</v>
      </c>
    </row>
    <row r="28" spans="1:9" x14ac:dyDescent="0.3">
      <c r="A28" s="3" t="s">
        <v>31</v>
      </c>
      <c r="B28" s="8">
        <v>108</v>
      </c>
      <c r="C28" s="8">
        <v>47</v>
      </c>
      <c r="D28" s="8">
        <v>11</v>
      </c>
      <c r="E28" s="8">
        <v>135</v>
      </c>
      <c r="F28" s="8">
        <f t="shared" si="0"/>
        <v>515</v>
      </c>
      <c r="G28" s="8">
        <v>217</v>
      </c>
      <c r="H28" s="8">
        <v>298</v>
      </c>
      <c r="I28" s="9">
        <v>816</v>
      </c>
    </row>
    <row r="29" spans="1:9" x14ac:dyDescent="0.3">
      <c r="A29" s="3" t="s">
        <v>32</v>
      </c>
      <c r="B29" s="8">
        <v>127</v>
      </c>
      <c r="C29" s="8">
        <v>39</v>
      </c>
      <c r="D29" s="8">
        <v>20</v>
      </c>
      <c r="E29" s="8">
        <v>147</v>
      </c>
      <c r="F29" s="8">
        <f t="shared" si="0"/>
        <v>510</v>
      </c>
      <c r="G29" s="8">
        <v>234</v>
      </c>
      <c r="H29" s="8">
        <v>276</v>
      </c>
      <c r="I29" s="9">
        <v>843</v>
      </c>
    </row>
    <row r="30" spans="1:9" x14ac:dyDescent="0.3">
      <c r="A30" s="3" t="s">
        <v>33</v>
      </c>
      <c r="B30" s="8">
        <v>112</v>
      </c>
      <c r="C30" s="8">
        <v>30</v>
      </c>
      <c r="D30" s="8">
        <v>14</v>
      </c>
      <c r="E30" s="8">
        <v>137</v>
      </c>
      <c r="F30" s="8">
        <f t="shared" si="0"/>
        <v>507</v>
      </c>
      <c r="G30" s="8">
        <v>241</v>
      </c>
      <c r="H30" s="8">
        <v>266</v>
      </c>
      <c r="I30" s="9">
        <v>800</v>
      </c>
    </row>
    <row r="31" spans="1:9" x14ac:dyDescent="0.3">
      <c r="A31" s="3" t="s">
        <v>34</v>
      </c>
      <c r="B31" s="8">
        <v>100</v>
      </c>
      <c r="C31" s="8">
        <v>17</v>
      </c>
      <c r="D31" s="8">
        <v>9</v>
      </c>
      <c r="E31" s="8">
        <v>142</v>
      </c>
      <c r="F31" s="8">
        <f t="shared" si="0"/>
        <v>480</v>
      </c>
      <c r="G31" s="8">
        <v>221</v>
      </c>
      <c r="H31" s="8">
        <v>259</v>
      </c>
      <c r="I31" s="9">
        <v>748</v>
      </c>
    </row>
    <row r="32" spans="1:9" x14ac:dyDescent="0.3">
      <c r="A32" s="3" t="s">
        <v>35</v>
      </c>
      <c r="B32" s="8">
        <v>72</v>
      </c>
      <c r="C32" s="8">
        <v>18</v>
      </c>
      <c r="D32" s="8">
        <v>19</v>
      </c>
      <c r="E32" s="8">
        <v>99</v>
      </c>
      <c r="F32" s="8">
        <f t="shared" si="0"/>
        <v>502</v>
      </c>
      <c r="G32" s="8">
        <v>230</v>
      </c>
      <c r="H32" s="8">
        <v>272</v>
      </c>
      <c r="I32" s="9">
        <v>710</v>
      </c>
    </row>
    <row r="33" spans="1:9" x14ac:dyDescent="0.3">
      <c r="A33" s="3" t="s">
        <v>36</v>
      </c>
      <c r="B33" s="8">
        <v>63</v>
      </c>
      <c r="C33" s="8">
        <v>19</v>
      </c>
      <c r="D33" s="8">
        <v>16</v>
      </c>
      <c r="E33" s="8">
        <v>119</v>
      </c>
      <c r="F33" s="8">
        <f t="shared" si="0"/>
        <v>439</v>
      </c>
      <c r="G33" s="8">
        <v>224</v>
      </c>
      <c r="H33" s="8">
        <v>215</v>
      </c>
      <c r="I33" s="9">
        <v>656</v>
      </c>
    </row>
    <row r="34" spans="1:9" x14ac:dyDescent="0.3">
      <c r="A34" s="3" t="s">
        <v>37</v>
      </c>
      <c r="B34" s="8">
        <v>64</v>
      </c>
      <c r="C34" s="8">
        <v>13</v>
      </c>
      <c r="D34" s="8">
        <v>10</v>
      </c>
      <c r="E34" s="8">
        <v>120</v>
      </c>
      <c r="F34" s="8">
        <f t="shared" si="0"/>
        <v>371</v>
      </c>
      <c r="G34" s="8">
        <v>173</v>
      </c>
      <c r="H34" s="8">
        <v>198</v>
      </c>
      <c r="I34" s="9">
        <v>578</v>
      </c>
    </row>
    <row r="35" spans="1:9" x14ac:dyDescent="0.3">
      <c r="A35" s="3" t="s">
        <v>38</v>
      </c>
      <c r="B35" s="8">
        <v>69</v>
      </c>
      <c r="C35" s="8">
        <v>32</v>
      </c>
      <c r="D35" s="8">
        <v>19</v>
      </c>
      <c r="E35" s="8">
        <v>125</v>
      </c>
      <c r="F35" s="8">
        <f t="shared" si="0"/>
        <v>382</v>
      </c>
      <c r="G35" s="8">
        <v>175</v>
      </c>
      <c r="H35" s="8">
        <v>207</v>
      </c>
      <c r="I35" s="9">
        <v>627</v>
      </c>
    </row>
    <row r="36" spans="1:9" x14ac:dyDescent="0.3">
      <c r="A36" s="3" t="s">
        <v>39</v>
      </c>
      <c r="B36" s="8">
        <v>80</v>
      </c>
      <c r="C36" s="8">
        <v>24</v>
      </c>
      <c r="D36" s="8">
        <v>15</v>
      </c>
      <c r="E36" s="8">
        <v>108</v>
      </c>
      <c r="F36" s="8">
        <f t="shared" si="0"/>
        <v>370</v>
      </c>
      <c r="G36" s="8">
        <v>165</v>
      </c>
      <c r="H36" s="8">
        <v>205</v>
      </c>
      <c r="I36" s="9">
        <v>597</v>
      </c>
    </row>
    <row r="37" spans="1:9" x14ac:dyDescent="0.3">
      <c r="A37" s="3" t="s">
        <v>40</v>
      </c>
      <c r="B37" s="8">
        <v>70</v>
      </c>
      <c r="C37" s="8">
        <v>23</v>
      </c>
      <c r="D37" s="8">
        <v>24</v>
      </c>
      <c r="E37" s="8">
        <v>97</v>
      </c>
      <c r="F37" s="8">
        <f t="shared" si="0"/>
        <v>382</v>
      </c>
      <c r="G37" s="8">
        <v>173</v>
      </c>
      <c r="H37" s="8">
        <v>209</v>
      </c>
      <c r="I37" s="9">
        <v>596</v>
      </c>
    </row>
    <row r="38" spans="1:9" x14ac:dyDescent="0.3">
      <c r="A38" s="3" t="s">
        <v>41</v>
      </c>
      <c r="B38" s="8">
        <v>57</v>
      </c>
      <c r="C38" s="8">
        <v>21</v>
      </c>
      <c r="D38" s="8">
        <v>11</v>
      </c>
      <c r="E38" s="8">
        <v>118</v>
      </c>
      <c r="F38" s="8">
        <f t="shared" si="0"/>
        <v>374</v>
      </c>
      <c r="G38" s="8">
        <v>166</v>
      </c>
      <c r="H38" s="8">
        <v>208</v>
      </c>
      <c r="I38" s="9">
        <v>581</v>
      </c>
    </row>
    <row r="39" spans="1:9" x14ac:dyDescent="0.3">
      <c r="A39" s="3" t="s">
        <v>42</v>
      </c>
      <c r="B39" s="8">
        <v>48</v>
      </c>
      <c r="C39" s="8">
        <v>18</v>
      </c>
      <c r="D39" s="8">
        <v>15</v>
      </c>
      <c r="E39" s="8">
        <v>100</v>
      </c>
      <c r="F39" s="8">
        <f t="shared" si="0"/>
        <v>326</v>
      </c>
      <c r="G39" s="8">
        <v>144</v>
      </c>
      <c r="H39" s="8">
        <v>182</v>
      </c>
      <c r="I39" s="9">
        <v>507</v>
      </c>
    </row>
    <row r="40" spans="1:9" x14ac:dyDescent="0.3">
      <c r="A40" s="3" t="s">
        <v>43</v>
      </c>
      <c r="B40" s="8">
        <v>48</v>
      </c>
      <c r="C40" s="8">
        <v>24</v>
      </c>
      <c r="D40" s="8">
        <v>15</v>
      </c>
      <c r="E40" s="8">
        <v>100</v>
      </c>
      <c r="F40" s="8">
        <f t="shared" si="0"/>
        <v>351</v>
      </c>
      <c r="G40" s="8">
        <v>149</v>
      </c>
      <c r="H40" s="8">
        <v>202</v>
      </c>
      <c r="I40" s="9">
        <v>538</v>
      </c>
    </row>
    <row r="41" spans="1:9" x14ac:dyDescent="0.3">
      <c r="A41" s="3" t="s">
        <v>44</v>
      </c>
      <c r="B41" s="8">
        <v>47</v>
      </c>
      <c r="C41" s="8">
        <v>17</v>
      </c>
      <c r="D41" s="8">
        <v>12</v>
      </c>
      <c r="E41" s="8">
        <v>97</v>
      </c>
      <c r="F41" s="8">
        <f t="shared" si="0"/>
        <v>303</v>
      </c>
      <c r="G41" s="8">
        <v>118</v>
      </c>
      <c r="H41" s="8">
        <v>185</v>
      </c>
      <c r="I41" s="9">
        <v>476</v>
      </c>
    </row>
    <row r="42" spans="1:9" x14ac:dyDescent="0.3">
      <c r="A42" s="3" t="s">
        <v>45</v>
      </c>
      <c r="B42" s="8">
        <v>27</v>
      </c>
      <c r="C42" s="8">
        <v>13</v>
      </c>
      <c r="D42" s="8">
        <v>16</v>
      </c>
      <c r="E42" s="8">
        <v>104</v>
      </c>
      <c r="F42" s="8">
        <f t="shared" si="0"/>
        <v>381</v>
      </c>
      <c r="G42" s="8">
        <v>174</v>
      </c>
      <c r="H42" s="8">
        <v>207</v>
      </c>
      <c r="I42" s="9">
        <v>541</v>
      </c>
    </row>
    <row r="43" spans="1:9" x14ac:dyDescent="0.3">
      <c r="A43" s="3" t="s">
        <v>46</v>
      </c>
      <c r="B43" s="8">
        <v>39</v>
      </c>
      <c r="C43" s="8">
        <v>10</v>
      </c>
      <c r="D43" s="8">
        <v>12</v>
      </c>
      <c r="E43" s="8">
        <v>77</v>
      </c>
      <c r="F43" s="8">
        <f t="shared" si="0"/>
        <v>302</v>
      </c>
      <c r="G43" s="8">
        <v>131</v>
      </c>
      <c r="H43" s="8">
        <v>171</v>
      </c>
      <c r="I43" s="9">
        <v>440</v>
      </c>
    </row>
    <row r="44" spans="1:9" x14ac:dyDescent="0.3">
      <c r="A44" s="3" t="s">
        <v>47</v>
      </c>
      <c r="B44" s="8">
        <v>34</v>
      </c>
      <c r="C44" s="8">
        <v>13</v>
      </c>
      <c r="D44" s="8">
        <v>11</v>
      </c>
      <c r="E44" s="8">
        <v>99</v>
      </c>
      <c r="F44" s="8">
        <f t="shared" si="0"/>
        <v>265</v>
      </c>
      <c r="G44" s="8">
        <v>126</v>
      </c>
      <c r="H44" s="8">
        <v>139</v>
      </c>
      <c r="I44" s="9">
        <v>422</v>
      </c>
    </row>
    <row r="45" spans="1:9" x14ac:dyDescent="0.3">
      <c r="A45" s="3" t="s">
        <v>48</v>
      </c>
      <c r="B45" s="8">
        <v>29</v>
      </c>
      <c r="C45" s="8">
        <v>15</v>
      </c>
      <c r="D45" s="8">
        <v>12</v>
      </c>
      <c r="E45" s="8">
        <v>79</v>
      </c>
      <c r="F45" s="8">
        <f t="shared" si="0"/>
        <v>313</v>
      </c>
      <c r="G45" s="8">
        <v>139</v>
      </c>
      <c r="H45" s="8">
        <v>174</v>
      </c>
      <c r="I45" s="9">
        <v>448</v>
      </c>
    </row>
    <row r="46" spans="1:9" x14ac:dyDescent="0.3">
      <c r="A46" s="3" t="s">
        <v>49</v>
      </c>
      <c r="B46" s="8">
        <v>33</v>
      </c>
      <c r="C46" s="8">
        <v>6</v>
      </c>
      <c r="D46" s="8">
        <v>7</v>
      </c>
      <c r="E46" s="8">
        <v>90</v>
      </c>
      <c r="F46" s="8">
        <f t="shared" si="0"/>
        <v>317</v>
      </c>
      <c r="G46" s="8">
        <v>144</v>
      </c>
      <c r="H46" s="8">
        <v>173</v>
      </c>
      <c r="I46" s="9">
        <v>453</v>
      </c>
    </row>
    <row r="47" spans="1:9" x14ac:dyDescent="0.3">
      <c r="A47" s="3" t="s">
        <v>50</v>
      </c>
      <c r="B47" s="8">
        <v>22</v>
      </c>
      <c r="C47" s="8">
        <v>7</v>
      </c>
      <c r="D47" s="8">
        <v>8</v>
      </c>
      <c r="E47" s="8">
        <v>67</v>
      </c>
      <c r="F47" s="8">
        <f t="shared" si="0"/>
        <v>320</v>
      </c>
      <c r="G47" s="8">
        <v>141</v>
      </c>
      <c r="H47" s="8">
        <v>179</v>
      </c>
      <c r="I47" s="9">
        <v>424</v>
      </c>
    </row>
    <row r="48" spans="1:9" x14ac:dyDescent="0.3">
      <c r="A48" s="3" t="s">
        <v>51</v>
      </c>
      <c r="B48" s="8">
        <v>26</v>
      </c>
      <c r="C48" s="8">
        <v>4</v>
      </c>
      <c r="D48" s="8">
        <v>12</v>
      </c>
      <c r="E48" s="8">
        <v>82</v>
      </c>
      <c r="F48" s="8">
        <f t="shared" si="0"/>
        <v>321</v>
      </c>
      <c r="G48" s="8">
        <v>125</v>
      </c>
      <c r="H48" s="8">
        <v>196</v>
      </c>
      <c r="I48" s="9">
        <v>445</v>
      </c>
    </row>
    <row r="49" spans="1:9" x14ac:dyDescent="0.3">
      <c r="A49" s="3" t="s">
        <v>52</v>
      </c>
      <c r="B49" s="8">
        <v>18</v>
      </c>
      <c r="C49" s="8">
        <v>4</v>
      </c>
      <c r="D49" s="8">
        <v>10</v>
      </c>
      <c r="E49" s="8">
        <v>91</v>
      </c>
      <c r="F49" s="8">
        <f t="shared" si="0"/>
        <v>333</v>
      </c>
      <c r="G49" s="8">
        <v>149</v>
      </c>
      <c r="H49" s="8">
        <v>184</v>
      </c>
      <c r="I49" s="9">
        <v>456</v>
      </c>
    </row>
    <row r="50" spans="1:9" x14ac:dyDescent="0.3">
      <c r="A50" s="3" t="s">
        <v>53</v>
      </c>
      <c r="B50" s="8">
        <v>23</v>
      </c>
      <c r="C50" s="8">
        <v>8</v>
      </c>
      <c r="D50" s="8">
        <v>14</v>
      </c>
      <c r="E50" s="8">
        <v>95</v>
      </c>
      <c r="F50" s="8">
        <f t="shared" si="0"/>
        <v>303</v>
      </c>
      <c r="G50" s="8">
        <v>136</v>
      </c>
      <c r="H50" s="8">
        <v>167</v>
      </c>
      <c r="I50" s="9">
        <v>443</v>
      </c>
    </row>
    <row r="51" spans="1:9" x14ac:dyDescent="0.3">
      <c r="A51" s="3" t="s">
        <v>54</v>
      </c>
      <c r="B51" s="8">
        <v>9</v>
      </c>
      <c r="C51" s="8">
        <v>14</v>
      </c>
      <c r="D51" s="8">
        <v>17</v>
      </c>
      <c r="E51" s="8">
        <v>102</v>
      </c>
      <c r="F51" s="8">
        <f t="shared" si="0"/>
        <v>292</v>
      </c>
      <c r="G51" s="8">
        <v>133</v>
      </c>
      <c r="H51" s="8">
        <v>159</v>
      </c>
      <c r="I51" s="9">
        <v>434</v>
      </c>
    </row>
    <row r="52" spans="1:9" x14ac:dyDescent="0.3">
      <c r="A52" s="3" t="s">
        <v>55</v>
      </c>
      <c r="B52" s="8">
        <v>32</v>
      </c>
      <c r="C52" s="8">
        <v>9</v>
      </c>
      <c r="D52" s="8">
        <v>10</v>
      </c>
      <c r="E52" s="8">
        <v>94</v>
      </c>
      <c r="F52" s="8">
        <f t="shared" si="0"/>
        <v>270</v>
      </c>
      <c r="G52" s="8">
        <v>135</v>
      </c>
      <c r="H52" s="8">
        <v>135</v>
      </c>
      <c r="I52" s="9">
        <v>415</v>
      </c>
    </row>
    <row r="53" spans="1:9" x14ac:dyDescent="0.3">
      <c r="A53" s="3" t="s">
        <v>56</v>
      </c>
      <c r="B53" s="8">
        <v>65</v>
      </c>
      <c r="C53" s="8">
        <v>30</v>
      </c>
      <c r="D53" s="8">
        <v>16</v>
      </c>
      <c r="E53" s="8">
        <v>103</v>
      </c>
      <c r="F53" s="8">
        <f t="shared" si="0"/>
        <v>318</v>
      </c>
      <c r="G53" s="8">
        <v>154</v>
      </c>
      <c r="H53" s="8">
        <v>164</v>
      </c>
      <c r="I53" s="9">
        <v>532</v>
      </c>
    </row>
    <row r="54" spans="1:9" x14ac:dyDescent="0.3">
      <c r="A54" s="3" t="s">
        <v>57</v>
      </c>
      <c r="B54" s="8">
        <v>60</v>
      </c>
      <c r="C54" s="8">
        <v>36</v>
      </c>
      <c r="D54" s="8">
        <v>13</v>
      </c>
      <c r="E54" s="8">
        <v>95</v>
      </c>
      <c r="F54" s="8">
        <f t="shared" si="0"/>
        <v>289</v>
      </c>
      <c r="G54" s="8">
        <v>138</v>
      </c>
      <c r="H54" s="8">
        <v>151</v>
      </c>
      <c r="I54" s="9">
        <v>493</v>
      </c>
    </row>
    <row r="55" spans="1:9" x14ac:dyDescent="0.3">
      <c r="A55" s="3" t="s">
        <v>58</v>
      </c>
      <c r="B55" s="8">
        <v>67</v>
      </c>
      <c r="C55" s="8">
        <v>22</v>
      </c>
      <c r="D55" s="8">
        <v>5</v>
      </c>
      <c r="E55" s="8">
        <v>123</v>
      </c>
      <c r="F55" s="8">
        <f t="shared" si="0"/>
        <v>416</v>
      </c>
      <c r="G55" s="8">
        <v>183</v>
      </c>
      <c r="H55" s="8">
        <v>233</v>
      </c>
      <c r="I55" s="9">
        <v>633</v>
      </c>
    </row>
    <row r="56" spans="1:9" x14ac:dyDescent="0.3">
      <c r="A56" s="3" t="s">
        <v>59</v>
      </c>
      <c r="B56" s="8">
        <v>66</v>
      </c>
      <c r="C56" s="8">
        <v>29</v>
      </c>
      <c r="D56" s="8">
        <v>14</v>
      </c>
      <c r="E56" s="8">
        <v>117</v>
      </c>
      <c r="F56" s="8">
        <f t="shared" si="0"/>
        <v>432</v>
      </c>
      <c r="G56" s="8">
        <v>193</v>
      </c>
      <c r="H56" s="8">
        <v>239</v>
      </c>
      <c r="I56" s="9">
        <v>658</v>
      </c>
    </row>
    <row r="57" spans="1:9" x14ac:dyDescent="0.3">
      <c r="A57" s="3" t="s">
        <v>60</v>
      </c>
      <c r="B57" s="8">
        <v>51</v>
      </c>
      <c r="C57" s="8">
        <v>18</v>
      </c>
      <c r="D57" s="8">
        <v>10</v>
      </c>
      <c r="E57" s="8">
        <v>130</v>
      </c>
      <c r="F57" s="8">
        <f t="shared" si="0"/>
        <v>413</v>
      </c>
      <c r="G57" s="8">
        <v>201</v>
      </c>
      <c r="H57" s="8">
        <v>212</v>
      </c>
      <c r="I57" s="9">
        <v>622</v>
      </c>
    </row>
    <row r="58" spans="1:9" x14ac:dyDescent="0.3">
      <c r="A58" s="3" t="s">
        <v>61</v>
      </c>
      <c r="B58" s="8">
        <v>86</v>
      </c>
      <c r="C58" s="8">
        <v>24</v>
      </c>
      <c r="D58" s="8">
        <v>16</v>
      </c>
      <c r="E58" s="8">
        <v>94</v>
      </c>
      <c r="F58" s="8">
        <f t="shared" si="0"/>
        <v>418</v>
      </c>
      <c r="G58" s="8">
        <v>190</v>
      </c>
      <c r="H58" s="8">
        <v>228</v>
      </c>
      <c r="I58" s="9">
        <v>638</v>
      </c>
    </row>
    <row r="59" spans="1:9" x14ac:dyDescent="0.3">
      <c r="A59" s="3" t="s">
        <v>62</v>
      </c>
      <c r="B59" s="8">
        <v>66</v>
      </c>
      <c r="C59" s="8">
        <v>29</v>
      </c>
      <c r="D59" s="8">
        <v>16</v>
      </c>
      <c r="E59" s="8">
        <v>95</v>
      </c>
      <c r="F59" s="8">
        <f t="shared" si="0"/>
        <v>397</v>
      </c>
      <c r="G59" s="8">
        <v>169</v>
      </c>
      <c r="H59" s="8">
        <v>228</v>
      </c>
      <c r="I59" s="9">
        <v>603</v>
      </c>
    </row>
    <row r="60" spans="1:9" x14ac:dyDescent="0.3">
      <c r="A60" s="3" t="s">
        <v>63</v>
      </c>
      <c r="B60" s="8">
        <v>70</v>
      </c>
      <c r="C60" s="8">
        <v>34</v>
      </c>
      <c r="D60" s="8">
        <v>21</v>
      </c>
      <c r="E60" s="8">
        <v>115</v>
      </c>
      <c r="F60" s="8">
        <f t="shared" si="0"/>
        <v>407</v>
      </c>
      <c r="G60" s="8">
        <v>176</v>
      </c>
      <c r="H60" s="8">
        <v>231</v>
      </c>
      <c r="I60" s="9">
        <v>647</v>
      </c>
    </row>
    <row r="61" spans="1:9" x14ac:dyDescent="0.3">
      <c r="A61" s="3" t="s">
        <v>64</v>
      </c>
      <c r="B61" s="8">
        <v>94</v>
      </c>
      <c r="C61" s="8">
        <v>26</v>
      </c>
      <c r="D61" s="8">
        <v>16</v>
      </c>
      <c r="E61" s="8">
        <v>112</v>
      </c>
      <c r="F61" s="8">
        <f t="shared" si="0"/>
        <v>499</v>
      </c>
      <c r="G61" s="8">
        <v>226</v>
      </c>
      <c r="H61" s="8">
        <v>273</v>
      </c>
      <c r="I61" s="9">
        <v>747</v>
      </c>
    </row>
    <row r="62" spans="1:9" x14ac:dyDescent="0.3">
      <c r="A62" s="3" t="s">
        <v>65</v>
      </c>
      <c r="B62" s="8">
        <v>103</v>
      </c>
      <c r="C62" s="8">
        <v>26</v>
      </c>
      <c r="D62" s="8">
        <v>18</v>
      </c>
      <c r="E62" s="8">
        <v>127</v>
      </c>
      <c r="F62" s="8">
        <f t="shared" si="0"/>
        <v>442</v>
      </c>
      <c r="G62" s="8">
        <v>207</v>
      </c>
      <c r="H62" s="8">
        <v>235</v>
      </c>
      <c r="I62" s="9">
        <v>716</v>
      </c>
    </row>
    <row r="63" spans="1:9" x14ac:dyDescent="0.3">
      <c r="A63" s="3" t="s">
        <v>66</v>
      </c>
      <c r="B63" s="8">
        <v>106</v>
      </c>
      <c r="C63" s="8">
        <v>37</v>
      </c>
      <c r="D63" s="8">
        <v>22</v>
      </c>
      <c r="E63" s="8">
        <v>172</v>
      </c>
      <c r="F63" s="8">
        <f t="shared" si="0"/>
        <v>559</v>
      </c>
      <c r="G63" s="8">
        <v>274</v>
      </c>
      <c r="H63" s="8">
        <v>285</v>
      </c>
      <c r="I63" s="9">
        <v>896</v>
      </c>
    </row>
    <row r="64" spans="1:9" x14ac:dyDescent="0.3">
      <c r="A64" s="3" t="s">
        <v>67</v>
      </c>
      <c r="B64" s="8">
        <v>151</v>
      </c>
      <c r="C64" s="8">
        <v>44</v>
      </c>
      <c r="D64" s="8">
        <v>22</v>
      </c>
      <c r="E64" s="8">
        <v>207</v>
      </c>
      <c r="F64" s="8">
        <f t="shared" si="0"/>
        <v>728</v>
      </c>
      <c r="G64" s="8">
        <v>345</v>
      </c>
      <c r="H64" s="8">
        <v>383</v>
      </c>
      <c r="I64" s="9">
        <v>1152</v>
      </c>
    </row>
    <row r="65" spans="1:9" x14ac:dyDescent="0.3">
      <c r="A65" s="3" t="s">
        <v>68</v>
      </c>
      <c r="B65" s="8">
        <v>183</v>
      </c>
      <c r="C65" s="8">
        <v>35</v>
      </c>
      <c r="D65" s="8">
        <v>23</v>
      </c>
      <c r="E65" s="8">
        <v>233</v>
      </c>
      <c r="F65" s="8">
        <f t="shared" si="0"/>
        <v>828</v>
      </c>
      <c r="G65" s="8">
        <v>404</v>
      </c>
      <c r="H65" s="8">
        <v>424</v>
      </c>
      <c r="I65" s="9">
        <v>1302</v>
      </c>
    </row>
    <row r="66" spans="1:9" x14ac:dyDescent="0.3">
      <c r="A66" s="3" t="s">
        <v>69</v>
      </c>
      <c r="B66" s="8">
        <v>163</v>
      </c>
      <c r="C66" s="8">
        <v>40</v>
      </c>
      <c r="D66" s="8">
        <v>27</v>
      </c>
      <c r="E66" s="8">
        <v>261</v>
      </c>
      <c r="F66" s="8">
        <f t="shared" si="0"/>
        <v>942</v>
      </c>
      <c r="G66" s="8">
        <v>432</v>
      </c>
      <c r="H66" s="8">
        <v>510</v>
      </c>
      <c r="I66" s="9">
        <v>1433</v>
      </c>
    </row>
    <row r="67" spans="1:9" x14ac:dyDescent="0.3">
      <c r="A67" s="3" t="s">
        <v>70</v>
      </c>
      <c r="B67" s="10">
        <v>193</v>
      </c>
      <c r="C67" s="10">
        <v>28</v>
      </c>
      <c r="D67" s="10">
        <v>17</v>
      </c>
      <c r="E67" s="10">
        <v>259</v>
      </c>
      <c r="F67" s="8">
        <f t="shared" si="0"/>
        <v>938</v>
      </c>
      <c r="G67" s="10">
        <v>424</v>
      </c>
      <c r="H67" s="10">
        <v>514</v>
      </c>
      <c r="I67" s="11">
        <v>1435</v>
      </c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1C1B-33EE-4251-B4F2-44F75678BD2F}">
  <dimension ref="A1:I67"/>
  <sheetViews>
    <sheetView topLeftCell="A30" workbookViewId="0">
      <selection activeCell="A2" sqref="A2:I67"/>
    </sheetView>
  </sheetViews>
  <sheetFormatPr defaultColWidth="9.109375" defaultRowHeight="14.4" x14ac:dyDescent="0.3"/>
  <cols>
    <col min="1" max="1" width="11" customWidth="1"/>
    <col min="6" max="6" width="14.5546875" bestFit="1" customWidth="1"/>
    <col min="7" max="7" width="19" customWidth="1"/>
    <col min="9" max="9" width="37.6640625" customWidth="1"/>
  </cols>
  <sheetData>
    <row r="1" spans="1:9" ht="39" customHeight="1" x14ac:dyDescent="0.3">
      <c r="A1" s="6" t="s">
        <v>0</v>
      </c>
      <c r="B1" s="18" t="s">
        <v>72</v>
      </c>
      <c r="C1" s="18"/>
      <c r="D1" s="18"/>
      <c r="E1" s="18"/>
      <c r="F1" s="18"/>
      <c r="G1" s="18"/>
      <c r="H1" s="18"/>
      <c r="I1" s="18"/>
    </row>
    <row r="2" spans="1:9" x14ac:dyDescent="0.3">
      <c r="A2" s="6"/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91</v>
      </c>
      <c r="H2" s="1" t="s">
        <v>92</v>
      </c>
      <c r="I2" s="1" t="s">
        <v>90</v>
      </c>
    </row>
    <row r="3" spans="1:9" x14ac:dyDescent="0.3">
      <c r="A3" s="3" t="s">
        <v>5</v>
      </c>
      <c r="B3" s="8">
        <v>211525</v>
      </c>
      <c r="C3" s="8">
        <v>566925</v>
      </c>
      <c r="D3" s="8">
        <v>885809</v>
      </c>
      <c r="E3" s="8">
        <v>2477234</v>
      </c>
      <c r="F3" s="8">
        <f>SUM(G3:H3)</f>
        <v>1053483</v>
      </c>
      <c r="G3" s="8">
        <v>732297</v>
      </c>
      <c r="H3" s="8">
        <v>321186</v>
      </c>
      <c r="I3" s="9">
        <v>5194976</v>
      </c>
    </row>
    <row r="4" spans="1:9" x14ac:dyDescent="0.3">
      <c r="A4" s="3" t="s">
        <v>6</v>
      </c>
      <c r="B4" s="8">
        <v>211525</v>
      </c>
      <c r="C4" s="8">
        <v>566925</v>
      </c>
      <c r="D4" s="8">
        <v>885809</v>
      </c>
      <c r="E4" s="8">
        <v>2477234</v>
      </c>
      <c r="F4" s="8">
        <f t="shared" ref="F4:F67" si="0">SUM(G4:H4)</f>
        <v>1053483</v>
      </c>
      <c r="G4" s="8">
        <v>732297</v>
      </c>
      <c r="H4" s="8">
        <v>321186</v>
      </c>
      <c r="I4" s="9">
        <v>5194976</v>
      </c>
    </row>
    <row r="5" spans="1:9" x14ac:dyDescent="0.3">
      <c r="A5" s="3" t="s">
        <v>7</v>
      </c>
      <c r="B5" s="8">
        <v>211525</v>
      </c>
      <c r="C5" s="8">
        <v>566925</v>
      </c>
      <c r="D5" s="8">
        <v>885809</v>
      </c>
      <c r="E5" s="8">
        <v>2477234</v>
      </c>
      <c r="F5" s="8">
        <f t="shared" si="0"/>
        <v>1053483</v>
      </c>
      <c r="G5" s="8">
        <v>732297</v>
      </c>
      <c r="H5" s="8">
        <v>321186</v>
      </c>
      <c r="I5" s="9">
        <v>5194976</v>
      </c>
    </row>
    <row r="6" spans="1:9" x14ac:dyDescent="0.3">
      <c r="A6" s="3" t="s">
        <v>8</v>
      </c>
      <c r="B6" s="8">
        <v>211525</v>
      </c>
      <c r="C6" s="8">
        <v>566925</v>
      </c>
      <c r="D6" s="8">
        <v>885809</v>
      </c>
      <c r="E6" s="8">
        <v>2477234</v>
      </c>
      <c r="F6" s="8">
        <f t="shared" si="0"/>
        <v>1053483</v>
      </c>
      <c r="G6" s="8">
        <v>732297</v>
      </c>
      <c r="H6" s="8">
        <v>321186</v>
      </c>
      <c r="I6" s="9">
        <v>5194976</v>
      </c>
    </row>
    <row r="7" spans="1:9" x14ac:dyDescent="0.3">
      <c r="A7" s="3" t="s">
        <v>9</v>
      </c>
      <c r="B7" s="8">
        <v>211525</v>
      </c>
      <c r="C7" s="8">
        <v>566925</v>
      </c>
      <c r="D7" s="8">
        <v>885809</v>
      </c>
      <c r="E7" s="8">
        <v>2477234</v>
      </c>
      <c r="F7" s="8">
        <f t="shared" si="0"/>
        <v>1053483</v>
      </c>
      <c r="G7" s="8">
        <v>732297</v>
      </c>
      <c r="H7" s="8">
        <v>321186</v>
      </c>
      <c r="I7" s="9">
        <v>5194976</v>
      </c>
    </row>
    <row r="8" spans="1:9" x14ac:dyDescent="0.3">
      <c r="A8" s="3" t="s">
        <v>10</v>
      </c>
      <c r="B8" s="8">
        <v>211525</v>
      </c>
      <c r="C8" s="8">
        <v>566925</v>
      </c>
      <c r="D8" s="8">
        <v>885809</v>
      </c>
      <c r="E8" s="8">
        <v>2477234</v>
      </c>
      <c r="F8" s="8">
        <f t="shared" si="0"/>
        <v>1053483</v>
      </c>
      <c r="G8" s="8">
        <v>732297</v>
      </c>
      <c r="H8" s="8">
        <v>321186</v>
      </c>
      <c r="I8" s="9">
        <v>5194976</v>
      </c>
    </row>
    <row r="9" spans="1:9" x14ac:dyDescent="0.3">
      <c r="A9" s="3" t="s">
        <v>11</v>
      </c>
      <c r="B9" s="8">
        <v>211525</v>
      </c>
      <c r="C9" s="8">
        <v>566925</v>
      </c>
      <c r="D9" s="8">
        <v>885809</v>
      </c>
      <c r="E9" s="8">
        <v>2477234</v>
      </c>
      <c r="F9" s="8">
        <f t="shared" si="0"/>
        <v>1053483</v>
      </c>
      <c r="G9" s="8">
        <v>732297</v>
      </c>
      <c r="H9" s="8">
        <v>321186</v>
      </c>
      <c r="I9" s="9">
        <v>5194976</v>
      </c>
    </row>
    <row r="10" spans="1:9" x14ac:dyDescent="0.3">
      <c r="A10" s="3" t="s">
        <v>12</v>
      </c>
      <c r="B10" s="8">
        <v>211525</v>
      </c>
      <c r="C10" s="8">
        <v>566925</v>
      </c>
      <c r="D10" s="8">
        <v>885809</v>
      </c>
      <c r="E10" s="8">
        <v>2477234</v>
      </c>
      <c r="F10" s="8">
        <f t="shared" si="0"/>
        <v>1053483</v>
      </c>
      <c r="G10" s="8">
        <v>732297</v>
      </c>
      <c r="H10" s="8">
        <v>321186</v>
      </c>
      <c r="I10" s="9">
        <v>5194976</v>
      </c>
    </row>
    <row r="11" spans="1:9" x14ac:dyDescent="0.3">
      <c r="A11" s="3" t="s">
        <v>13</v>
      </c>
      <c r="B11" s="8">
        <v>211525</v>
      </c>
      <c r="C11" s="8">
        <v>566925</v>
      </c>
      <c r="D11" s="8">
        <v>885809</v>
      </c>
      <c r="E11" s="8">
        <v>2477234</v>
      </c>
      <c r="F11" s="8">
        <f t="shared" si="0"/>
        <v>1053483</v>
      </c>
      <c r="G11" s="8">
        <v>732297</v>
      </c>
      <c r="H11" s="8">
        <v>321186</v>
      </c>
      <c r="I11" s="9">
        <v>5194976</v>
      </c>
    </row>
    <row r="12" spans="1:9" x14ac:dyDescent="0.3">
      <c r="A12" s="3" t="s">
        <v>14</v>
      </c>
      <c r="B12" s="8">
        <v>211525</v>
      </c>
      <c r="C12" s="8">
        <v>566925</v>
      </c>
      <c r="D12" s="8">
        <v>885809</v>
      </c>
      <c r="E12" s="8">
        <v>2477234</v>
      </c>
      <c r="F12" s="8">
        <f t="shared" si="0"/>
        <v>1053483</v>
      </c>
      <c r="G12" s="8">
        <v>732297</v>
      </c>
      <c r="H12" s="8">
        <v>321186</v>
      </c>
      <c r="I12" s="9">
        <v>5194976</v>
      </c>
    </row>
    <row r="13" spans="1:9" x14ac:dyDescent="0.3">
      <c r="A13" s="3" t="s">
        <v>15</v>
      </c>
      <c r="B13" s="8">
        <v>211525</v>
      </c>
      <c r="C13" s="8">
        <v>566925</v>
      </c>
      <c r="D13" s="8">
        <v>885809</v>
      </c>
      <c r="E13" s="8">
        <v>2477234</v>
      </c>
      <c r="F13" s="8">
        <f t="shared" si="0"/>
        <v>1053483</v>
      </c>
      <c r="G13" s="8">
        <v>732297</v>
      </c>
      <c r="H13" s="8">
        <v>321186</v>
      </c>
      <c r="I13" s="9">
        <v>5194976</v>
      </c>
    </row>
    <row r="14" spans="1:9" x14ac:dyDescent="0.3">
      <c r="A14" s="3" t="s">
        <v>16</v>
      </c>
      <c r="B14" s="8">
        <v>211525</v>
      </c>
      <c r="C14" s="8">
        <v>566925</v>
      </c>
      <c r="D14" s="8">
        <v>885809</v>
      </c>
      <c r="E14" s="8">
        <v>2477234</v>
      </c>
      <c r="F14" s="8">
        <f t="shared" si="0"/>
        <v>1053483</v>
      </c>
      <c r="G14" s="8">
        <v>732297</v>
      </c>
      <c r="H14" s="8">
        <v>321186</v>
      </c>
      <c r="I14" s="9">
        <v>5194976</v>
      </c>
    </row>
    <row r="15" spans="1:9" x14ac:dyDescent="0.3">
      <c r="A15" s="3" t="s">
        <v>17</v>
      </c>
      <c r="B15" s="8">
        <v>211525</v>
      </c>
      <c r="C15" s="8">
        <v>566925</v>
      </c>
      <c r="D15" s="8">
        <v>885809</v>
      </c>
      <c r="E15" s="8">
        <v>2477234</v>
      </c>
      <c r="F15" s="8">
        <f t="shared" si="0"/>
        <v>1053483</v>
      </c>
      <c r="G15" s="8">
        <v>732297</v>
      </c>
      <c r="H15" s="8">
        <v>321186</v>
      </c>
      <c r="I15" s="9">
        <v>5194976</v>
      </c>
    </row>
    <row r="16" spans="1:9" x14ac:dyDescent="0.3">
      <c r="A16" s="3" t="s">
        <v>19</v>
      </c>
      <c r="B16" s="8">
        <v>211525</v>
      </c>
      <c r="C16" s="8">
        <v>566925</v>
      </c>
      <c r="D16" s="8">
        <v>885809</v>
      </c>
      <c r="E16" s="8">
        <v>2477234</v>
      </c>
      <c r="F16" s="8">
        <f t="shared" si="0"/>
        <v>1053483</v>
      </c>
      <c r="G16" s="8">
        <v>732297</v>
      </c>
      <c r="H16" s="8">
        <v>321186</v>
      </c>
      <c r="I16" s="9">
        <v>5194976</v>
      </c>
    </row>
    <row r="17" spans="1:9" x14ac:dyDescent="0.3">
      <c r="A17" s="3" t="s">
        <v>20</v>
      </c>
      <c r="B17" s="8">
        <v>211525</v>
      </c>
      <c r="C17" s="8">
        <v>566925</v>
      </c>
      <c r="D17" s="8">
        <v>885809</v>
      </c>
      <c r="E17" s="8">
        <v>2477234</v>
      </c>
      <c r="F17" s="8">
        <f t="shared" si="0"/>
        <v>1053483</v>
      </c>
      <c r="G17" s="8">
        <v>732297</v>
      </c>
      <c r="H17" s="8">
        <v>321186</v>
      </c>
      <c r="I17" s="9">
        <v>5194976</v>
      </c>
    </row>
    <row r="18" spans="1:9" x14ac:dyDescent="0.3">
      <c r="A18" s="3" t="s">
        <v>21</v>
      </c>
      <c r="B18" s="8">
        <v>211525</v>
      </c>
      <c r="C18" s="8">
        <v>566925</v>
      </c>
      <c r="D18" s="8">
        <v>885809</v>
      </c>
      <c r="E18" s="8">
        <v>2477234</v>
      </c>
      <c r="F18" s="8">
        <f t="shared" si="0"/>
        <v>1053483</v>
      </c>
      <c r="G18" s="8">
        <v>732297</v>
      </c>
      <c r="H18" s="8">
        <v>321186</v>
      </c>
      <c r="I18" s="9">
        <v>5194976</v>
      </c>
    </row>
    <row r="19" spans="1:9" x14ac:dyDescent="0.3">
      <c r="A19" s="3" t="s">
        <v>22</v>
      </c>
      <c r="B19" s="8">
        <v>211525</v>
      </c>
      <c r="C19" s="8">
        <v>566925</v>
      </c>
      <c r="D19" s="8">
        <v>885809</v>
      </c>
      <c r="E19" s="8">
        <v>2477234</v>
      </c>
      <c r="F19" s="8">
        <f t="shared" si="0"/>
        <v>1053483</v>
      </c>
      <c r="G19" s="8">
        <v>732297</v>
      </c>
      <c r="H19" s="8">
        <v>321186</v>
      </c>
      <c r="I19" s="9">
        <v>5194976</v>
      </c>
    </row>
    <row r="20" spans="1:9" x14ac:dyDescent="0.3">
      <c r="A20" s="3" t="s">
        <v>23</v>
      </c>
      <c r="B20" s="8">
        <v>211525</v>
      </c>
      <c r="C20" s="8">
        <v>566925</v>
      </c>
      <c r="D20" s="8">
        <v>885809</v>
      </c>
      <c r="E20" s="8">
        <v>2477234</v>
      </c>
      <c r="F20" s="8">
        <f t="shared" si="0"/>
        <v>1053483</v>
      </c>
      <c r="G20" s="8">
        <v>732297</v>
      </c>
      <c r="H20" s="8">
        <v>321186</v>
      </c>
      <c r="I20" s="9">
        <v>5194976</v>
      </c>
    </row>
    <row r="21" spans="1:9" x14ac:dyDescent="0.3">
      <c r="A21" s="3" t="s">
        <v>24</v>
      </c>
      <c r="B21" s="8">
        <v>211525</v>
      </c>
      <c r="C21" s="8">
        <v>566925</v>
      </c>
      <c r="D21" s="8">
        <v>885809</v>
      </c>
      <c r="E21" s="8">
        <v>2477234</v>
      </c>
      <c r="F21" s="8">
        <f t="shared" si="0"/>
        <v>1053483</v>
      </c>
      <c r="G21" s="8">
        <v>732297</v>
      </c>
      <c r="H21" s="8">
        <v>321186</v>
      </c>
      <c r="I21" s="9">
        <v>5194976</v>
      </c>
    </row>
    <row r="22" spans="1:9" x14ac:dyDescent="0.3">
      <c r="A22" s="3" t="s">
        <v>25</v>
      </c>
      <c r="B22" s="8">
        <v>211525</v>
      </c>
      <c r="C22" s="8">
        <v>566925</v>
      </c>
      <c r="D22" s="8">
        <v>885809</v>
      </c>
      <c r="E22" s="8">
        <v>2477234</v>
      </c>
      <c r="F22" s="8">
        <f t="shared" si="0"/>
        <v>1053483</v>
      </c>
      <c r="G22" s="8">
        <v>732297</v>
      </c>
      <c r="H22" s="8">
        <v>321186</v>
      </c>
      <c r="I22" s="9">
        <v>5194976</v>
      </c>
    </row>
    <row r="23" spans="1:9" x14ac:dyDescent="0.3">
      <c r="A23" s="3" t="s">
        <v>26</v>
      </c>
      <c r="B23" s="8">
        <v>211525</v>
      </c>
      <c r="C23" s="8">
        <v>566925</v>
      </c>
      <c r="D23" s="8">
        <v>885809</v>
      </c>
      <c r="E23" s="8">
        <v>2477234</v>
      </c>
      <c r="F23" s="8">
        <f t="shared" si="0"/>
        <v>1053483</v>
      </c>
      <c r="G23" s="8">
        <v>732297</v>
      </c>
      <c r="H23" s="8">
        <v>321186</v>
      </c>
      <c r="I23" s="9">
        <v>5194976</v>
      </c>
    </row>
    <row r="24" spans="1:9" x14ac:dyDescent="0.3">
      <c r="A24" s="3" t="s">
        <v>27</v>
      </c>
      <c r="B24" s="8">
        <v>211525</v>
      </c>
      <c r="C24" s="8">
        <v>566925</v>
      </c>
      <c r="D24" s="8">
        <v>885809</v>
      </c>
      <c r="E24" s="8">
        <v>2477234</v>
      </c>
      <c r="F24" s="8">
        <f t="shared" si="0"/>
        <v>1053483</v>
      </c>
      <c r="G24" s="8">
        <v>732297</v>
      </c>
      <c r="H24" s="8">
        <v>321186</v>
      </c>
      <c r="I24" s="9">
        <v>5194976</v>
      </c>
    </row>
    <row r="25" spans="1:9" x14ac:dyDescent="0.3">
      <c r="A25" s="3" t="s">
        <v>28</v>
      </c>
      <c r="B25" s="8">
        <v>211525</v>
      </c>
      <c r="C25" s="8">
        <v>566925</v>
      </c>
      <c r="D25" s="8">
        <v>885809</v>
      </c>
      <c r="E25" s="8">
        <v>2477234</v>
      </c>
      <c r="F25" s="8">
        <f t="shared" si="0"/>
        <v>1053483</v>
      </c>
      <c r="G25" s="8">
        <v>732297</v>
      </c>
      <c r="H25" s="8">
        <v>321186</v>
      </c>
      <c r="I25" s="9">
        <v>5194976</v>
      </c>
    </row>
    <row r="26" spans="1:9" x14ac:dyDescent="0.3">
      <c r="A26" s="3" t="s">
        <v>29</v>
      </c>
      <c r="B26" s="8">
        <v>211525</v>
      </c>
      <c r="C26" s="8">
        <v>566925</v>
      </c>
      <c r="D26" s="8">
        <v>885809</v>
      </c>
      <c r="E26" s="8">
        <v>2477234</v>
      </c>
      <c r="F26" s="8">
        <f t="shared" si="0"/>
        <v>1053483</v>
      </c>
      <c r="G26" s="8">
        <v>732297</v>
      </c>
      <c r="H26" s="8">
        <v>321186</v>
      </c>
      <c r="I26" s="9">
        <v>5194976</v>
      </c>
    </row>
    <row r="27" spans="1:9" x14ac:dyDescent="0.3">
      <c r="A27" s="3" t="s">
        <v>30</v>
      </c>
      <c r="B27" s="8">
        <v>211525</v>
      </c>
      <c r="C27" s="8">
        <v>566925</v>
      </c>
      <c r="D27" s="8">
        <v>885809</v>
      </c>
      <c r="E27" s="8">
        <v>2477234</v>
      </c>
      <c r="F27" s="8">
        <f t="shared" si="0"/>
        <v>1053483</v>
      </c>
      <c r="G27" s="8">
        <v>732297</v>
      </c>
      <c r="H27" s="8">
        <v>321186</v>
      </c>
      <c r="I27" s="9">
        <v>5194976</v>
      </c>
    </row>
    <row r="28" spans="1:9" x14ac:dyDescent="0.3">
      <c r="A28" s="3" t="s">
        <v>31</v>
      </c>
      <c r="B28" s="8">
        <v>211525</v>
      </c>
      <c r="C28" s="8">
        <v>566925</v>
      </c>
      <c r="D28" s="8">
        <v>885809</v>
      </c>
      <c r="E28" s="8">
        <v>2477234</v>
      </c>
      <c r="F28" s="8">
        <f t="shared" si="0"/>
        <v>1053483</v>
      </c>
      <c r="G28" s="8">
        <v>732297</v>
      </c>
      <c r="H28" s="8">
        <v>321186</v>
      </c>
      <c r="I28" s="9">
        <v>5194976</v>
      </c>
    </row>
    <row r="29" spans="1:9" x14ac:dyDescent="0.3">
      <c r="A29" s="3" t="s">
        <v>32</v>
      </c>
      <c r="B29" s="8">
        <v>211525</v>
      </c>
      <c r="C29" s="8">
        <v>566925</v>
      </c>
      <c r="D29" s="8">
        <v>885809</v>
      </c>
      <c r="E29" s="8">
        <v>2477234</v>
      </c>
      <c r="F29" s="8">
        <f t="shared" si="0"/>
        <v>1053483</v>
      </c>
      <c r="G29" s="8">
        <v>732297</v>
      </c>
      <c r="H29" s="8">
        <v>321186</v>
      </c>
      <c r="I29" s="9">
        <v>5194976</v>
      </c>
    </row>
    <row r="30" spans="1:9" x14ac:dyDescent="0.3">
      <c r="A30" s="3" t="s">
        <v>33</v>
      </c>
      <c r="B30" s="8">
        <v>211525</v>
      </c>
      <c r="C30" s="8">
        <v>566925</v>
      </c>
      <c r="D30" s="8">
        <v>885809</v>
      </c>
      <c r="E30" s="8">
        <v>2477234</v>
      </c>
      <c r="F30" s="8">
        <f t="shared" si="0"/>
        <v>1053483</v>
      </c>
      <c r="G30" s="8">
        <v>732297</v>
      </c>
      <c r="H30" s="8">
        <v>321186</v>
      </c>
      <c r="I30" s="9">
        <v>5194976</v>
      </c>
    </row>
    <row r="31" spans="1:9" x14ac:dyDescent="0.3">
      <c r="A31" s="3" t="s">
        <v>34</v>
      </c>
      <c r="B31" s="8">
        <v>211525</v>
      </c>
      <c r="C31" s="8">
        <v>566925</v>
      </c>
      <c r="D31" s="8">
        <v>885809</v>
      </c>
      <c r="E31" s="8">
        <v>2477234</v>
      </c>
      <c r="F31" s="8">
        <f t="shared" si="0"/>
        <v>1053483</v>
      </c>
      <c r="G31" s="8">
        <v>732297</v>
      </c>
      <c r="H31" s="8">
        <v>321186</v>
      </c>
      <c r="I31" s="9">
        <v>5194976</v>
      </c>
    </row>
    <row r="32" spans="1:9" x14ac:dyDescent="0.3">
      <c r="A32" s="3" t="s">
        <v>35</v>
      </c>
      <c r="B32" s="8">
        <v>211525</v>
      </c>
      <c r="C32" s="8">
        <v>566925</v>
      </c>
      <c r="D32" s="8">
        <v>885809</v>
      </c>
      <c r="E32" s="8">
        <v>2477234</v>
      </c>
      <c r="F32" s="8">
        <f t="shared" si="0"/>
        <v>1053483</v>
      </c>
      <c r="G32" s="8">
        <v>732297</v>
      </c>
      <c r="H32" s="8">
        <v>321186</v>
      </c>
      <c r="I32" s="9">
        <v>5194976</v>
      </c>
    </row>
    <row r="33" spans="1:9" x14ac:dyDescent="0.3">
      <c r="A33" s="3" t="s">
        <v>36</v>
      </c>
      <c r="B33" s="8">
        <v>211525</v>
      </c>
      <c r="C33" s="8">
        <v>566925</v>
      </c>
      <c r="D33" s="8">
        <v>885809</v>
      </c>
      <c r="E33" s="8">
        <v>2477234</v>
      </c>
      <c r="F33" s="8">
        <f t="shared" si="0"/>
        <v>1053483</v>
      </c>
      <c r="G33" s="8">
        <v>732297</v>
      </c>
      <c r="H33" s="8">
        <v>321186</v>
      </c>
      <c r="I33" s="9">
        <v>5194976</v>
      </c>
    </row>
    <row r="34" spans="1:9" x14ac:dyDescent="0.3">
      <c r="A34" s="3" t="s">
        <v>37</v>
      </c>
      <c r="B34" s="8">
        <v>211525</v>
      </c>
      <c r="C34" s="8">
        <v>566925</v>
      </c>
      <c r="D34" s="8">
        <v>885809</v>
      </c>
      <c r="E34" s="8">
        <v>2477234</v>
      </c>
      <c r="F34" s="8">
        <f t="shared" si="0"/>
        <v>1053483</v>
      </c>
      <c r="G34" s="8">
        <v>732297</v>
      </c>
      <c r="H34" s="8">
        <v>321186</v>
      </c>
      <c r="I34" s="9">
        <v>5194976</v>
      </c>
    </row>
    <row r="35" spans="1:9" x14ac:dyDescent="0.3">
      <c r="A35" s="3" t="s">
        <v>38</v>
      </c>
      <c r="B35" s="8">
        <v>211525</v>
      </c>
      <c r="C35" s="8">
        <v>566925</v>
      </c>
      <c r="D35" s="8">
        <v>885809</v>
      </c>
      <c r="E35" s="8">
        <v>2477234</v>
      </c>
      <c r="F35" s="8">
        <f t="shared" si="0"/>
        <v>1053483</v>
      </c>
      <c r="G35" s="8">
        <v>732297</v>
      </c>
      <c r="H35" s="8">
        <v>321186</v>
      </c>
      <c r="I35" s="9">
        <v>5194976</v>
      </c>
    </row>
    <row r="36" spans="1:9" x14ac:dyDescent="0.3">
      <c r="A36" s="3" t="s">
        <v>39</v>
      </c>
      <c r="B36" s="8">
        <v>211525</v>
      </c>
      <c r="C36" s="8">
        <v>566925</v>
      </c>
      <c r="D36" s="8">
        <v>885809</v>
      </c>
      <c r="E36" s="8">
        <v>2477234</v>
      </c>
      <c r="F36" s="8">
        <f t="shared" si="0"/>
        <v>1053483</v>
      </c>
      <c r="G36" s="8">
        <v>732297</v>
      </c>
      <c r="H36" s="8">
        <v>321186</v>
      </c>
      <c r="I36" s="9">
        <v>5194976</v>
      </c>
    </row>
    <row r="37" spans="1:9" x14ac:dyDescent="0.3">
      <c r="A37" s="3" t="s">
        <v>40</v>
      </c>
      <c r="B37" s="8">
        <v>211525</v>
      </c>
      <c r="C37" s="8">
        <v>566925</v>
      </c>
      <c r="D37" s="8">
        <v>885809</v>
      </c>
      <c r="E37" s="8">
        <v>2477234</v>
      </c>
      <c r="F37" s="8">
        <f t="shared" si="0"/>
        <v>1053483</v>
      </c>
      <c r="G37" s="8">
        <v>732297</v>
      </c>
      <c r="H37" s="8">
        <v>321186</v>
      </c>
      <c r="I37" s="9">
        <v>5194976</v>
      </c>
    </row>
    <row r="38" spans="1:9" x14ac:dyDescent="0.3">
      <c r="A38" s="3" t="s">
        <v>41</v>
      </c>
      <c r="B38" s="8">
        <v>211525</v>
      </c>
      <c r="C38" s="8">
        <v>566925</v>
      </c>
      <c r="D38" s="8">
        <v>885809</v>
      </c>
      <c r="E38" s="8">
        <v>2477234</v>
      </c>
      <c r="F38" s="8">
        <f t="shared" si="0"/>
        <v>1053483</v>
      </c>
      <c r="G38" s="8">
        <v>732297</v>
      </c>
      <c r="H38" s="8">
        <v>321186</v>
      </c>
      <c r="I38" s="9">
        <v>5194976</v>
      </c>
    </row>
    <row r="39" spans="1:9" x14ac:dyDescent="0.3">
      <c r="A39" s="3" t="s">
        <v>42</v>
      </c>
      <c r="B39" s="8">
        <v>211525</v>
      </c>
      <c r="C39" s="8">
        <v>566925</v>
      </c>
      <c r="D39" s="8">
        <v>885809</v>
      </c>
      <c r="E39" s="8">
        <v>2477234</v>
      </c>
      <c r="F39" s="8">
        <f t="shared" si="0"/>
        <v>1053483</v>
      </c>
      <c r="G39" s="8">
        <v>732297</v>
      </c>
      <c r="H39" s="8">
        <v>321186</v>
      </c>
      <c r="I39" s="9">
        <v>5194976</v>
      </c>
    </row>
    <row r="40" spans="1:9" x14ac:dyDescent="0.3">
      <c r="A40" s="3" t="s">
        <v>43</v>
      </c>
      <c r="B40" s="8">
        <v>211525</v>
      </c>
      <c r="C40" s="8">
        <v>566925</v>
      </c>
      <c r="D40" s="8">
        <v>885809</v>
      </c>
      <c r="E40" s="8">
        <v>2477234</v>
      </c>
      <c r="F40" s="8">
        <f t="shared" si="0"/>
        <v>1053483</v>
      </c>
      <c r="G40" s="8">
        <v>732297</v>
      </c>
      <c r="H40" s="8">
        <v>321186</v>
      </c>
      <c r="I40" s="9">
        <v>5194976</v>
      </c>
    </row>
    <row r="41" spans="1:9" x14ac:dyDescent="0.3">
      <c r="A41" s="3" t="s">
        <v>44</v>
      </c>
      <c r="B41" s="8">
        <v>211525</v>
      </c>
      <c r="C41" s="8">
        <v>566925</v>
      </c>
      <c r="D41" s="8">
        <v>885809</v>
      </c>
      <c r="E41" s="8">
        <v>2477234</v>
      </c>
      <c r="F41" s="8">
        <f t="shared" si="0"/>
        <v>1053483</v>
      </c>
      <c r="G41" s="8">
        <v>732297</v>
      </c>
      <c r="H41" s="8">
        <v>321186</v>
      </c>
      <c r="I41" s="9">
        <v>5194976</v>
      </c>
    </row>
    <row r="42" spans="1:9" x14ac:dyDescent="0.3">
      <c r="A42" s="3" t="s">
        <v>45</v>
      </c>
      <c r="B42" s="8">
        <v>211525</v>
      </c>
      <c r="C42" s="8">
        <v>566925</v>
      </c>
      <c r="D42" s="8">
        <v>885809</v>
      </c>
      <c r="E42" s="8">
        <v>2477234</v>
      </c>
      <c r="F42" s="8">
        <f t="shared" si="0"/>
        <v>1053483</v>
      </c>
      <c r="G42" s="8">
        <v>732297</v>
      </c>
      <c r="H42" s="8">
        <v>321186</v>
      </c>
      <c r="I42" s="9">
        <v>5194976</v>
      </c>
    </row>
    <row r="43" spans="1:9" x14ac:dyDescent="0.3">
      <c r="A43" s="3" t="s">
        <v>46</v>
      </c>
      <c r="B43" s="8">
        <v>211525</v>
      </c>
      <c r="C43" s="8">
        <v>566925</v>
      </c>
      <c r="D43" s="8">
        <v>885809</v>
      </c>
      <c r="E43" s="8">
        <v>2477234</v>
      </c>
      <c r="F43" s="8">
        <f t="shared" si="0"/>
        <v>1053483</v>
      </c>
      <c r="G43" s="8">
        <v>732297</v>
      </c>
      <c r="H43" s="8">
        <v>321186</v>
      </c>
      <c r="I43" s="9">
        <v>5194976</v>
      </c>
    </row>
    <row r="44" spans="1:9" x14ac:dyDescent="0.3">
      <c r="A44" s="3" t="s">
        <v>47</v>
      </c>
      <c r="B44" s="8">
        <v>211525</v>
      </c>
      <c r="C44" s="8">
        <v>566925</v>
      </c>
      <c r="D44" s="8">
        <v>885809</v>
      </c>
      <c r="E44" s="8">
        <v>2477234</v>
      </c>
      <c r="F44" s="8">
        <f t="shared" si="0"/>
        <v>1053483</v>
      </c>
      <c r="G44" s="8">
        <v>732297</v>
      </c>
      <c r="H44" s="8">
        <v>321186</v>
      </c>
      <c r="I44" s="9">
        <v>5194976</v>
      </c>
    </row>
    <row r="45" spans="1:9" x14ac:dyDescent="0.3">
      <c r="A45" s="3" t="s">
        <v>48</v>
      </c>
      <c r="B45" s="8">
        <v>211525</v>
      </c>
      <c r="C45" s="8">
        <v>566925</v>
      </c>
      <c r="D45" s="8">
        <v>885809</v>
      </c>
      <c r="E45" s="8">
        <v>2477234</v>
      </c>
      <c r="F45" s="8">
        <f t="shared" si="0"/>
        <v>1053483</v>
      </c>
      <c r="G45" s="8">
        <v>732297</v>
      </c>
      <c r="H45" s="8">
        <v>321186</v>
      </c>
      <c r="I45" s="9">
        <v>5194976</v>
      </c>
    </row>
    <row r="46" spans="1:9" x14ac:dyDescent="0.3">
      <c r="A46" s="3" t="s">
        <v>49</v>
      </c>
      <c r="B46" s="8">
        <v>211525</v>
      </c>
      <c r="C46" s="8">
        <v>566925</v>
      </c>
      <c r="D46" s="8">
        <v>885809</v>
      </c>
      <c r="E46" s="8">
        <v>2477234</v>
      </c>
      <c r="F46" s="8">
        <f t="shared" si="0"/>
        <v>1053483</v>
      </c>
      <c r="G46" s="8">
        <v>732297</v>
      </c>
      <c r="H46" s="8">
        <v>321186</v>
      </c>
      <c r="I46" s="9">
        <v>5194976</v>
      </c>
    </row>
    <row r="47" spans="1:9" x14ac:dyDescent="0.3">
      <c r="A47" s="3" t="s">
        <v>50</v>
      </c>
      <c r="B47" s="8">
        <v>211525</v>
      </c>
      <c r="C47" s="8">
        <v>566925</v>
      </c>
      <c r="D47" s="8">
        <v>885809</v>
      </c>
      <c r="E47" s="8">
        <v>2477234</v>
      </c>
      <c r="F47" s="8">
        <f t="shared" si="0"/>
        <v>1053483</v>
      </c>
      <c r="G47" s="8">
        <v>732297</v>
      </c>
      <c r="H47" s="8">
        <v>321186</v>
      </c>
      <c r="I47" s="9">
        <v>5194976</v>
      </c>
    </row>
    <row r="48" spans="1:9" x14ac:dyDescent="0.3">
      <c r="A48" s="3" t="s">
        <v>51</v>
      </c>
      <c r="B48" s="8">
        <v>211525</v>
      </c>
      <c r="C48" s="8">
        <v>566925</v>
      </c>
      <c r="D48" s="8">
        <v>885809</v>
      </c>
      <c r="E48" s="8">
        <v>2477234</v>
      </c>
      <c r="F48" s="8">
        <f t="shared" si="0"/>
        <v>1053483</v>
      </c>
      <c r="G48" s="8">
        <v>732297</v>
      </c>
      <c r="H48" s="8">
        <v>321186</v>
      </c>
      <c r="I48" s="9">
        <v>5194976</v>
      </c>
    </row>
    <row r="49" spans="1:9" x14ac:dyDescent="0.3">
      <c r="A49" s="3" t="s">
        <v>52</v>
      </c>
      <c r="B49" s="8">
        <v>211525</v>
      </c>
      <c r="C49" s="8">
        <v>566925</v>
      </c>
      <c r="D49" s="8">
        <v>885809</v>
      </c>
      <c r="E49" s="8">
        <v>2477234</v>
      </c>
      <c r="F49" s="8">
        <f t="shared" si="0"/>
        <v>1053483</v>
      </c>
      <c r="G49" s="8">
        <v>732297</v>
      </c>
      <c r="H49" s="8">
        <v>321186</v>
      </c>
      <c r="I49" s="9">
        <v>5194976</v>
      </c>
    </row>
    <row r="50" spans="1:9" x14ac:dyDescent="0.3">
      <c r="A50" s="3" t="s">
        <v>53</v>
      </c>
      <c r="B50" s="8">
        <v>211525</v>
      </c>
      <c r="C50" s="8">
        <v>566925</v>
      </c>
      <c r="D50" s="8">
        <v>885809</v>
      </c>
      <c r="E50" s="8">
        <v>2477234</v>
      </c>
      <c r="F50" s="8">
        <f t="shared" si="0"/>
        <v>1053483</v>
      </c>
      <c r="G50" s="8">
        <v>732297</v>
      </c>
      <c r="H50" s="8">
        <v>321186</v>
      </c>
      <c r="I50" s="9">
        <v>5194976</v>
      </c>
    </row>
    <row r="51" spans="1:9" x14ac:dyDescent="0.3">
      <c r="A51" s="3" t="s">
        <v>54</v>
      </c>
      <c r="B51" s="8">
        <v>211525</v>
      </c>
      <c r="C51" s="8">
        <v>566925</v>
      </c>
      <c r="D51" s="8">
        <v>885809</v>
      </c>
      <c r="E51" s="8">
        <v>2477234</v>
      </c>
      <c r="F51" s="8">
        <f t="shared" si="0"/>
        <v>1053483</v>
      </c>
      <c r="G51" s="8">
        <v>732297</v>
      </c>
      <c r="H51" s="8">
        <v>321186</v>
      </c>
      <c r="I51" s="9">
        <v>5194976</v>
      </c>
    </row>
    <row r="52" spans="1:9" x14ac:dyDescent="0.3">
      <c r="A52" s="3" t="s">
        <v>55</v>
      </c>
      <c r="B52" s="8">
        <v>211525</v>
      </c>
      <c r="C52" s="8">
        <v>566925</v>
      </c>
      <c r="D52" s="8">
        <v>885809</v>
      </c>
      <c r="E52" s="8">
        <v>2477234</v>
      </c>
      <c r="F52" s="8">
        <f t="shared" si="0"/>
        <v>1053483</v>
      </c>
      <c r="G52" s="8">
        <v>732297</v>
      </c>
      <c r="H52" s="8">
        <v>321186</v>
      </c>
      <c r="I52" s="9">
        <v>5194976</v>
      </c>
    </row>
    <row r="53" spans="1:9" x14ac:dyDescent="0.3">
      <c r="A53" s="3" t="s">
        <v>56</v>
      </c>
      <c r="B53" s="8">
        <v>211525</v>
      </c>
      <c r="C53" s="8">
        <v>566925</v>
      </c>
      <c r="D53" s="8">
        <v>885809</v>
      </c>
      <c r="E53" s="8">
        <v>2477234</v>
      </c>
      <c r="F53" s="8">
        <f t="shared" si="0"/>
        <v>1053483</v>
      </c>
      <c r="G53" s="8">
        <v>732297</v>
      </c>
      <c r="H53" s="8">
        <v>321186</v>
      </c>
      <c r="I53" s="9">
        <v>5194976</v>
      </c>
    </row>
    <row r="54" spans="1:9" x14ac:dyDescent="0.3">
      <c r="A54" s="3" t="s">
        <v>57</v>
      </c>
      <c r="B54" s="8">
        <v>211525</v>
      </c>
      <c r="C54" s="8">
        <v>566925</v>
      </c>
      <c r="D54" s="8">
        <v>885809</v>
      </c>
      <c r="E54" s="8">
        <v>2477234</v>
      </c>
      <c r="F54" s="8">
        <f t="shared" si="0"/>
        <v>1053483</v>
      </c>
      <c r="G54" s="8">
        <v>732297</v>
      </c>
      <c r="H54" s="8">
        <v>321186</v>
      </c>
      <c r="I54" s="9">
        <v>5194976</v>
      </c>
    </row>
    <row r="55" spans="1:9" x14ac:dyDescent="0.3">
      <c r="A55" s="3" t="s">
        <v>58</v>
      </c>
      <c r="B55" s="8">
        <v>226756</v>
      </c>
      <c r="C55" s="8">
        <v>610546</v>
      </c>
      <c r="D55" s="8">
        <v>971425</v>
      </c>
      <c r="E55" s="8">
        <v>2718470</v>
      </c>
      <c r="F55" s="8">
        <f t="shared" si="0"/>
        <v>1191161</v>
      </c>
      <c r="G55" s="8">
        <v>831938</v>
      </c>
      <c r="H55" s="8">
        <v>359223</v>
      </c>
      <c r="I55" s="9">
        <v>5718358</v>
      </c>
    </row>
    <row r="56" spans="1:9" x14ac:dyDescent="0.3">
      <c r="A56" s="3" t="s">
        <v>59</v>
      </c>
      <c r="B56" s="8">
        <v>226756</v>
      </c>
      <c r="C56" s="8">
        <v>610546</v>
      </c>
      <c r="D56" s="8">
        <v>971425</v>
      </c>
      <c r="E56" s="8">
        <v>2718470</v>
      </c>
      <c r="F56" s="8">
        <f t="shared" si="0"/>
        <v>1191161</v>
      </c>
      <c r="G56" s="8">
        <v>831938</v>
      </c>
      <c r="H56" s="8">
        <v>359223</v>
      </c>
      <c r="I56" s="9">
        <v>5718358</v>
      </c>
    </row>
    <row r="57" spans="1:9" x14ac:dyDescent="0.3">
      <c r="A57" s="3" t="s">
        <v>60</v>
      </c>
      <c r="B57" s="8">
        <v>226756</v>
      </c>
      <c r="C57" s="8">
        <v>610546</v>
      </c>
      <c r="D57" s="8">
        <v>971425</v>
      </c>
      <c r="E57" s="8">
        <v>2718470</v>
      </c>
      <c r="F57" s="8">
        <f t="shared" si="0"/>
        <v>1191161</v>
      </c>
      <c r="G57" s="8">
        <v>831938</v>
      </c>
      <c r="H57" s="8">
        <v>359223</v>
      </c>
      <c r="I57" s="9">
        <v>5718358</v>
      </c>
    </row>
    <row r="58" spans="1:9" x14ac:dyDescent="0.3">
      <c r="A58" s="3" t="s">
        <v>61</v>
      </c>
      <c r="B58" s="8">
        <v>226756</v>
      </c>
      <c r="C58" s="8">
        <v>610546</v>
      </c>
      <c r="D58" s="8">
        <v>971425</v>
      </c>
      <c r="E58" s="8">
        <v>2718470</v>
      </c>
      <c r="F58" s="8">
        <f t="shared" si="0"/>
        <v>1191161</v>
      </c>
      <c r="G58" s="8">
        <v>831938</v>
      </c>
      <c r="H58" s="8">
        <v>359223</v>
      </c>
      <c r="I58" s="9">
        <v>5718358</v>
      </c>
    </row>
    <row r="59" spans="1:9" x14ac:dyDescent="0.3">
      <c r="A59" s="3" t="s">
        <v>62</v>
      </c>
      <c r="B59" s="8">
        <v>226756</v>
      </c>
      <c r="C59" s="8">
        <v>610546</v>
      </c>
      <c r="D59" s="8">
        <v>971425</v>
      </c>
      <c r="E59" s="8">
        <v>2718470</v>
      </c>
      <c r="F59" s="8">
        <f t="shared" si="0"/>
        <v>1191161</v>
      </c>
      <c r="G59" s="8">
        <v>831938</v>
      </c>
      <c r="H59" s="8">
        <v>359223</v>
      </c>
      <c r="I59" s="9">
        <v>5718358</v>
      </c>
    </row>
    <row r="60" spans="1:9" x14ac:dyDescent="0.3">
      <c r="A60" s="3" t="s">
        <v>63</v>
      </c>
      <c r="B60" s="8">
        <v>226756</v>
      </c>
      <c r="C60" s="8">
        <v>610546</v>
      </c>
      <c r="D60" s="8">
        <v>971425</v>
      </c>
      <c r="E60" s="8">
        <v>2718470</v>
      </c>
      <c r="F60" s="8">
        <f t="shared" si="0"/>
        <v>1191161</v>
      </c>
      <c r="G60" s="8">
        <v>831938</v>
      </c>
      <c r="H60" s="8">
        <v>359223</v>
      </c>
      <c r="I60" s="9">
        <v>5718358</v>
      </c>
    </row>
    <row r="61" spans="1:9" x14ac:dyDescent="0.3">
      <c r="A61" s="3" t="s">
        <v>64</v>
      </c>
      <c r="B61" s="8">
        <v>226756</v>
      </c>
      <c r="C61" s="8">
        <v>610546</v>
      </c>
      <c r="D61" s="8">
        <v>971425</v>
      </c>
      <c r="E61" s="8">
        <v>2718470</v>
      </c>
      <c r="F61" s="8">
        <f t="shared" si="0"/>
        <v>1191161</v>
      </c>
      <c r="G61" s="8">
        <v>831938</v>
      </c>
      <c r="H61" s="8">
        <v>359223</v>
      </c>
      <c r="I61" s="9">
        <v>5718358</v>
      </c>
    </row>
    <row r="62" spans="1:9" x14ac:dyDescent="0.3">
      <c r="A62" s="3" t="s">
        <v>65</v>
      </c>
      <c r="B62" s="8">
        <v>226756</v>
      </c>
      <c r="C62" s="8">
        <v>610546</v>
      </c>
      <c r="D62" s="8">
        <v>971425</v>
      </c>
      <c r="E62" s="8">
        <v>2718470</v>
      </c>
      <c r="F62" s="8">
        <f t="shared" si="0"/>
        <v>1191161</v>
      </c>
      <c r="G62" s="8">
        <v>831938</v>
      </c>
      <c r="H62" s="8">
        <v>359223</v>
      </c>
      <c r="I62" s="9">
        <v>5718358</v>
      </c>
    </row>
    <row r="63" spans="1:9" x14ac:dyDescent="0.3">
      <c r="A63" s="3" t="s">
        <v>66</v>
      </c>
      <c r="B63" s="8">
        <v>226756</v>
      </c>
      <c r="C63" s="8">
        <v>610546</v>
      </c>
      <c r="D63" s="8">
        <v>971425</v>
      </c>
      <c r="E63" s="8">
        <v>2718470</v>
      </c>
      <c r="F63" s="8">
        <f t="shared" si="0"/>
        <v>1191161</v>
      </c>
      <c r="G63" s="8">
        <v>831938</v>
      </c>
      <c r="H63" s="8">
        <v>359223</v>
      </c>
      <c r="I63" s="9">
        <v>5718358</v>
      </c>
    </row>
    <row r="64" spans="1:9" x14ac:dyDescent="0.3">
      <c r="A64" s="3" t="s">
        <v>67</v>
      </c>
      <c r="B64" s="8">
        <v>226756</v>
      </c>
      <c r="C64" s="8">
        <v>610546</v>
      </c>
      <c r="D64" s="8">
        <v>971425</v>
      </c>
      <c r="E64" s="8">
        <v>2718470</v>
      </c>
      <c r="F64" s="8">
        <f t="shared" si="0"/>
        <v>1191161</v>
      </c>
      <c r="G64" s="8">
        <v>831938</v>
      </c>
      <c r="H64" s="8">
        <v>359223</v>
      </c>
      <c r="I64" s="9">
        <v>5718358</v>
      </c>
    </row>
    <row r="65" spans="1:9" x14ac:dyDescent="0.3">
      <c r="A65" s="3" t="s">
        <v>68</v>
      </c>
      <c r="B65" s="8">
        <v>226756</v>
      </c>
      <c r="C65" s="8">
        <v>610546</v>
      </c>
      <c r="D65" s="8">
        <v>971425</v>
      </c>
      <c r="E65" s="8">
        <v>2718470</v>
      </c>
      <c r="F65" s="8">
        <f t="shared" si="0"/>
        <v>1191161</v>
      </c>
      <c r="G65" s="8">
        <v>831938</v>
      </c>
      <c r="H65" s="8">
        <v>359223</v>
      </c>
      <c r="I65" s="9">
        <v>5718358</v>
      </c>
    </row>
    <row r="66" spans="1:9" x14ac:dyDescent="0.3">
      <c r="A66" s="3" t="s">
        <v>69</v>
      </c>
      <c r="B66" s="8">
        <v>226756</v>
      </c>
      <c r="C66" s="8">
        <v>610546</v>
      </c>
      <c r="D66" s="8">
        <v>971425</v>
      </c>
      <c r="E66" s="8">
        <v>2718470</v>
      </c>
      <c r="F66" s="8">
        <f t="shared" si="0"/>
        <v>1191161</v>
      </c>
      <c r="G66" s="8">
        <v>831938</v>
      </c>
      <c r="H66" s="8">
        <v>359223</v>
      </c>
      <c r="I66" s="9">
        <v>5718358</v>
      </c>
    </row>
    <row r="67" spans="1:9" x14ac:dyDescent="0.3">
      <c r="A67" s="3" t="s">
        <v>70</v>
      </c>
      <c r="B67" s="8">
        <v>226756</v>
      </c>
      <c r="C67" s="8">
        <v>610546</v>
      </c>
      <c r="D67" s="8">
        <v>971425</v>
      </c>
      <c r="E67" s="8">
        <v>2718470</v>
      </c>
      <c r="F67" s="8">
        <f t="shared" si="0"/>
        <v>1191161</v>
      </c>
      <c r="G67" s="8">
        <v>831938</v>
      </c>
      <c r="H67" s="8">
        <v>359223</v>
      </c>
      <c r="I67" s="9">
        <v>5718358</v>
      </c>
    </row>
  </sheetData>
  <autoFilter ref="A1:A67" xr:uid="{43A01C1B-33EE-4251-B4F2-44F75678BD2F}"/>
  <mergeCells count="1">
    <mergeCell ref="B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14CE-8831-4F1B-A6D1-EA99D67ECEBA}">
  <dimension ref="A1:Z66"/>
  <sheetViews>
    <sheetView workbookViewId="0">
      <selection activeCell="C8" sqref="C8"/>
    </sheetView>
  </sheetViews>
  <sheetFormatPr defaultRowHeight="14.4" x14ac:dyDescent="0.3"/>
  <cols>
    <col min="2" max="2" width="23" customWidth="1"/>
    <col min="3" max="3" width="10" bestFit="1" customWidth="1"/>
    <col min="4" max="6" width="11.6640625" bestFit="1" customWidth="1"/>
    <col min="7" max="7" width="10" bestFit="1" customWidth="1"/>
    <col min="8" max="8" width="11.6640625" bestFit="1" customWidth="1"/>
    <col min="9" max="9" width="10" bestFit="1" customWidth="1"/>
    <col min="10" max="10" width="11.6640625" bestFit="1" customWidth="1"/>
    <col min="11" max="11" width="14.33203125" bestFit="1" customWidth="1"/>
    <col min="12" max="12" width="15.21875" bestFit="1" customWidth="1"/>
    <col min="13" max="14" width="16.21875" bestFit="1" customWidth="1"/>
    <col min="15" max="15" width="14.5546875" bestFit="1" customWidth="1"/>
    <col min="16" max="16" width="16.5546875" bestFit="1" customWidth="1"/>
    <col min="17" max="17" width="14.109375" bestFit="1" customWidth="1"/>
    <col min="18" max="18" width="12.33203125" bestFit="1" customWidth="1"/>
    <col min="19" max="19" width="14.33203125" bestFit="1" customWidth="1"/>
    <col min="20" max="22" width="16.21875" bestFit="1" customWidth="1"/>
    <col min="23" max="23" width="14.33203125" bestFit="1" customWidth="1"/>
    <col min="24" max="24" width="16.21875" bestFit="1" customWidth="1"/>
    <col min="25" max="25" width="14.33203125" bestFit="1" customWidth="1"/>
    <col min="26" max="26" width="16.33203125" bestFit="1" customWidth="1"/>
  </cols>
  <sheetData>
    <row r="1" spans="1:26" x14ac:dyDescent="0.3">
      <c r="A1" s="6" t="s">
        <v>102</v>
      </c>
      <c r="B1" s="6" t="s">
        <v>101</v>
      </c>
      <c r="C1" s="12" t="s">
        <v>77</v>
      </c>
      <c r="D1" s="12" t="s">
        <v>78</v>
      </c>
      <c r="E1" s="13" t="s">
        <v>79</v>
      </c>
      <c r="F1" s="13" t="s">
        <v>80</v>
      </c>
      <c r="G1" s="13" t="s">
        <v>81</v>
      </c>
      <c r="H1" s="13" t="s">
        <v>83</v>
      </c>
      <c r="I1" s="13" t="s">
        <v>84</v>
      </c>
      <c r="J1" s="13" t="s">
        <v>82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91</v>
      </c>
      <c r="Q1" s="1" t="s">
        <v>92</v>
      </c>
      <c r="R1" s="1" t="s">
        <v>90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100</v>
      </c>
      <c r="X1" s="1" t="s">
        <v>98</v>
      </c>
      <c r="Y1" s="1" t="s">
        <v>99</v>
      </c>
      <c r="Z1" s="1" t="s">
        <v>97</v>
      </c>
    </row>
    <row r="2" spans="1:26" x14ac:dyDescent="0.3">
      <c r="A2" s="14" t="s">
        <v>103</v>
      </c>
      <c r="B2" s="3" t="s">
        <v>5</v>
      </c>
      <c r="C2" s="8">
        <v>62</v>
      </c>
      <c r="D2" s="8">
        <v>27</v>
      </c>
      <c r="E2" s="8">
        <v>16</v>
      </c>
      <c r="F2" s="8">
        <v>153</v>
      </c>
      <c r="G2" s="8">
        <f>SUM(H2:I2)</f>
        <v>393</v>
      </c>
      <c r="H2" s="8">
        <v>177</v>
      </c>
      <c r="I2" s="8">
        <v>216</v>
      </c>
      <c r="J2" s="9">
        <v>651</v>
      </c>
      <c r="K2" s="8">
        <v>211525</v>
      </c>
      <c r="L2" s="8">
        <v>566925</v>
      </c>
      <c r="M2" s="8">
        <v>885809</v>
      </c>
      <c r="N2" s="8">
        <v>2477234</v>
      </c>
      <c r="O2" s="8">
        <f>SUM(P2:Q2)</f>
        <v>1053483</v>
      </c>
      <c r="P2" s="8">
        <v>732297</v>
      </c>
      <c r="Q2" s="8">
        <v>321186</v>
      </c>
      <c r="R2" s="9">
        <v>5194976</v>
      </c>
      <c r="S2">
        <f>C2/K2*100000</f>
        <v>29.310956151755111</v>
      </c>
      <c r="T2">
        <f t="shared" ref="T2:Z2" si="0">D2/L2*100000</f>
        <v>4.7625347268157165</v>
      </c>
      <c r="U2">
        <f t="shared" si="0"/>
        <v>1.8062584597808331</v>
      </c>
      <c r="V2">
        <f t="shared" si="0"/>
        <v>6.1762433423729854</v>
      </c>
      <c r="W2">
        <f t="shared" si="0"/>
        <v>37.304825991496777</v>
      </c>
      <c r="X2">
        <f>H2/P2*100000</f>
        <v>24.17052097714452</v>
      </c>
      <c r="Y2">
        <f t="shared" si="0"/>
        <v>67.250751900767781</v>
      </c>
      <c r="Z2">
        <f t="shared" si="0"/>
        <v>12.531337969607561</v>
      </c>
    </row>
    <row r="3" spans="1:26" x14ac:dyDescent="0.3">
      <c r="A3" s="14" t="s">
        <v>103</v>
      </c>
      <c r="B3" s="3" t="s">
        <v>6</v>
      </c>
      <c r="C3" s="8">
        <v>60</v>
      </c>
      <c r="D3" s="8">
        <v>35</v>
      </c>
      <c r="E3" s="8">
        <v>16</v>
      </c>
      <c r="F3" s="8">
        <v>112</v>
      </c>
      <c r="G3" s="8">
        <f t="shared" ref="G3:G66" si="1">SUM(H3:I3)</f>
        <v>396</v>
      </c>
      <c r="H3" s="8">
        <v>183</v>
      </c>
      <c r="I3" s="8">
        <v>213</v>
      </c>
      <c r="J3" s="9">
        <v>619</v>
      </c>
      <c r="K3" s="8">
        <v>211525</v>
      </c>
      <c r="L3" s="8">
        <v>566925</v>
      </c>
      <c r="M3" s="8">
        <v>885809</v>
      </c>
      <c r="N3" s="8">
        <v>2477234</v>
      </c>
      <c r="O3" s="8">
        <f t="shared" ref="O3:O66" si="2">SUM(P3:Q3)</f>
        <v>1053483</v>
      </c>
      <c r="P3" s="8">
        <v>732297</v>
      </c>
      <c r="Q3" s="8">
        <v>321186</v>
      </c>
      <c r="R3" s="9">
        <v>5194976</v>
      </c>
      <c r="S3">
        <f t="shared" ref="S3:S66" si="3">C3/K3*100000</f>
        <v>28.365441437182369</v>
      </c>
      <c r="T3">
        <f t="shared" ref="T3:T66" si="4">D3/L3*100000</f>
        <v>6.1736561273537065</v>
      </c>
      <c r="U3">
        <f t="shared" ref="U3:U66" si="5">E3/M3*100000</f>
        <v>1.8062584597808331</v>
      </c>
      <c r="V3">
        <f t="shared" ref="V3:V66" si="6">F3/N3*100000</f>
        <v>4.5211715970312047</v>
      </c>
      <c r="W3">
        <f t="shared" ref="W3:W66" si="7">G3/O3*100000</f>
        <v>37.589595655554007</v>
      </c>
      <c r="X3">
        <f t="shared" ref="X3:X66" si="8">H3/P3*100000</f>
        <v>24.989860671285012</v>
      </c>
      <c r="Y3">
        <f t="shared" ref="Y3:Y66" si="9">I3/Q3*100000</f>
        <v>66.31671367992378</v>
      </c>
      <c r="Z3">
        <f t="shared" ref="Z3:Z66" si="10">J3/R3*100000</f>
        <v>11.915358223021627</v>
      </c>
    </row>
    <row r="4" spans="1:26" x14ac:dyDescent="0.3">
      <c r="A4" s="14" t="s">
        <v>103</v>
      </c>
      <c r="B4" s="3" t="s">
        <v>7</v>
      </c>
      <c r="C4" s="8">
        <v>56</v>
      </c>
      <c r="D4" s="8">
        <v>26</v>
      </c>
      <c r="E4" s="8">
        <v>15</v>
      </c>
      <c r="F4" s="8">
        <v>126</v>
      </c>
      <c r="G4" s="8">
        <f t="shared" si="1"/>
        <v>364</v>
      </c>
      <c r="H4" s="8">
        <v>154</v>
      </c>
      <c r="I4" s="8">
        <v>210</v>
      </c>
      <c r="J4" s="9">
        <v>587</v>
      </c>
      <c r="K4" s="8">
        <v>211525</v>
      </c>
      <c r="L4" s="8">
        <v>566925</v>
      </c>
      <c r="M4" s="8">
        <v>885809</v>
      </c>
      <c r="N4" s="8">
        <v>2477234</v>
      </c>
      <c r="O4" s="8">
        <f t="shared" si="2"/>
        <v>1053483</v>
      </c>
      <c r="P4" s="8">
        <v>732297</v>
      </c>
      <c r="Q4" s="8">
        <v>321186</v>
      </c>
      <c r="R4" s="9">
        <v>5194976</v>
      </c>
      <c r="S4">
        <f t="shared" si="3"/>
        <v>26.474412008036875</v>
      </c>
      <c r="T4">
        <f t="shared" si="4"/>
        <v>4.5861445517484674</v>
      </c>
      <c r="U4">
        <f t="shared" si="5"/>
        <v>1.6933673060445311</v>
      </c>
      <c r="V4">
        <f t="shared" si="6"/>
        <v>5.0863180466601055</v>
      </c>
      <c r="W4">
        <f t="shared" si="7"/>
        <v>34.552052572276914</v>
      </c>
      <c r="X4">
        <f t="shared" si="8"/>
        <v>21.029718816272634</v>
      </c>
      <c r="Y4">
        <f t="shared" si="9"/>
        <v>65.382675459079792</v>
      </c>
      <c r="Z4">
        <f t="shared" si="10"/>
        <v>11.299378476435695</v>
      </c>
    </row>
    <row r="5" spans="1:26" x14ac:dyDescent="0.3">
      <c r="A5" s="14" t="s">
        <v>103</v>
      </c>
      <c r="B5" s="3" t="s">
        <v>8</v>
      </c>
      <c r="C5" s="8">
        <v>82</v>
      </c>
      <c r="D5" s="8">
        <v>32</v>
      </c>
      <c r="E5" s="8">
        <v>15</v>
      </c>
      <c r="F5" s="8">
        <v>129</v>
      </c>
      <c r="G5" s="8">
        <f t="shared" si="1"/>
        <v>366</v>
      </c>
      <c r="H5" s="8">
        <v>171</v>
      </c>
      <c r="I5" s="8">
        <v>195</v>
      </c>
      <c r="J5" s="9">
        <v>624</v>
      </c>
      <c r="K5" s="8">
        <v>211525</v>
      </c>
      <c r="L5" s="8">
        <v>566925</v>
      </c>
      <c r="M5" s="8">
        <v>885809</v>
      </c>
      <c r="N5" s="8">
        <v>2477234</v>
      </c>
      <c r="O5" s="8">
        <f t="shared" si="2"/>
        <v>1053483</v>
      </c>
      <c r="P5" s="8">
        <v>732297</v>
      </c>
      <c r="Q5" s="8">
        <v>321186</v>
      </c>
      <c r="R5" s="9">
        <v>5194976</v>
      </c>
      <c r="S5">
        <f t="shared" si="3"/>
        <v>38.766103297482573</v>
      </c>
      <c r="T5">
        <f t="shared" si="4"/>
        <v>5.6444856021519598</v>
      </c>
      <c r="U5">
        <f t="shared" si="5"/>
        <v>1.6933673060445311</v>
      </c>
      <c r="V5">
        <f t="shared" si="6"/>
        <v>5.2074208572948697</v>
      </c>
      <c r="W5">
        <f t="shared" si="7"/>
        <v>34.741899014981733</v>
      </c>
      <c r="X5">
        <f t="shared" si="8"/>
        <v>23.351181283004028</v>
      </c>
      <c r="Y5">
        <f t="shared" si="9"/>
        <v>60.712484354859804</v>
      </c>
      <c r="Z5">
        <f t="shared" si="10"/>
        <v>12.01160505842568</v>
      </c>
    </row>
    <row r="6" spans="1:26" x14ac:dyDescent="0.3">
      <c r="A6" s="14" t="s">
        <v>103</v>
      </c>
      <c r="B6" s="3" t="s">
        <v>9</v>
      </c>
      <c r="C6" s="8">
        <v>59</v>
      </c>
      <c r="D6" s="8">
        <v>24</v>
      </c>
      <c r="E6" s="8">
        <v>19</v>
      </c>
      <c r="F6" s="8">
        <v>118</v>
      </c>
      <c r="G6" s="8">
        <f t="shared" si="1"/>
        <v>393</v>
      </c>
      <c r="H6" s="8">
        <v>188</v>
      </c>
      <c r="I6" s="8">
        <v>205</v>
      </c>
      <c r="J6" s="9">
        <v>613</v>
      </c>
      <c r="K6" s="8">
        <v>211525</v>
      </c>
      <c r="L6" s="8">
        <v>566925</v>
      </c>
      <c r="M6" s="8">
        <v>885809</v>
      </c>
      <c r="N6" s="8">
        <v>2477234</v>
      </c>
      <c r="O6" s="8">
        <f t="shared" si="2"/>
        <v>1053483</v>
      </c>
      <c r="P6" s="8">
        <v>732297</v>
      </c>
      <c r="Q6" s="8">
        <v>321186</v>
      </c>
      <c r="R6" s="9">
        <v>5194976</v>
      </c>
      <c r="S6">
        <f t="shared" si="3"/>
        <v>27.892684079895997</v>
      </c>
      <c r="T6">
        <f t="shared" si="4"/>
        <v>4.2333642016139708</v>
      </c>
      <c r="U6">
        <f t="shared" si="5"/>
        <v>2.1449319209897393</v>
      </c>
      <c r="V6">
        <f t="shared" si="6"/>
        <v>4.7633772183007341</v>
      </c>
      <c r="W6">
        <f t="shared" si="7"/>
        <v>37.304825991496777</v>
      </c>
      <c r="X6">
        <f t="shared" si="8"/>
        <v>25.672643749735418</v>
      </c>
      <c r="Y6">
        <f t="shared" si="9"/>
        <v>63.82594509100646</v>
      </c>
      <c r="Z6">
        <f t="shared" si="10"/>
        <v>11.799862020536764</v>
      </c>
    </row>
    <row r="7" spans="1:26" x14ac:dyDescent="0.3">
      <c r="A7" s="14" t="s">
        <v>103</v>
      </c>
      <c r="B7" s="3" t="s">
        <v>10</v>
      </c>
      <c r="C7" s="8">
        <v>55</v>
      </c>
      <c r="D7" s="8">
        <v>32</v>
      </c>
      <c r="E7" s="8">
        <v>22</v>
      </c>
      <c r="F7" s="8">
        <v>116</v>
      </c>
      <c r="G7" s="8">
        <f t="shared" si="1"/>
        <v>374</v>
      </c>
      <c r="H7" s="8">
        <v>176</v>
      </c>
      <c r="I7" s="8">
        <v>198</v>
      </c>
      <c r="J7" s="9">
        <v>599</v>
      </c>
      <c r="K7" s="8">
        <v>211525</v>
      </c>
      <c r="L7" s="8">
        <v>566925</v>
      </c>
      <c r="M7" s="8">
        <v>885809</v>
      </c>
      <c r="N7" s="8">
        <v>2477234</v>
      </c>
      <c r="O7" s="8">
        <f t="shared" si="2"/>
        <v>1053483</v>
      </c>
      <c r="P7" s="8">
        <v>732297</v>
      </c>
      <c r="Q7" s="8">
        <v>321186</v>
      </c>
      <c r="R7" s="9">
        <v>5194976</v>
      </c>
      <c r="S7">
        <f t="shared" si="3"/>
        <v>26.001654650750499</v>
      </c>
      <c r="T7">
        <f t="shared" si="4"/>
        <v>5.6444856021519598</v>
      </c>
      <c r="U7">
        <f t="shared" si="5"/>
        <v>2.4836053821986455</v>
      </c>
      <c r="V7">
        <f t="shared" si="6"/>
        <v>4.6826420112108904</v>
      </c>
      <c r="W7">
        <f t="shared" si="7"/>
        <v>35.501284785801005</v>
      </c>
      <c r="X7">
        <f t="shared" si="8"/>
        <v>24.033964361454437</v>
      </c>
      <c r="Y7">
        <f t="shared" si="9"/>
        <v>61.646522575703806</v>
      </c>
      <c r="Z7">
        <f t="shared" si="10"/>
        <v>11.530370881405419</v>
      </c>
    </row>
    <row r="8" spans="1:26" x14ac:dyDescent="0.3">
      <c r="A8" s="14" t="s">
        <v>103</v>
      </c>
      <c r="B8" s="3" t="s">
        <v>11</v>
      </c>
      <c r="C8" s="8">
        <v>62</v>
      </c>
      <c r="D8" s="8">
        <v>34</v>
      </c>
      <c r="E8" s="8">
        <v>15</v>
      </c>
      <c r="F8" s="8">
        <v>123</v>
      </c>
      <c r="G8" s="8">
        <f t="shared" si="1"/>
        <v>349</v>
      </c>
      <c r="H8" s="8">
        <v>154</v>
      </c>
      <c r="I8" s="8">
        <v>195</v>
      </c>
      <c r="J8" s="9">
        <v>583</v>
      </c>
      <c r="K8" s="8">
        <v>211525</v>
      </c>
      <c r="L8" s="8">
        <v>566925</v>
      </c>
      <c r="M8" s="8">
        <v>885809</v>
      </c>
      <c r="N8" s="8">
        <v>2477234</v>
      </c>
      <c r="O8" s="8">
        <f t="shared" si="2"/>
        <v>1053483</v>
      </c>
      <c r="P8" s="8">
        <v>732297</v>
      </c>
      <c r="Q8" s="8">
        <v>321186</v>
      </c>
      <c r="R8" s="9">
        <v>5194976</v>
      </c>
      <c r="S8">
        <f t="shared" si="3"/>
        <v>29.310956151755111</v>
      </c>
      <c r="T8">
        <f t="shared" si="4"/>
        <v>5.9972659522864582</v>
      </c>
      <c r="U8">
        <f t="shared" si="5"/>
        <v>1.6933673060445311</v>
      </c>
      <c r="V8">
        <f t="shared" si="6"/>
        <v>4.9652152360253412</v>
      </c>
      <c r="W8">
        <f t="shared" si="7"/>
        <v>33.128204251990773</v>
      </c>
      <c r="X8">
        <f t="shared" si="8"/>
        <v>21.029718816272634</v>
      </c>
      <c r="Y8">
        <f t="shared" si="9"/>
        <v>60.712484354859804</v>
      </c>
      <c r="Z8">
        <f t="shared" si="10"/>
        <v>11.222381008112453</v>
      </c>
    </row>
    <row r="9" spans="1:26" x14ac:dyDescent="0.3">
      <c r="A9" s="14" t="s">
        <v>103</v>
      </c>
      <c r="B9" s="3" t="s">
        <v>12</v>
      </c>
      <c r="C9" s="8">
        <v>94</v>
      </c>
      <c r="D9" s="8">
        <v>44</v>
      </c>
      <c r="E9" s="8">
        <v>14</v>
      </c>
      <c r="F9" s="8">
        <v>143</v>
      </c>
      <c r="G9" s="8">
        <f t="shared" si="1"/>
        <v>341</v>
      </c>
      <c r="H9" s="8">
        <v>158</v>
      </c>
      <c r="I9" s="8">
        <v>183</v>
      </c>
      <c r="J9" s="9">
        <v>636</v>
      </c>
      <c r="K9" s="8">
        <v>211525</v>
      </c>
      <c r="L9" s="8">
        <v>566925</v>
      </c>
      <c r="M9" s="8">
        <v>885809</v>
      </c>
      <c r="N9" s="8">
        <v>2477234</v>
      </c>
      <c r="O9" s="8">
        <f t="shared" si="2"/>
        <v>1053483</v>
      </c>
      <c r="P9" s="8">
        <v>732297</v>
      </c>
      <c r="Q9" s="8">
        <v>321186</v>
      </c>
      <c r="R9" s="9">
        <v>5194976</v>
      </c>
      <c r="S9">
        <f t="shared" si="3"/>
        <v>44.439191584919044</v>
      </c>
      <c r="T9">
        <f t="shared" si="4"/>
        <v>7.7611677029589456</v>
      </c>
      <c r="U9">
        <f t="shared" si="5"/>
        <v>1.5804761523082291</v>
      </c>
      <c r="V9">
        <f t="shared" si="6"/>
        <v>5.7725673069237704</v>
      </c>
      <c r="W9">
        <f t="shared" si="7"/>
        <v>32.368818481171509</v>
      </c>
      <c r="X9">
        <f t="shared" si="8"/>
        <v>21.575945279032961</v>
      </c>
      <c r="Y9">
        <f t="shared" si="9"/>
        <v>56.97633147148381</v>
      </c>
      <c r="Z9">
        <f t="shared" si="10"/>
        <v>12.242597463395404</v>
      </c>
    </row>
    <row r="10" spans="1:26" x14ac:dyDescent="0.3">
      <c r="A10" s="14" t="s">
        <v>103</v>
      </c>
      <c r="B10" s="3" t="s">
        <v>13</v>
      </c>
      <c r="C10" s="8">
        <v>119</v>
      </c>
      <c r="D10" s="8">
        <v>35</v>
      </c>
      <c r="E10" s="8">
        <v>19</v>
      </c>
      <c r="F10" s="8">
        <v>141</v>
      </c>
      <c r="G10" s="8">
        <f t="shared" si="1"/>
        <v>403</v>
      </c>
      <c r="H10" s="8">
        <v>183</v>
      </c>
      <c r="I10" s="8">
        <v>220</v>
      </c>
      <c r="J10" s="9">
        <v>717</v>
      </c>
      <c r="K10" s="8">
        <v>211525</v>
      </c>
      <c r="L10" s="8">
        <v>566925</v>
      </c>
      <c r="M10" s="8">
        <v>885809</v>
      </c>
      <c r="N10" s="8">
        <v>2477234</v>
      </c>
      <c r="O10" s="8">
        <f t="shared" si="2"/>
        <v>1053483</v>
      </c>
      <c r="P10" s="8">
        <v>732297</v>
      </c>
      <c r="Q10" s="8">
        <v>321186</v>
      </c>
      <c r="R10" s="9">
        <v>5194976</v>
      </c>
      <c r="S10">
        <f t="shared" si="3"/>
        <v>56.258125517078362</v>
      </c>
      <c r="T10">
        <f t="shared" si="4"/>
        <v>6.1736561273537065</v>
      </c>
      <c r="U10">
        <f t="shared" si="5"/>
        <v>2.1449319209897393</v>
      </c>
      <c r="V10">
        <f t="shared" si="6"/>
        <v>5.6918320998339276</v>
      </c>
      <c r="W10">
        <f t="shared" si="7"/>
        <v>38.254058205020868</v>
      </c>
      <c r="X10">
        <f t="shared" si="8"/>
        <v>24.989860671285012</v>
      </c>
      <c r="Y10">
        <f t="shared" si="9"/>
        <v>68.496136195226441</v>
      </c>
      <c r="Z10">
        <f t="shared" si="10"/>
        <v>13.801796196941044</v>
      </c>
    </row>
    <row r="11" spans="1:26" x14ac:dyDescent="0.3">
      <c r="A11" s="14" t="s">
        <v>103</v>
      </c>
      <c r="B11" s="3" t="s">
        <v>14</v>
      </c>
      <c r="C11" s="8">
        <v>139</v>
      </c>
      <c r="D11" s="8">
        <v>35</v>
      </c>
      <c r="E11" s="8">
        <v>18</v>
      </c>
      <c r="F11" s="8">
        <v>140</v>
      </c>
      <c r="G11" s="8">
        <f t="shared" si="1"/>
        <v>416</v>
      </c>
      <c r="H11" s="8">
        <v>186</v>
      </c>
      <c r="I11" s="8">
        <v>230</v>
      </c>
      <c r="J11" s="9">
        <v>748</v>
      </c>
      <c r="K11" s="8">
        <v>211525</v>
      </c>
      <c r="L11" s="8">
        <v>566925</v>
      </c>
      <c r="M11" s="8">
        <v>885809</v>
      </c>
      <c r="N11" s="8">
        <v>2477234</v>
      </c>
      <c r="O11" s="8">
        <f t="shared" si="2"/>
        <v>1053483</v>
      </c>
      <c r="P11" s="8">
        <v>732297</v>
      </c>
      <c r="Q11" s="8">
        <v>321186</v>
      </c>
      <c r="R11" s="9">
        <v>5194976</v>
      </c>
      <c r="S11">
        <f t="shared" si="3"/>
        <v>65.713272662805807</v>
      </c>
      <c r="T11">
        <f t="shared" si="4"/>
        <v>6.1736561273537065</v>
      </c>
      <c r="U11">
        <f t="shared" si="5"/>
        <v>2.0320407672534375</v>
      </c>
      <c r="V11">
        <f t="shared" si="6"/>
        <v>5.6514644962890062</v>
      </c>
      <c r="W11">
        <f t="shared" si="7"/>
        <v>39.488060082602189</v>
      </c>
      <c r="X11">
        <f t="shared" si="8"/>
        <v>25.399530518355256</v>
      </c>
      <c r="Y11">
        <f t="shared" si="9"/>
        <v>71.609596931373105</v>
      </c>
      <c r="Z11">
        <f t="shared" si="10"/>
        <v>14.398526576446166</v>
      </c>
    </row>
    <row r="12" spans="1:26" x14ac:dyDescent="0.3">
      <c r="A12" s="14" t="s">
        <v>103</v>
      </c>
      <c r="B12" s="3" t="s">
        <v>15</v>
      </c>
      <c r="C12" s="8">
        <v>144</v>
      </c>
      <c r="D12" s="8">
        <v>27</v>
      </c>
      <c r="E12" s="8">
        <v>21</v>
      </c>
      <c r="F12" s="8">
        <v>130</v>
      </c>
      <c r="G12" s="8">
        <f t="shared" si="1"/>
        <v>510</v>
      </c>
      <c r="H12" s="8">
        <v>235</v>
      </c>
      <c r="I12" s="8">
        <v>275</v>
      </c>
      <c r="J12" s="9">
        <v>832</v>
      </c>
      <c r="K12" s="8">
        <v>211525</v>
      </c>
      <c r="L12" s="8">
        <v>566925</v>
      </c>
      <c r="M12" s="8">
        <v>885809</v>
      </c>
      <c r="N12" s="8">
        <v>2477234</v>
      </c>
      <c r="O12" s="8">
        <f t="shared" si="2"/>
        <v>1053483</v>
      </c>
      <c r="P12" s="8">
        <v>732297</v>
      </c>
      <c r="Q12" s="8">
        <v>321186</v>
      </c>
      <c r="R12" s="9">
        <v>5194976</v>
      </c>
      <c r="S12">
        <f t="shared" si="3"/>
        <v>68.07705944923768</v>
      </c>
      <c r="T12">
        <f t="shared" si="4"/>
        <v>4.7625347268157165</v>
      </c>
      <c r="U12">
        <f t="shared" si="5"/>
        <v>2.3707142284623433</v>
      </c>
      <c r="V12">
        <f t="shared" si="6"/>
        <v>5.2477884608397911</v>
      </c>
      <c r="W12">
        <f t="shared" si="7"/>
        <v>48.410842889728642</v>
      </c>
      <c r="X12">
        <f t="shared" si="8"/>
        <v>32.090804687169282</v>
      </c>
      <c r="Y12">
        <f t="shared" si="9"/>
        <v>85.620170244033048</v>
      </c>
      <c r="Z12">
        <f t="shared" si="10"/>
        <v>16.01547341123424</v>
      </c>
    </row>
    <row r="13" spans="1:26" x14ac:dyDescent="0.3">
      <c r="A13" s="14" t="s">
        <v>103</v>
      </c>
      <c r="B13" s="3" t="s">
        <v>16</v>
      </c>
      <c r="C13" s="8">
        <v>167</v>
      </c>
      <c r="D13" s="8">
        <v>39</v>
      </c>
      <c r="E13" s="8">
        <v>10</v>
      </c>
      <c r="F13" s="8">
        <v>153</v>
      </c>
      <c r="G13" s="8">
        <f t="shared" si="1"/>
        <v>560</v>
      </c>
      <c r="H13" s="8">
        <v>259</v>
      </c>
      <c r="I13" s="8">
        <v>301</v>
      </c>
      <c r="J13" s="9">
        <v>929</v>
      </c>
      <c r="K13" s="8">
        <v>211525</v>
      </c>
      <c r="L13" s="8">
        <v>566925</v>
      </c>
      <c r="M13" s="8">
        <v>885809</v>
      </c>
      <c r="N13" s="8">
        <v>2477234</v>
      </c>
      <c r="O13" s="8">
        <f t="shared" si="2"/>
        <v>1053483</v>
      </c>
      <c r="P13" s="8">
        <v>732297</v>
      </c>
      <c r="Q13" s="8">
        <v>321186</v>
      </c>
      <c r="R13" s="9">
        <v>5194976</v>
      </c>
      <c r="S13">
        <f t="shared" si="3"/>
        <v>78.950478666824253</v>
      </c>
      <c r="T13">
        <f t="shared" si="4"/>
        <v>6.8792168276227024</v>
      </c>
      <c r="U13">
        <f t="shared" si="5"/>
        <v>1.1289115373630207</v>
      </c>
      <c r="V13">
        <f t="shared" si="6"/>
        <v>6.1762433423729854</v>
      </c>
      <c r="W13">
        <f t="shared" si="7"/>
        <v>53.157003957349097</v>
      </c>
      <c r="X13">
        <f t="shared" si="8"/>
        <v>35.368163463731243</v>
      </c>
      <c r="Y13">
        <f t="shared" si="9"/>
        <v>93.71516815801435</v>
      </c>
      <c r="Z13">
        <f t="shared" si="10"/>
        <v>17.882662018072846</v>
      </c>
    </row>
    <row r="14" spans="1:26" x14ac:dyDescent="0.3">
      <c r="A14" s="14" t="s">
        <v>103</v>
      </c>
      <c r="B14" s="3" t="s">
        <v>17</v>
      </c>
      <c r="C14" s="8">
        <v>177</v>
      </c>
      <c r="D14" s="8">
        <v>28</v>
      </c>
      <c r="E14" s="8">
        <v>12</v>
      </c>
      <c r="F14" s="8">
        <v>198</v>
      </c>
      <c r="G14" s="8">
        <f t="shared" si="1"/>
        <v>718</v>
      </c>
      <c r="H14" s="8">
        <v>342</v>
      </c>
      <c r="I14" s="8">
        <v>376</v>
      </c>
      <c r="J14" s="9">
        <v>1133</v>
      </c>
      <c r="K14" s="8">
        <v>211525</v>
      </c>
      <c r="L14" s="8">
        <v>566925</v>
      </c>
      <c r="M14" s="8">
        <v>885809</v>
      </c>
      <c r="N14" s="8">
        <v>2477234</v>
      </c>
      <c r="O14" s="8">
        <f t="shared" si="2"/>
        <v>1053483</v>
      </c>
      <c r="P14" s="8">
        <v>732297</v>
      </c>
      <c r="Q14" s="8">
        <v>321186</v>
      </c>
      <c r="R14" s="9">
        <v>5194976</v>
      </c>
      <c r="S14">
        <f t="shared" si="3"/>
        <v>83.678052239687986</v>
      </c>
      <c r="T14">
        <f t="shared" si="4"/>
        <v>4.9389249018829648</v>
      </c>
      <c r="U14">
        <f t="shared" si="5"/>
        <v>1.3546938448356247</v>
      </c>
      <c r="V14">
        <f t="shared" si="6"/>
        <v>7.9927855018944518</v>
      </c>
      <c r="W14">
        <f t="shared" si="7"/>
        <v>68.154872931029743</v>
      </c>
      <c r="X14">
        <f t="shared" si="8"/>
        <v>46.702362566008055</v>
      </c>
      <c r="Y14">
        <f t="shared" si="9"/>
        <v>117.06612367911428</v>
      </c>
      <c r="Z14">
        <f t="shared" si="10"/>
        <v>21.809532902558164</v>
      </c>
    </row>
    <row r="15" spans="1:26" x14ac:dyDescent="0.3">
      <c r="A15" s="14" t="s">
        <v>103</v>
      </c>
      <c r="B15" s="3" t="s">
        <v>19</v>
      </c>
      <c r="C15" s="8">
        <v>137</v>
      </c>
      <c r="D15" s="8">
        <v>28</v>
      </c>
      <c r="E15" s="8">
        <v>10</v>
      </c>
      <c r="F15" s="8">
        <v>222</v>
      </c>
      <c r="G15" s="8">
        <f t="shared" si="1"/>
        <v>886</v>
      </c>
      <c r="H15" s="8">
        <v>396</v>
      </c>
      <c r="I15" s="8">
        <v>490</v>
      </c>
      <c r="J15" s="9">
        <v>1283</v>
      </c>
      <c r="K15" s="8">
        <v>211525</v>
      </c>
      <c r="L15" s="8">
        <v>566925</v>
      </c>
      <c r="M15" s="8">
        <v>885809</v>
      </c>
      <c r="N15" s="8">
        <v>2477234</v>
      </c>
      <c r="O15" s="8">
        <f t="shared" si="2"/>
        <v>1053483</v>
      </c>
      <c r="P15" s="8">
        <v>732297</v>
      </c>
      <c r="Q15" s="8">
        <v>321186</v>
      </c>
      <c r="R15" s="9">
        <v>5194976</v>
      </c>
      <c r="S15">
        <f t="shared" si="3"/>
        <v>64.767757948233069</v>
      </c>
      <c r="T15">
        <f t="shared" si="4"/>
        <v>4.9389249018829648</v>
      </c>
      <c r="U15">
        <f t="shared" si="5"/>
        <v>1.1289115373630207</v>
      </c>
      <c r="V15">
        <f t="shared" si="6"/>
        <v>8.9616079869725667</v>
      </c>
      <c r="W15">
        <f t="shared" si="7"/>
        <v>84.101974118234466</v>
      </c>
      <c r="X15">
        <f t="shared" si="8"/>
        <v>54.076419813272487</v>
      </c>
      <c r="Y15">
        <f t="shared" si="9"/>
        <v>152.55957607118617</v>
      </c>
      <c r="Z15">
        <f t="shared" si="10"/>
        <v>24.696937964679723</v>
      </c>
    </row>
    <row r="16" spans="1:26" x14ac:dyDescent="0.3">
      <c r="A16" s="14" t="s">
        <v>103</v>
      </c>
      <c r="B16" s="3" t="s">
        <v>20</v>
      </c>
      <c r="C16" s="8">
        <v>103</v>
      </c>
      <c r="D16" s="8">
        <v>20</v>
      </c>
      <c r="E16" s="8">
        <v>13</v>
      </c>
      <c r="F16" s="8">
        <v>218</v>
      </c>
      <c r="G16" s="8">
        <f t="shared" si="1"/>
        <v>887</v>
      </c>
      <c r="H16" s="8">
        <v>360</v>
      </c>
      <c r="I16" s="8">
        <v>527</v>
      </c>
      <c r="J16" s="9">
        <v>1241</v>
      </c>
      <c r="K16" s="8">
        <v>211525</v>
      </c>
      <c r="L16" s="8">
        <v>566925</v>
      </c>
      <c r="M16" s="8">
        <v>885809</v>
      </c>
      <c r="N16" s="8">
        <v>2477234</v>
      </c>
      <c r="O16" s="8">
        <f t="shared" si="2"/>
        <v>1053483</v>
      </c>
      <c r="P16" s="8">
        <v>732297</v>
      </c>
      <c r="Q16" s="8">
        <v>321186</v>
      </c>
      <c r="R16" s="9">
        <v>5194976</v>
      </c>
      <c r="S16">
        <f t="shared" si="3"/>
        <v>48.694007800496401</v>
      </c>
      <c r="T16">
        <f t="shared" si="4"/>
        <v>3.5278035013449749</v>
      </c>
      <c r="U16">
        <f t="shared" si="5"/>
        <v>1.4675849985719269</v>
      </c>
      <c r="V16">
        <f t="shared" si="6"/>
        <v>8.800137572792881</v>
      </c>
      <c r="W16">
        <f t="shared" si="7"/>
        <v>84.196897339586883</v>
      </c>
      <c r="X16">
        <f t="shared" si="8"/>
        <v>49.160381648429528</v>
      </c>
      <c r="Y16">
        <f t="shared" si="9"/>
        <v>164.0793807949288</v>
      </c>
      <c r="Z16">
        <f t="shared" si="10"/>
        <v>23.888464547285686</v>
      </c>
    </row>
    <row r="17" spans="1:26" x14ac:dyDescent="0.3">
      <c r="A17" s="14" t="s">
        <v>103</v>
      </c>
      <c r="B17" s="3" t="s">
        <v>21</v>
      </c>
      <c r="C17" s="8">
        <v>98</v>
      </c>
      <c r="D17" s="8">
        <v>28</v>
      </c>
      <c r="E17" s="8">
        <v>18</v>
      </c>
      <c r="F17" s="8">
        <v>221</v>
      </c>
      <c r="G17" s="8">
        <f t="shared" si="1"/>
        <v>731</v>
      </c>
      <c r="H17" s="8">
        <v>330</v>
      </c>
      <c r="I17" s="8">
        <v>401</v>
      </c>
      <c r="J17" s="9">
        <v>1096</v>
      </c>
      <c r="K17" s="8">
        <v>211525</v>
      </c>
      <c r="L17" s="8">
        <v>566925</v>
      </c>
      <c r="M17" s="8">
        <v>885809</v>
      </c>
      <c r="N17" s="8">
        <v>2477234</v>
      </c>
      <c r="O17" s="8">
        <f t="shared" si="2"/>
        <v>1053483</v>
      </c>
      <c r="P17" s="8">
        <v>732297</v>
      </c>
      <c r="Q17" s="8">
        <v>321186</v>
      </c>
      <c r="R17" s="9">
        <v>5194976</v>
      </c>
      <c r="S17">
        <f t="shared" si="3"/>
        <v>46.330221014064527</v>
      </c>
      <c r="T17">
        <f t="shared" si="4"/>
        <v>4.9389249018829648</v>
      </c>
      <c r="U17">
        <f t="shared" si="5"/>
        <v>2.0320407672534375</v>
      </c>
      <c r="V17">
        <f t="shared" si="6"/>
        <v>8.9212403834276461</v>
      </c>
      <c r="W17">
        <f t="shared" si="7"/>
        <v>69.38887480861105</v>
      </c>
      <c r="X17">
        <f t="shared" si="8"/>
        <v>45.063683177727064</v>
      </c>
      <c r="Y17">
        <f t="shared" si="9"/>
        <v>124.84977551948091</v>
      </c>
      <c r="Z17">
        <f t="shared" si="10"/>
        <v>21.09730632056818</v>
      </c>
    </row>
    <row r="18" spans="1:26" x14ac:dyDescent="0.3">
      <c r="A18" s="14" t="s">
        <v>103</v>
      </c>
      <c r="B18" s="3" t="s">
        <v>22</v>
      </c>
      <c r="C18" s="8">
        <v>119</v>
      </c>
      <c r="D18" s="8">
        <v>43</v>
      </c>
      <c r="E18" s="8">
        <v>23</v>
      </c>
      <c r="F18" s="8">
        <v>208</v>
      </c>
      <c r="G18" s="8">
        <f t="shared" si="1"/>
        <v>774</v>
      </c>
      <c r="H18" s="8">
        <v>336</v>
      </c>
      <c r="I18" s="8">
        <v>438</v>
      </c>
      <c r="J18" s="9">
        <v>1167</v>
      </c>
      <c r="K18" s="8">
        <v>211525</v>
      </c>
      <c r="L18" s="8">
        <v>566925</v>
      </c>
      <c r="M18" s="8">
        <v>885809</v>
      </c>
      <c r="N18" s="8">
        <v>2477234</v>
      </c>
      <c r="O18" s="8">
        <f t="shared" si="2"/>
        <v>1053483</v>
      </c>
      <c r="P18" s="8">
        <v>732297</v>
      </c>
      <c r="Q18" s="8">
        <v>321186</v>
      </c>
      <c r="R18" s="9">
        <v>5194976</v>
      </c>
      <c r="S18">
        <f t="shared" si="3"/>
        <v>56.258125517078362</v>
      </c>
      <c r="T18">
        <f t="shared" si="4"/>
        <v>7.5847775278916956</v>
      </c>
      <c r="U18">
        <f t="shared" si="5"/>
        <v>2.5964965359349477</v>
      </c>
      <c r="V18">
        <f t="shared" si="6"/>
        <v>8.3964615373436668</v>
      </c>
      <c r="W18">
        <f t="shared" si="7"/>
        <v>73.470573326764651</v>
      </c>
      <c r="X18">
        <f t="shared" si="8"/>
        <v>45.883022871867567</v>
      </c>
      <c r="Y18">
        <f t="shared" si="9"/>
        <v>136.36958024322354</v>
      </c>
      <c r="Z18">
        <f t="shared" si="10"/>
        <v>22.464011383305717</v>
      </c>
    </row>
    <row r="19" spans="1:26" x14ac:dyDescent="0.3">
      <c r="A19" s="14" t="s">
        <v>103</v>
      </c>
      <c r="B19" s="3" t="s">
        <v>23</v>
      </c>
      <c r="C19" s="8">
        <v>128</v>
      </c>
      <c r="D19" s="8">
        <v>53</v>
      </c>
      <c r="E19" s="8">
        <v>16</v>
      </c>
      <c r="F19" s="8">
        <v>234</v>
      </c>
      <c r="G19" s="8">
        <f t="shared" si="1"/>
        <v>724</v>
      </c>
      <c r="H19" s="8">
        <v>312</v>
      </c>
      <c r="I19" s="8">
        <v>412</v>
      </c>
      <c r="J19" s="9">
        <v>1155</v>
      </c>
      <c r="K19" s="8">
        <v>211525</v>
      </c>
      <c r="L19" s="8">
        <v>566925</v>
      </c>
      <c r="M19" s="8">
        <v>885809</v>
      </c>
      <c r="N19" s="8">
        <v>2477234</v>
      </c>
      <c r="O19" s="8">
        <f t="shared" si="2"/>
        <v>1053483</v>
      </c>
      <c r="P19" s="8">
        <v>732297</v>
      </c>
      <c r="Q19" s="8">
        <v>321186</v>
      </c>
      <c r="R19" s="9">
        <v>5194976</v>
      </c>
      <c r="S19">
        <f t="shared" si="3"/>
        <v>60.512941732655712</v>
      </c>
      <c r="T19">
        <f t="shared" si="4"/>
        <v>9.3486792785641839</v>
      </c>
      <c r="U19">
        <f t="shared" si="5"/>
        <v>1.8062584597808331</v>
      </c>
      <c r="V19">
        <f t="shared" si="6"/>
        <v>9.4460192295116254</v>
      </c>
      <c r="W19">
        <f t="shared" si="7"/>
        <v>68.724412259144188</v>
      </c>
      <c r="X19">
        <f t="shared" si="8"/>
        <v>42.605664095305592</v>
      </c>
      <c r="Y19">
        <f t="shared" si="9"/>
        <v>128.27458232924224</v>
      </c>
      <c r="Z19">
        <f t="shared" si="10"/>
        <v>22.233018978335991</v>
      </c>
    </row>
    <row r="20" spans="1:26" x14ac:dyDescent="0.3">
      <c r="A20" s="14" t="s">
        <v>103</v>
      </c>
      <c r="B20" s="3" t="s">
        <v>24</v>
      </c>
      <c r="C20" s="8">
        <v>111</v>
      </c>
      <c r="D20" s="8">
        <v>31</v>
      </c>
      <c r="E20" s="8">
        <v>16</v>
      </c>
      <c r="F20" s="8">
        <v>184</v>
      </c>
      <c r="G20" s="8">
        <f t="shared" si="1"/>
        <v>686</v>
      </c>
      <c r="H20" s="8">
        <v>297</v>
      </c>
      <c r="I20" s="8">
        <v>389</v>
      </c>
      <c r="J20" s="9">
        <v>1028</v>
      </c>
      <c r="K20" s="8">
        <v>211525</v>
      </c>
      <c r="L20" s="8">
        <v>566925</v>
      </c>
      <c r="M20" s="8">
        <v>885809</v>
      </c>
      <c r="N20" s="8">
        <v>2477234</v>
      </c>
      <c r="O20" s="8">
        <f t="shared" si="2"/>
        <v>1053483</v>
      </c>
      <c r="P20" s="8">
        <v>732297</v>
      </c>
      <c r="Q20" s="8">
        <v>321186</v>
      </c>
      <c r="R20" s="9">
        <v>5194976</v>
      </c>
      <c r="S20">
        <f t="shared" si="3"/>
        <v>52.476066658787374</v>
      </c>
      <c r="T20">
        <f t="shared" si="4"/>
        <v>5.4680954270847115</v>
      </c>
      <c r="U20">
        <f t="shared" si="5"/>
        <v>1.8062584597808331</v>
      </c>
      <c r="V20">
        <f t="shared" si="6"/>
        <v>7.4276390522655502</v>
      </c>
      <c r="W20">
        <f t="shared" si="7"/>
        <v>65.117329847752643</v>
      </c>
      <c r="X20">
        <f t="shared" si="8"/>
        <v>40.557314859954367</v>
      </c>
      <c r="Y20">
        <f t="shared" si="9"/>
        <v>121.11362263610494</v>
      </c>
      <c r="Z20">
        <f t="shared" si="10"/>
        <v>19.788349359073074</v>
      </c>
    </row>
    <row r="21" spans="1:26" x14ac:dyDescent="0.3">
      <c r="A21" s="14" t="s">
        <v>103</v>
      </c>
      <c r="B21" s="3" t="s">
        <v>25</v>
      </c>
      <c r="C21" s="8">
        <v>110</v>
      </c>
      <c r="D21" s="8">
        <v>39</v>
      </c>
      <c r="E21" s="8">
        <v>18</v>
      </c>
      <c r="F21" s="8">
        <v>229</v>
      </c>
      <c r="G21" s="8">
        <f t="shared" si="1"/>
        <v>695</v>
      </c>
      <c r="H21" s="8">
        <v>324</v>
      </c>
      <c r="I21" s="8">
        <v>371</v>
      </c>
      <c r="J21" s="9">
        <v>1091</v>
      </c>
      <c r="K21" s="8">
        <v>211525</v>
      </c>
      <c r="L21" s="8">
        <v>566925</v>
      </c>
      <c r="M21" s="8">
        <v>885809</v>
      </c>
      <c r="N21" s="8">
        <v>2477234</v>
      </c>
      <c r="O21" s="8">
        <f t="shared" si="2"/>
        <v>1053483</v>
      </c>
      <c r="P21" s="8">
        <v>732297</v>
      </c>
      <c r="Q21" s="8">
        <v>321186</v>
      </c>
      <c r="R21" s="9">
        <v>5194976</v>
      </c>
      <c r="S21">
        <f t="shared" si="3"/>
        <v>52.003309301500998</v>
      </c>
      <c r="T21">
        <f t="shared" si="4"/>
        <v>6.8792168276227024</v>
      </c>
      <c r="U21">
        <f t="shared" si="5"/>
        <v>2.0320407672534375</v>
      </c>
      <c r="V21">
        <f t="shared" si="6"/>
        <v>9.2441812117870175</v>
      </c>
      <c r="W21">
        <f t="shared" si="7"/>
        <v>65.971638839924324</v>
      </c>
      <c r="X21">
        <f t="shared" si="8"/>
        <v>44.244343483586576</v>
      </c>
      <c r="Y21">
        <f t="shared" si="9"/>
        <v>115.50939331104095</v>
      </c>
      <c r="Z21">
        <f t="shared" si="10"/>
        <v>21.001059485164127</v>
      </c>
    </row>
    <row r="22" spans="1:26" x14ac:dyDescent="0.3">
      <c r="A22" s="14" t="s">
        <v>103</v>
      </c>
      <c r="B22" s="3" t="s">
        <v>26</v>
      </c>
      <c r="C22" s="8">
        <v>99</v>
      </c>
      <c r="D22" s="8">
        <v>32</v>
      </c>
      <c r="E22" s="8">
        <v>18</v>
      </c>
      <c r="F22" s="8">
        <v>165</v>
      </c>
      <c r="G22" s="8">
        <f t="shared" si="1"/>
        <v>578</v>
      </c>
      <c r="H22" s="8">
        <v>244</v>
      </c>
      <c r="I22" s="8">
        <v>334</v>
      </c>
      <c r="J22" s="9">
        <v>892</v>
      </c>
      <c r="K22" s="8">
        <v>211525</v>
      </c>
      <c r="L22" s="8">
        <v>566925</v>
      </c>
      <c r="M22" s="8">
        <v>885809</v>
      </c>
      <c r="N22" s="8">
        <v>2477234</v>
      </c>
      <c r="O22" s="8">
        <f t="shared" si="2"/>
        <v>1053483</v>
      </c>
      <c r="P22" s="8">
        <v>732297</v>
      </c>
      <c r="Q22" s="8">
        <v>321186</v>
      </c>
      <c r="R22" s="9">
        <v>5194976</v>
      </c>
      <c r="S22">
        <f t="shared" si="3"/>
        <v>46.802978371350903</v>
      </c>
      <c r="T22">
        <f t="shared" si="4"/>
        <v>5.6444856021519598</v>
      </c>
      <c r="U22">
        <f t="shared" si="5"/>
        <v>2.0320407672534375</v>
      </c>
      <c r="V22">
        <f t="shared" si="6"/>
        <v>6.6606545849120424</v>
      </c>
      <c r="W22">
        <f t="shared" si="7"/>
        <v>54.865621941692467</v>
      </c>
      <c r="X22">
        <f t="shared" si="8"/>
        <v>33.319814228380011</v>
      </c>
      <c r="Y22">
        <f t="shared" si="9"/>
        <v>103.98958858729834</v>
      </c>
      <c r="Z22">
        <f t="shared" si="10"/>
        <v>17.170435436082862</v>
      </c>
    </row>
    <row r="23" spans="1:26" x14ac:dyDescent="0.3">
      <c r="A23" s="14" t="s">
        <v>103</v>
      </c>
      <c r="B23" s="3" t="s">
        <v>27</v>
      </c>
      <c r="C23" s="8">
        <v>101</v>
      </c>
      <c r="D23" s="8">
        <v>30</v>
      </c>
      <c r="E23" s="8">
        <v>19</v>
      </c>
      <c r="F23" s="8">
        <v>144</v>
      </c>
      <c r="G23" s="8">
        <f t="shared" si="1"/>
        <v>488</v>
      </c>
      <c r="H23" s="8">
        <v>217</v>
      </c>
      <c r="I23" s="8">
        <v>271</v>
      </c>
      <c r="J23" s="9">
        <v>782</v>
      </c>
      <c r="K23" s="8">
        <v>211525</v>
      </c>
      <c r="L23" s="8">
        <v>566925</v>
      </c>
      <c r="M23" s="8">
        <v>885809</v>
      </c>
      <c r="N23" s="8">
        <v>2477234</v>
      </c>
      <c r="O23" s="8">
        <f t="shared" si="2"/>
        <v>1053483</v>
      </c>
      <c r="P23" s="8">
        <v>732297</v>
      </c>
      <c r="Q23" s="8">
        <v>321186</v>
      </c>
      <c r="R23" s="9">
        <v>5194976</v>
      </c>
      <c r="S23">
        <f t="shared" si="3"/>
        <v>47.748493085923648</v>
      </c>
      <c r="T23">
        <f t="shared" si="4"/>
        <v>5.2917052520174623</v>
      </c>
      <c r="U23">
        <f t="shared" si="5"/>
        <v>2.1449319209897393</v>
      </c>
      <c r="V23">
        <f t="shared" si="6"/>
        <v>5.8129349104686927</v>
      </c>
      <c r="W23">
        <f t="shared" si="7"/>
        <v>46.32253201997564</v>
      </c>
      <c r="X23">
        <f t="shared" si="8"/>
        <v>29.632785604747802</v>
      </c>
      <c r="Y23">
        <f t="shared" si="9"/>
        <v>84.374785949574388</v>
      </c>
      <c r="Z23">
        <f t="shared" si="10"/>
        <v>15.053005057193719</v>
      </c>
    </row>
    <row r="24" spans="1:26" x14ac:dyDescent="0.3">
      <c r="A24" s="14" t="s">
        <v>103</v>
      </c>
      <c r="B24" s="3" t="s">
        <v>28</v>
      </c>
      <c r="C24" s="8">
        <v>93</v>
      </c>
      <c r="D24" s="8">
        <v>21</v>
      </c>
      <c r="E24" s="8">
        <v>9</v>
      </c>
      <c r="F24" s="8">
        <v>156</v>
      </c>
      <c r="G24" s="8">
        <f t="shared" si="1"/>
        <v>479</v>
      </c>
      <c r="H24" s="8">
        <v>205</v>
      </c>
      <c r="I24" s="8">
        <v>274</v>
      </c>
      <c r="J24" s="9">
        <v>758</v>
      </c>
      <c r="K24" s="8">
        <v>211525</v>
      </c>
      <c r="L24" s="8">
        <v>566925</v>
      </c>
      <c r="M24" s="8">
        <v>885809</v>
      </c>
      <c r="N24" s="8">
        <v>2477234</v>
      </c>
      <c r="O24" s="8">
        <f t="shared" si="2"/>
        <v>1053483</v>
      </c>
      <c r="P24" s="8">
        <v>732297</v>
      </c>
      <c r="Q24" s="8">
        <v>321186</v>
      </c>
      <c r="R24" s="9">
        <v>5194976</v>
      </c>
      <c r="S24">
        <f t="shared" si="3"/>
        <v>43.966434227632668</v>
      </c>
      <c r="T24">
        <f t="shared" si="4"/>
        <v>3.7041936764122241</v>
      </c>
      <c r="U24">
        <f t="shared" si="5"/>
        <v>1.0160203836267188</v>
      </c>
      <c r="V24">
        <f t="shared" si="6"/>
        <v>6.2973461530077497</v>
      </c>
      <c r="W24">
        <f t="shared" si="7"/>
        <v>45.468223027803965</v>
      </c>
      <c r="X24">
        <f t="shared" si="8"/>
        <v>27.994106216466818</v>
      </c>
      <c r="Y24">
        <f t="shared" si="9"/>
        <v>85.30882417041839</v>
      </c>
      <c r="Z24">
        <f t="shared" si="10"/>
        <v>14.591020247254271</v>
      </c>
    </row>
    <row r="25" spans="1:26" x14ac:dyDescent="0.3">
      <c r="A25" s="14" t="s">
        <v>103</v>
      </c>
      <c r="B25" s="3" t="s">
        <v>29</v>
      </c>
      <c r="C25" s="8">
        <v>108</v>
      </c>
      <c r="D25" s="8">
        <v>25</v>
      </c>
      <c r="E25" s="8">
        <v>14</v>
      </c>
      <c r="F25" s="8">
        <v>162</v>
      </c>
      <c r="G25" s="8">
        <f t="shared" si="1"/>
        <v>479</v>
      </c>
      <c r="H25" s="8">
        <v>210</v>
      </c>
      <c r="I25" s="8">
        <v>269</v>
      </c>
      <c r="J25" s="9">
        <v>788</v>
      </c>
      <c r="K25" s="8">
        <v>211525</v>
      </c>
      <c r="L25" s="8">
        <v>566925</v>
      </c>
      <c r="M25" s="8">
        <v>885809</v>
      </c>
      <c r="N25" s="8">
        <v>2477234</v>
      </c>
      <c r="O25" s="8">
        <f t="shared" si="2"/>
        <v>1053483</v>
      </c>
      <c r="P25" s="8">
        <v>732297</v>
      </c>
      <c r="Q25" s="8">
        <v>321186</v>
      </c>
      <c r="R25" s="9">
        <v>5194976</v>
      </c>
      <c r="S25">
        <f t="shared" si="3"/>
        <v>51.057794586928253</v>
      </c>
      <c r="T25">
        <f t="shared" si="4"/>
        <v>4.4097543766812191</v>
      </c>
      <c r="U25">
        <f t="shared" si="5"/>
        <v>1.5804761523082291</v>
      </c>
      <c r="V25">
        <f t="shared" si="6"/>
        <v>6.5395517742772791</v>
      </c>
      <c r="W25">
        <f t="shared" si="7"/>
        <v>45.468223027803965</v>
      </c>
      <c r="X25">
        <f t="shared" si="8"/>
        <v>28.676889294917224</v>
      </c>
      <c r="Y25">
        <f t="shared" si="9"/>
        <v>83.752093802345058</v>
      </c>
      <c r="Z25">
        <f t="shared" si="10"/>
        <v>15.168501259678582</v>
      </c>
    </row>
    <row r="26" spans="1:26" x14ac:dyDescent="0.3">
      <c r="A26" s="14" t="s">
        <v>103</v>
      </c>
      <c r="B26" s="3" t="s">
        <v>30</v>
      </c>
      <c r="C26" s="8">
        <v>105</v>
      </c>
      <c r="D26" s="8">
        <v>24</v>
      </c>
      <c r="E26" s="8">
        <v>14</v>
      </c>
      <c r="F26" s="8">
        <v>148</v>
      </c>
      <c r="G26" s="8">
        <f t="shared" si="1"/>
        <v>487</v>
      </c>
      <c r="H26" s="8">
        <v>230</v>
      </c>
      <c r="I26" s="8">
        <v>257</v>
      </c>
      <c r="J26" s="9">
        <v>778</v>
      </c>
      <c r="K26" s="8">
        <v>211525</v>
      </c>
      <c r="L26" s="8">
        <v>566925</v>
      </c>
      <c r="M26" s="8">
        <v>885809</v>
      </c>
      <c r="N26" s="8">
        <v>2477234</v>
      </c>
      <c r="O26" s="8">
        <f t="shared" si="2"/>
        <v>1053483</v>
      </c>
      <c r="P26" s="8">
        <v>732297</v>
      </c>
      <c r="Q26" s="8">
        <v>321186</v>
      </c>
      <c r="R26" s="9">
        <v>5194976</v>
      </c>
      <c r="S26">
        <f t="shared" si="3"/>
        <v>49.639522515069146</v>
      </c>
      <c r="T26">
        <f t="shared" si="4"/>
        <v>4.2333642016139708</v>
      </c>
      <c r="U26">
        <f t="shared" si="5"/>
        <v>1.5804761523082291</v>
      </c>
      <c r="V26">
        <f t="shared" si="6"/>
        <v>5.9744053246483784</v>
      </c>
      <c r="W26">
        <f t="shared" si="7"/>
        <v>46.227608798623237</v>
      </c>
      <c r="X26">
        <f t="shared" si="8"/>
        <v>31.408021608718869</v>
      </c>
      <c r="Y26">
        <f t="shared" si="9"/>
        <v>80.015940918969079</v>
      </c>
      <c r="Z26">
        <f t="shared" si="10"/>
        <v>14.976007588870477</v>
      </c>
    </row>
    <row r="27" spans="1:26" x14ac:dyDescent="0.3">
      <c r="A27" s="14" t="s">
        <v>103</v>
      </c>
      <c r="B27" s="3" t="s">
        <v>31</v>
      </c>
      <c r="C27" s="8">
        <v>108</v>
      </c>
      <c r="D27" s="8">
        <v>47</v>
      </c>
      <c r="E27" s="8">
        <v>11</v>
      </c>
      <c r="F27" s="8">
        <v>135</v>
      </c>
      <c r="G27" s="8">
        <f t="shared" si="1"/>
        <v>515</v>
      </c>
      <c r="H27" s="8">
        <v>217</v>
      </c>
      <c r="I27" s="8">
        <v>298</v>
      </c>
      <c r="J27" s="9">
        <v>816</v>
      </c>
      <c r="K27" s="8">
        <v>211525</v>
      </c>
      <c r="L27" s="8">
        <v>566925</v>
      </c>
      <c r="M27" s="8">
        <v>885809</v>
      </c>
      <c r="N27" s="8">
        <v>2477234</v>
      </c>
      <c r="O27" s="8">
        <f t="shared" si="2"/>
        <v>1053483</v>
      </c>
      <c r="P27" s="8">
        <v>732297</v>
      </c>
      <c r="Q27" s="8">
        <v>321186</v>
      </c>
      <c r="R27" s="9">
        <v>5194976</v>
      </c>
      <c r="S27">
        <f t="shared" si="3"/>
        <v>51.057794586928253</v>
      </c>
      <c r="T27">
        <f t="shared" si="4"/>
        <v>8.2903382281606905</v>
      </c>
      <c r="U27">
        <f t="shared" si="5"/>
        <v>1.2418026910993227</v>
      </c>
      <c r="V27">
        <f t="shared" si="6"/>
        <v>5.4496264785643991</v>
      </c>
      <c r="W27">
        <f t="shared" si="7"/>
        <v>48.885458996490684</v>
      </c>
      <c r="X27">
        <f t="shared" si="8"/>
        <v>29.632785604747802</v>
      </c>
      <c r="Y27">
        <f t="shared" si="9"/>
        <v>92.781129937170363</v>
      </c>
      <c r="Z27">
        <f t="shared" si="10"/>
        <v>15.707483537941272</v>
      </c>
    </row>
    <row r="28" spans="1:26" x14ac:dyDescent="0.3">
      <c r="A28" s="14" t="s">
        <v>103</v>
      </c>
      <c r="B28" s="3" t="s">
        <v>32</v>
      </c>
      <c r="C28" s="8">
        <v>127</v>
      </c>
      <c r="D28" s="8">
        <v>39</v>
      </c>
      <c r="E28" s="8">
        <v>20</v>
      </c>
      <c r="F28" s="8">
        <v>147</v>
      </c>
      <c r="G28" s="8">
        <f t="shared" si="1"/>
        <v>510</v>
      </c>
      <c r="H28" s="8">
        <v>234</v>
      </c>
      <c r="I28" s="8">
        <v>276</v>
      </c>
      <c r="J28" s="9">
        <v>843</v>
      </c>
      <c r="K28" s="8">
        <v>211525</v>
      </c>
      <c r="L28" s="8">
        <v>566925</v>
      </c>
      <c r="M28" s="8">
        <v>885809</v>
      </c>
      <c r="N28" s="8">
        <v>2477234</v>
      </c>
      <c r="O28" s="8">
        <f t="shared" si="2"/>
        <v>1053483</v>
      </c>
      <c r="P28" s="8">
        <v>732297</v>
      </c>
      <c r="Q28" s="8">
        <v>321186</v>
      </c>
      <c r="R28" s="9">
        <v>5194976</v>
      </c>
      <c r="S28">
        <f t="shared" si="3"/>
        <v>60.040184375369343</v>
      </c>
      <c r="T28">
        <f t="shared" si="4"/>
        <v>6.8792168276227024</v>
      </c>
      <c r="U28">
        <f t="shared" si="5"/>
        <v>2.2578230747260415</v>
      </c>
      <c r="V28">
        <f t="shared" si="6"/>
        <v>5.934037721103457</v>
      </c>
      <c r="W28">
        <f t="shared" si="7"/>
        <v>48.410842889728642</v>
      </c>
      <c r="X28">
        <f t="shared" si="8"/>
        <v>31.954248071479196</v>
      </c>
      <c r="Y28">
        <f t="shared" si="9"/>
        <v>85.93151631764772</v>
      </c>
      <c r="Z28">
        <f t="shared" si="10"/>
        <v>16.227216449123151</v>
      </c>
    </row>
    <row r="29" spans="1:26" x14ac:dyDescent="0.3">
      <c r="A29" s="14" t="s">
        <v>103</v>
      </c>
      <c r="B29" s="3" t="s">
        <v>33</v>
      </c>
      <c r="C29" s="8">
        <v>112</v>
      </c>
      <c r="D29" s="8">
        <v>30</v>
      </c>
      <c r="E29" s="8">
        <v>14</v>
      </c>
      <c r="F29" s="8">
        <v>137</v>
      </c>
      <c r="G29" s="8">
        <f t="shared" si="1"/>
        <v>507</v>
      </c>
      <c r="H29" s="8">
        <v>241</v>
      </c>
      <c r="I29" s="8">
        <v>266</v>
      </c>
      <c r="J29" s="9">
        <v>800</v>
      </c>
      <c r="K29" s="8">
        <v>211525</v>
      </c>
      <c r="L29" s="8">
        <v>566925</v>
      </c>
      <c r="M29" s="8">
        <v>885809</v>
      </c>
      <c r="N29" s="8">
        <v>2477234</v>
      </c>
      <c r="O29" s="8">
        <f t="shared" si="2"/>
        <v>1053483</v>
      </c>
      <c r="P29" s="8">
        <v>732297</v>
      </c>
      <c r="Q29" s="8">
        <v>321186</v>
      </c>
      <c r="R29" s="9">
        <v>5194976</v>
      </c>
      <c r="S29">
        <f t="shared" si="3"/>
        <v>52.94882401607375</v>
      </c>
      <c r="T29">
        <f t="shared" si="4"/>
        <v>5.2917052520174623</v>
      </c>
      <c r="U29">
        <f t="shared" si="5"/>
        <v>1.5804761523082291</v>
      </c>
      <c r="V29">
        <f t="shared" si="6"/>
        <v>5.5303616856542419</v>
      </c>
      <c r="W29">
        <f t="shared" si="7"/>
        <v>48.126073225671412</v>
      </c>
      <c r="X29">
        <f t="shared" si="8"/>
        <v>32.91014438130977</v>
      </c>
      <c r="Y29">
        <f t="shared" si="9"/>
        <v>82.818055581501071</v>
      </c>
      <c r="Z29">
        <f t="shared" si="10"/>
        <v>15.399493664648308</v>
      </c>
    </row>
    <row r="30" spans="1:26" x14ac:dyDescent="0.3">
      <c r="A30" s="14" t="s">
        <v>103</v>
      </c>
      <c r="B30" s="3" t="s">
        <v>34</v>
      </c>
      <c r="C30" s="8">
        <v>100</v>
      </c>
      <c r="D30" s="8">
        <v>17</v>
      </c>
      <c r="E30" s="8">
        <v>9</v>
      </c>
      <c r="F30" s="8">
        <v>142</v>
      </c>
      <c r="G30" s="8">
        <f t="shared" si="1"/>
        <v>480</v>
      </c>
      <c r="H30" s="8">
        <v>221</v>
      </c>
      <c r="I30" s="8">
        <v>259</v>
      </c>
      <c r="J30" s="9">
        <v>748</v>
      </c>
      <c r="K30" s="8">
        <v>211525</v>
      </c>
      <c r="L30" s="8">
        <v>566925</v>
      </c>
      <c r="M30" s="8">
        <v>885809</v>
      </c>
      <c r="N30" s="8">
        <v>2477234</v>
      </c>
      <c r="O30" s="8">
        <f t="shared" si="2"/>
        <v>1053483</v>
      </c>
      <c r="P30" s="8">
        <v>732297</v>
      </c>
      <c r="Q30" s="8">
        <v>321186</v>
      </c>
      <c r="R30" s="9">
        <v>5194976</v>
      </c>
      <c r="S30">
        <f t="shared" si="3"/>
        <v>47.275735728637279</v>
      </c>
      <c r="T30">
        <f t="shared" si="4"/>
        <v>2.9986329761432291</v>
      </c>
      <c r="U30">
        <f t="shared" si="5"/>
        <v>1.0160203836267188</v>
      </c>
      <c r="V30">
        <f t="shared" si="6"/>
        <v>5.732199703378849</v>
      </c>
      <c r="W30">
        <f t="shared" si="7"/>
        <v>45.563146249156375</v>
      </c>
      <c r="X30">
        <f t="shared" si="8"/>
        <v>30.179012067508129</v>
      </c>
      <c r="Y30">
        <f t="shared" si="9"/>
        <v>80.638633066198395</v>
      </c>
      <c r="Z30">
        <f t="shared" si="10"/>
        <v>14.398526576446166</v>
      </c>
    </row>
    <row r="31" spans="1:26" x14ac:dyDescent="0.3">
      <c r="A31" s="14" t="s">
        <v>103</v>
      </c>
      <c r="B31" s="3" t="s">
        <v>35</v>
      </c>
      <c r="C31" s="8">
        <v>72</v>
      </c>
      <c r="D31" s="8">
        <v>18</v>
      </c>
      <c r="E31" s="8">
        <v>19</v>
      </c>
      <c r="F31" s="8">
        <v>99</v>
      </c>
      <c r="G31" s="8">
        <f t="shared" si="1"/>
        <v>502</v>
      </c>
      <c r="H31" s="8">
        <v>230</v>
      </c>
      <c r="I31" s="8">
        <v>272</v>
      </c>
      <c r="J31" s="9">
        <v>710</v>
      </c>
      <c r="K31" s="8">
        <v>211525</v>
      </c>
      <c r="L31" s="8">
        <v>566925</v>
      </c>
      <c r="M31" s="8">
        <v>885809</v>
      </c>
      <c r="N31" s="8">
        <v>2477234</v>
      </c>
      <c r="O31" s="8">
        <f t="shared" si="2"/>
        <v>1053483</v>
      </c>
      <c r="P31" s="8">
        <v>732297</v>
      </c>
      <c r="Q31" s="8">
        <v>321186</v>
      </c>
      <c r="R31" s="9">
        <v>5194976</v>
      </c>
      <c r="S31">
        <f t="shared" si="3"/>
        <v>34.03852972461884</v>
      </c>
      <c r="T31">
        <f t="shared" si="4"/>
        <v>3.1750231512104774</v>
      </c>
      <c r="U31">
        <f t="shared" si="5"/>
        <v>2.1449319209897393</v>
      </c>
      <c r="V31">
        <f t="shared" si="6"/>
        <v>3.9963927509472259</v>
      </c>
      <c r="W31">
        <f t="shared" si="7"/>
        <v>47.65145711890937</v>
      </c>
      <c r="X31">
        <f t="shared" si="8"/>
        <v>31.408021608718869</v>
      </c>
      <c r="Y31">
        <f t="shared" si="9"/>
        <v>84.68613202318906</v>
      </c>
      <c r="Z31">
        <f t="shared" si="10"/>
        <v>13.667050627375373</v>
      </c>
    </row>
    <row r="32" spans="1:26" x14ac:dyDescent="0.3">
      <c r="A32" s="14" t="s">
        <v>103</v>
      </c>
      <c r="B32" s="3" t="s">
        <v>36</v>
      </c>
      <c r="C32" s="8">
        <v>63</v>
      </c>
      <c r="D32" s="8">
        <v>19</v>
      </c>
      <c r="E32" s="8">
        <v>16</v>
      </c>
      <c r="F32" s="8">
        <v>119</v>
      </c>
      <c r="G32" s="8">
        <f t="shared" si="1"/>
        <v>439</v>
      </c>
      <c r="H32" s="8">
        <v>224</v>
      </c>
      <c r="I32" s="8">
        <v>215</v>
      </c>
      <c r="J32" s="9">
        <v>656</v>
      </c>
      <c r="K32" s="8">
        <v>211525</v>
      </c>
      <c r="L32" s="8">
        <v>566925</v>
      </c>
      <c r="M32" s="8">
        <v>885809</v>
      </c>
      <c r="N32" s="8">
        <v>2477234</v>
      </c>
      <c r="O32" s="8">
        <f t="shared" si="2"/>
        <v>1053483</v>
      </c>
      <c r="P32" s="8">
        <v>732297</v>
      </c>
      <c r="Q32" s="8">
        <v>321186</v>
      </c>
      <c r="R32" s="9">
        <v>5194976</v>
      </c>
      <c r="S32">
        <f t="shared" si="3"/>
        <v>29.783713509041483</v>
      </c>
      <c r="T32">
        <f t="shared" si="4"/>
        <v>3.3514133262777261</v>
      </c>
      <c r="U32">
        <f t="shared" si="5"/>
        <v>1.8062584597808331</v>
      </c>
      <c r="V32">
        <f t="shared" si="6"/>
        <v>4.8037448218456555</v>
      </c>
      <c r="W32">
        <f t="shared" si="7"/>
        <v>41.671294173707601</v>
      </c>
      <c r="X32">
        <f t="shared" si="8"/>
        <v>30.588681914578377</v>
      </c>
      <c r="Y32">
        <f t="shared" si="9"/>
        <v>66.939405827153124</v>
      </c>
      <c r="Z32">
        <f t="shared" si="10"/>
        <v>12.62758480501161</v>
      </c>
    </row>
    <row r="33" spans="1:26" x14ac:dyDescent="0.3">
      <c r="A33" s="14" t="s">
        <v>103</v>
      </c>
      <c r="B33" s="3" t="s">
        <v>37</v>
      </c>
      <c r="C33" s="8">
        <v>64</v>
      </c>
      <c r="D33" s="8">
        <v>13</v>
      </c>
      <c r="E33" s="8">
        <v>10</v>
      </c>
      <c r="F33" s="8">
        <v>120</v>
      </c>
      <c r="G33" s="8">
        <f t="shared" si="1"/>
        <v>371</v>
      </c>
      <c r="H33" s="8">
        <v>173</v>
      </c>
      <c r="I33" s="8">
        <v>198</v>
      </c>
      <c r="J33" s="9">
        <v>578</v>
      </c>
      <c r="K33" s="8">
        <v>211525</v>
      </c>
      <c r="L33" s="8">
        <v>566925</v>
      </c>
      <c r="M33" s="8">
        <v>885809</v>
      </c>
      <c r="N33" s="8">
        <v>2477234</v>
      </c>
      <c r="O33" s="8">
        <f t="shared" si="2"/>
        <v>1053483</v>
      </c>
      <c r="P33" s="8">
        <v>732297</v>
      </c>
      <c r="Q33" s="8">
        <v>321186</v>
      </c>
      <c r="R33" s="9">
        <v>5194976</v>
      </c>
      <c r="S33">
        <f t="shared" si="3"/>
        <v>30.256470866327856</v>
      </c>
      <c r="T33">
        <f t="shared" si="4"/>
        <v>2.2930722758742337</v>
      </c>
      <c r="U33">
        <f t="shared" si="5"/>
        <v>1.1289115373630207</v>
      </c>
      <c r="V33">
        <f t="shared" si="6"/>
        <v>4.844112425390577</v>
      </c>
      <c r="W33">
        <f t="shared" si="7"/>
        <v>35.216515121743775</v>
      </c>
      <c r="X33">
        <f t="shared" si="8"/>
        <v>23.624294514384193</v>
      </c>
      <c r="Y33">
        <f t="shared" si="9"/>
        <v>61.646522575703806</v>
      </c>
      <c r="Z33">
        <f t="shared" si="10"/>
        <v>11.126134172708401</v>
      </c>
    </row>
    <row r="34" spans="1:26" x14ac:dyDescent="0.3">
      <c r="A34" s="14" t="s">
        <v>103</v>
      </c>
      <c r="B34" s="3" t="s">
        <v>38</v>
      </c>
      <c r="C34" s="8">
        <v>69</v>
      </c>
      <c r="D34" s="8">
        <v>32</v>
      </c>
      <c r="E34" s="8">
        <v>19</v>
      </c>
      <c r="F34" s="8">
        <v>125</v>
      </c>
      <c r="G34" s="8">
        <f t="shared" si="1"/>
        <v>382</v>
      </c>
      <c r="H34" s="8">
        <v>175</v>
      </c>
      <c r="I34" s="8">
        <v>207</v>
      </c>
      <c r="J34" s="9">
        <v>627</v>
      </c>
      <c r="K34" s="8">
        <v>211525</v>
      </c>
      <c r="L34" s="8">
        <v>566925</v>
      </c>
      <c r="M34" s="8">
        <v>885809</v>
      </c>
      <c r="N34" s="8">
        <v>2477234</v>
      </c>
      <c r="O34" s="8">
        <f t="shared" si="2"/>
        <v>1053483</v>
      </c>
      <c r="P34" s="8">
        <v>732297</v>
      </c>
      <c r="Q34" s="8">
        <v>321186</v>
      </c>
      <c r="R34" s="9">
        <v>5194976</v>
      </c>
      <c r="S34">
        <f t="shared" si="3"/>
        <v>32.620257652759719</v>
      </c>
      <c r="T34">
        <f t="shared" si="4"/>
        <v>5.6444856021519598</v>
      </c>
      <c r="U34">
        <f t="shared" si="5"/>
        <v>2.1449319209897393</v>
      </c>
      <c r="V34">
        <f t="shared" si="6"/>
        <v>5.045950443115184</v>
      </c>
      <c r="W34">
        <f t="shared" si="7"/>
        <v>36.260670556620276</v>
      </c>
      <c r="X34">
        <f t="shared" si="8"/>
        <v>23.897407745764355</v>
      </c>
      <c r="Y34">
        <f t="shared" si="9"/>
        <v>64.44863723823579</v>
      </c>
      <c r="Z34">
        <f t="shared" si="10"/>
        <v>12.069353159668109</v>
      </c>
    </row>
    <row r="35" spans="1:26" x14ac:dyDescent="0.3">
      <c r="A35" s="14" t="s">
        <v>103</v>
      </c>
      <c r="B35" s="3" t="s">
        <v>39</v>
      </c>
      <c r="C35" s="8">
        <v>80</v>
      </c>
      <c r="D35" s="8">
        <v>24</v>
      </c>
      <c r="E35" s="8">
        <v>15</v>
      </c>
      <c r="F35" s="8">
        <v>108</v>
      </c>
      <c r="G35" s="8">
        <f t="shared" si="1"/>
        <v>370</v>
      </c>
      <c r="H35" s="8">
        <v>165</v>
      </c>
      <c r="I35" s="8">
        <v>205</v>
      </c>
      <c r="J35" s="9">
        <v>597</v>
      </c>
      <c r="K35" s="8">
        <v>211525</v>
      </c>
      <c r="L35" s="8">
        <v>566925</v>
      </c>
      <c r="M35" s="8">
        <v>885809</v>
      </c>
      <c r="N35" s="8">
        <v>2477234</v>
      </c>
      <c r="O35" s="8">
        <f t="shared" si="2"/>
        <v>1053483</v>
      </c>
      <c r="P35" s="8">
        <v>732297</v>
      </c>
      <c r="Q35" s="8">
        <v>321186</v>
      </c>
      <c r="R35" s="9">
        <v>5194976</v>
      </c>
      <c r="S35">
        <f t="shared" si="3"/>
        <v>37.820588582909821</v>
      </c>
      <c r="T35">
        <f t="shared" si="4"/>
        <v>4.2333642016139708</v>
      </c>
      <c r="U35">
        <f t="shared" si="5"/>
        <v>1.6933673060445311</v>
      </c>
      <c r="V35">
        <f t="shared" si="6"/>
        <v>4.3597011828515191</v>
      </c>
      <c r="W35">
        <f t="shared" si="7"/>
        <v>35.121591900391373</v>
      </c>
      <c r="X35">
        <f t="shared" si="8"/>
        <v>22.531841588863532</v>
      </c>
      <c r="Y35">
        <f t="shared" si="9"/>
        <v>63.82594509100646</v>
      </c>
      <c r="Z35">
        <f t="shared" si="10"/>
        <v>11.491872147243798</v>
      </c>
    </row>
    <row r="36" spans="1:26" x14ac:dyDescent="0.3">
      <c r="A36" s="14" t="s">
        <v>103</v>
      </c>
      <c r="B36" s="3" t="s">
        <v>40</v>
      </c>
      <c r="C36" s="8">
        <v>70</v>
      </c>
      <c r="D36" s="8">
        <v>23</v>
      </c>
      <c r="E36" s="8">
        <v>24</v>
      </c>
      <c r="F36" s="8">
        <v>97</v>
      </c>
      <c r="G36" s="8">
        <f t="shared" si="1"/>
        <v>382</v>
      </c>
      <c r="H36" s="8">
        <v>173</v>
      </c>
      <c r="I36" s="8">
        <v>209</v>
      </c>
      <c r="J36" s="9">
        <v>596</v>
      </c>
      <c r="K36" s="8">
        <v>211525</v>
      </c>
      <c r="L36" s="8">
        <v>566925</v>
      </c>
      <c r="M36" s="8">
        <v>885809</v>
      </c>
      <c r="N36" s="8">
        <v>2477234</v>
      </c>
      <c r="O36" s="8">
        <f t="shared" si="2"/>
        <v>1053483</v>
      </c>
      <c r="P36" s="8">
        <v>732297</v>
      </c>
      <c r="Q36" s="8">
        <v>321186</v>
      </c>
      <c r="R36" s="9">
        <v>5194976</v>
      </c>
      <c r="S36">
        <f t="shared" si="3"/>
        <v>33.093015010046095</v>
      </c>
      <c r="T36">
        <f t="shared" si="4"/>
        <v>4.0569740265467216</v>
      </c>
      <c r="U36">
        <f t="shared" si="5"/>
        <v>2.7093876896712494</v>
      </c>
      <c r="V36">
        <f t="shared" si="6"/>
        <v>3.9156575438573826</v>
      </c>
      <c r="W36">
        <f t="shared" si="7"/>
        <v>36.260670556620276</v>
      </c>
      <c r="X36">
        <f t="shared" si="8"/>
        <v>23.624294514384193</v>
      </c>
      <c r="Y36">
        <f t="shared" si="9"/>
        <v>65.07132938546512</v>
      </c>
      <c r="Z36">
        <f t="shared" si="10"/>
        <v>11.472622780162988</v>
      </c>
    </row>
    <row r="37" spans="1:26" x14ac:dyDescent="0.3">
      <c r="A37" s="14" t="s">
        <v>103</v>
      </c>
      <c r="B37" s="3" t="s">
        <v>41</v>
      </c>
      <c r="C37" s="8">
        <v>57</v>
      </c>
      <c r="D37" s="8">
        <v>21</v>
      </c>
      <c r="E37" s="8">
        <v>11</v>
      </c>
      <c r="F37" s="8">
        <v>118</v>
      </c>
      <c r="G37" s="8">
        <f t="shared" si="1"/>
        <v>374</v>
      </c>
      <c r="H37" s="8">
        <v>166</v>
      </c>
      <c r="I37" s="8">
        <v>208</v>
      </c>
      <c r="J37" s="9">
        <v>581</v>
      </c>
      <c r="K37" s="8">
        <v>211525</v>
      </c>
      <c r="L37" s="8">
        <v>566925</v>
      </c>
      <c r="M37" s="8">
        <v>885809</v>
      </c>
      <c r="N37" s="8">
        <v>2477234</v>
      </c>
      <c r="O37" s="8">
        <f t="shared" si="2"/>
        <v>1053483</v>
      </c>
      <c r="P37" s="8">
        <v>732297</v>
      </c>
      <c r="Q37" s="8">
        <v>321186</v>
      </c>
      <c r="R37" s="9">
        <v>5194976</v>
      </c>
      <c r="S37">
        <f t="shared" si="3"/>
        <v>26.947169365323248</v>
      </c>
      <c r="T37">
        <f t="shared" si="4"/>
        <v>3.7041936764122241</v>
      </c>
      <c r="U37">
        <f t="shared" si="5"/>
        <v>1.2418026910993227</v>
      </c>
      <c r="V37">
        <f t="shared" si="6"/>
        <v>4.7633772183007341</v>
      </c>
      <c r="W37">
        <f t="shared" si="7"/>
        <v>35.501284785801005</v>
      </c>
      <c r="X37">
        <f t="shared" si="8"/>
        <v>22.668398204553615</v>
      </c>
      <c r="Y37">
        <f t="shared" si="9"/>
        <v>64.759983311850448</v>
      </c>
      <c r="Z37">
        <f t="shared" si="10"/>
        <v>11.183882273950832</v>
      </c>
    </row>
    <row r="38" spans="1:26" x14ac:dyDescent="0.3">
      <c r="A38" s="14" t="s">
        <v>103</v>
      </c>
      <c r="B38" s="3" t="s">
        <v>42</v>
      </c>
      <c r="C38" s="8">
        <v>48</v>
      </c>
      <c r="D38" s="8">
        <v>18</v>
      </c>
      <c r="E38" s="8">
        <v>15</v>
      </c>
      <c r="F38" s="8">
        <v>100</v>
      </c>
      <c r="G38" s="8">
        <f t="shared" si="1"/>
        <v>326</v>
      </c>
      <c r="H38" s="8">
        <v>144</v>
      </c>
      <c r="I38" s="8">
        <v>182</v>
      </c>
      <c r="J38" s="9">
        <v>507</v>
      </c>
      <c r="K38" s="8">
        <v>211525</v>
      </c>
      <c r="L38" s="8">
        <v>566925</v>
      </c>
      <c r="M38" s="8">
        <v>885809</v>
      </c>
      <c r="N38" s="8">
        <v>2477234</v>
      </c>
      <c r="O38" s="8">
        <f t="shared" si="2"/>
        <v>1053483</v>
      </c>
      <c r="P38" s="8">
        <v>732297</v>
      </c>
      <c r="Q38" s="8">
        <v>321186</v>
      </c>
      <c r="R38" s="9">
        <v>5194976</v>
      </c>
      <c r="S38">
        <f t="shared" si="3"/>
        <v>22.692353149745895</v>
      </c>
      <c r="T38">
        <f t="shared" si="4"/>
        <v>3.1750231512104774</v>
      </c>
      <c r="U38">
        <f t="shared" si="5"/>
        <v>1.6933673060445311</v>
      </c>
      <c r="V38">
        <f t="shared" si="6"/>
        <v>4.0367603544921478</v>
      </c>
      <c r="W38">
        <f t="shared" si="7"/>
        <v>30.944970160885369</v>
      </c>
      <c r="X38">
        <f t="shared" si="8"/>
        <v>19.664152659371812</v>
      </c>
      <c r="Y38">
        <f t="shared" si="9"/>
        <v>56.664985397869145</v>
      </c>
      <c r="Z38">
        <f t="shared" si="10"/>
        <v>9.7594291099708634</v>
      </c>
    </row>
    <row r="39" spans="1:26" x14ac:dyDescent="0.3">
      <c r="A39" s="14" t="s">
        <v>103</v>
      </c>
      <c r="B39" s="3" t="s">
        <v>43</v>
      </c>
      <c r="C39" s="8">
        <v>48</v>
      </c>
      <c r="D39" s="8">
        <v>24</v>
      </c>
      <c r="E39" s="8">
        <v>15</v>
      </c>
      <c r="F39" s="8">
        <v>100</v>
      </c>
      <c r="G39" s="8">
        <f t="shared" si="1"/>
        <v>351</v>
      </c>
      <c r="H39" s="8">
        <v>149</v>
      </c>
      <c r="I39" s="8">
        <v>202</v>
      </c>
      <c r="J39" s="9">
        <v>538</v>
      </c>
      <c r="K39" s="8">
        <v>211525</v>
      </c>
      <c r="L39" s="8">
        <v>566925</v>
      </c>
      <c r="M39" s="8">
        <v>885809</v>
      </c>
      <c r="N39" s="8">
        <v>2477234</v>
      </c>
      <c r="O39" s="8">
        <f t="shared" si="2"/>
        <v>1053483</v>
      </c>
      <c r="P39" s="8">
        <v>732297</v>
      </c>
      <c r="Q39" s="8">
        <v>321186</v>
      </c>
      <c r="R39" s="9">
        <v>5194976</v>
      </c>
      <c r="S39">
        <f t="shared" si="3"/>
        <v>22.692353149745895</v>
      </c>
      <c r="T39">
        <f t="shared" si="4"/>
        <v>4.2333642016139708</v>
      </c>
      <c r="U39">
        <f t="shared" si="5"/>
        <v>1.6933673060445311</v>
      </c>
      <c r="V39">
        <f t="shared" si="6"/>
        <v>4.0367603544921478</v>
      </c>
      <c r="W39">
        <f t="shared" si="7"/>
        <v>33.318050694695593</v>
      </c>
      <c r="X39">
        <f t="shared" si="8"/>
        <v>20.346935737822221</v>
      </c>
      <c r="Y39">
        <f t="shared" si="9"/>
        <v>62.891906870162458</v>
      </c>
      <c r="Z39">
        <f t="shared" si="10"/>
        <v>10.356159489475985</v>
      </c>
    </row>
    <row r="40" spans="1:26" x14ac:dyDescent="0.3">
      <c r="A40" s="14" t="s">
        <v>103</v>
      </c>
      <c r="B40" s="3" t="s">
        <v>44</v>
      </c>
      <c r="C40" s="8">
        <v>47</v>
      </c>
      <c r="D40" s="8">
        <v>17</v>
      </c>
      <c r="E40" s="8">
        <v>12</v>
      </c>
      <c r="F40" s="8">
        <v>97</v>
      </c>
      <c r="G40" s="8">
        <f t="shared" si="1"/>
        <v>303</v>
      </c>
      <c r="H40" s="8">
        <v>118</v>
      </c>
      <c r="I40" s="8">
        <v>185</v>
      </c>
      <c r="J40" s="9">
        <v>476</v>
      </c>
      <c r="K40" s="8">
        <v>211525</v>
      </c>
      <c r="L40" s="8">
        <v>566925</v>
      </c>
      <c r="M40" s="8">
        <v>885809</v>
      </c>
      <c r="N40" s="8">
        <v>2477234</v>
      </c>
      <c r="O40" s="8">
        <f t="shared" si="2"/>
        <v>1053483</v>
      </c>
      <c r="P40" s="8">
        <v>732297</v>
      </c>
      <c r="Q40" s="8">
        <v>321186</v>
      </c>
      <c r="R40" s="9">
        <v>5194976</v>
      </c>
      <c r="S40">
        <f t="shared" si="3"/>
        <v>22.219595792459522</v>
      </c>
      <c r="T40">
        <f t="shared" si="4"/>
        <v>2.9986329761432291</v>
      </c>
      <c r="U40">
        <f t="shared" si="5"/>
        <v>1.3546938448356247</v>
      </c>
      <c r="V40">
        <f t="shared" si="6"/>
        <v>3.9156575438573826</v>
      </c>
      <c r="W40">
        <f t="shared" si="7"/>
        <v>28.761736069779957</v>
      </c>
      <c r="X40">
        <f t="shared" si="8"/>
        <v>16.113680651429679</v>
      </c>
      <c r="Y40">
        <f t="shared" si="9"/>
        <v>57.599023618713147</v>
      </c>
      <c r="Z40">
        <f t="shared" si="10"/>
        <v>9.1626987304657437</v>
      </c>
    </row>
    <row r="41" spans="1:26" x14ac:dyDescent="0.3">
      <c r="A41" s="14" t="s">
        <v>103</v>
      </c>
      <c r="B41" s="3" t="s">
        <v>45</v>
      </c>
      <c r="C41" s="8">
        <v>27</v>
      </c>
      <c r="D41" s="8">
        <v>13</v>
      </c>
      <c r="E41" s="8">
        <v>16</v>
      </c>
      <c r="F41" s="8">
        <v>104</v>
      </c>
      <c r="G41" s="8">
        <f t="shared" si="1"/>
        <v>381</v>
      </c>
      <c r="H41" s="8">
        <v>174</v>
      </c>
      <c r="I41" s="8">
        <v>207</v>
      </c>
      <c r="J41" s="9">
        <v>541</v>
      </c>
      <c r="K41" s="8">
        <v>211525</v>
      </c>
      <c r="L41" s="8">
        <v>566925</v>
      </c>
      <c r="M41" s="8">
        <v>885809</v>
      </c>
      <c r="N41" s="8">
        <v>2477234</v>
      </c>
      <c r="O41" s="8">
        <f t="shared" si="2"/>
        <v>1053483</v>
      </c>
      <c r="P41" s="8">
        <v>732297</v>
      </c>
      <c r="Q41" s="8">
        <v>321186</v>
      </c>
      <c r="R41" s="9">
        <v>5194976</v>
      </c>
      <c r="S41">
        <f t="shared" si="3"/>
        <v>12.764448646732063</v>
      </c>
      <c r="T41">
        <f t="shared" si="4"/>
        <v>2.2930722758742337</v>
      </c>
      <c r="U41">
        <f t="shared" si="5"/>
        <v>1.8062584597808331</v>
      </c>
      <c r="V41">
        <f t="shared" si="6"/>
        <v>4.1982307686718334</v>
      </c>
      <c r="W41">
        <f t="shared" si="7"/>
        <v>36.165747335267874</v>
      </c>
      <c r="X41">
        <f t="shared" si="8"/>
        <v>23.760851130074272</v>
      </c>
      <c r="Y41">
        <f t="shared" si="9"/>
        <v>64.44863723823579</v>
      </c>
      <c r="Z41">
        <f t="shared" si="10"/>
        <v>10.413907590718416</v>
      </c>
    </row>
    <row r="42" spans="1:26" x14ac:dyDescent="0.3">
      <c r="A42" s="14" t="s">
        <v>103</v>
      </c>
      <c r="B42" s="3" t="s">
        <v>46</v>
      </c>
      <c r="C42" s="8">
        <v>39</v>
      </c>
      <c r="D42" s="8">
        <v>10</v>
      </c>
      <c r="E42" s="8">
        <v>12</v>
      </c>
      <c r="F42" s="8">
        <v>77</v>
      </c>
      <c r="G42" s="8">
        <f t="shared" si="1"/>
        <v>302</v>
      </c>
      <c r="H42" s="8">
        <v>131</v>
      </c>
      <c r="I42" s="8">
        <v>171</v>
      </c>
      <c r="J42" s="9">
        <v>440</v>
      </c>
      <c r="K42" s="8">
        <v>211525</v>
      </c>
      <c r="L42" s="8">
        <v>566925</v>
      </c>
      <c r="M42" s="8">
        <v>885809</v>
      </c>
      <c r="N42" s="8">
        <v>2477234</v>
      </c>
      <c r="O42" s="8">
        <f t="shared" si="2"/>
        <v>1053483</v>
      </c>
      <c r="P42" s="8">
        <v>732297</v>
      </c>
      <c r="Q42" s="8">
        <v>321186</v>
      </c>
      <c r="R42" s="9">
        <v>5194976</v>
      </c>
      <c r="S42">
        <f t="shared" si="3"/>
        <v>18.437536934168538</v>
      </c>
      <c r="T42">
        <f t="shared" si="4"/>
        <v>1.7639017506724874</v>
      </c>
      <c r="U42">
        <f t="shared" si="5"/>
        <v>1.3546938448356247</v>
      </c>
      <c r="V42">
        <f t="shared" si="6"/>
        <v>3.1083054729589534</v>
      </c>
      <c r="W42">
        <f t="shared" si="7"/>
        <v>28.666812848427547</v>
      </c>
      <c r="X42">
        <f t="shared" si="8"/>
        <v>17.888916655400745</v>
      </c>
      <c r="Y42">
        <f t="shared" si="9"/>
        <v>53.240178588107824</v>
      </c>
      <c r="Z42">
        <f t="shared" si="10"/>
        <v>8.4697215155565679</v>
      </c>
    </row>
    <row r="43" spans="1:26" x14ac:dyDescent="0.3">
      <c r="A43" s="14" t="s">
        <v>103</v>
      </c>
      <c r="B43" s="3" t="s">
        <v>47</v>
      </c>
      <c r="C43" s="8">
        <v>34</v>
      </c>
      <c r="D43" s="8">
        <v>13</v>
      </c>
      <c r="E43" s="8">
        <v>11</v>
      </c>
      <c r="F43" s="8">
        <v>99</v>
      </c>
      <c r="G43" s="8">
        <f t="shared" si="1"/>
        <v>265</v>
      </c>
      <c r="H43" s="8">
        <v>126</v>
      </c>
      <c r="I43" s="8">
        <v>139</v>
      </c>
      <c r="J43" s="9">
        <v>422</v>
      </c>
      <c r="K43" s="8">
        <v>211525</v>
      </c>
      <c r="L43" s="8">
        <v>566925</v>
      </c>
      <c r="M43" s="8">
        <v>885809</v>
      </c>
      <c r="N43" s="8">
        <v>2477234</v>
      </c>
      <c r="O43" s="8">
        <f t="shared" si="2"/>
        <v>1053483</v>
      </c>
      <c r="P43" s="8">
        <v>732297</v>
      </c>
      <c r="Q43" s="8">
        <v>321186</v>
      </c>
      <c r="R43" s="9">
        <v>5194976</v>
      </c>
      <c r="S43">
        <f t="shared" si="3"/>
        <v>16.073750147736671</v>
      </c>
      <c r="T43">
        <f t="shared" si="4"/>
        <v>2.2930722758742337</v>
      </c>
      <c r="U43">
        <f t="shared" si="5"/>
        <v>1.2418026910993227</v>
      </c>
      <c r="V43">
        <f t="shared" si="6"/>
        <v>3.9963927509472259</v>
      </c>
      <c r="W43">
        <f t="shared" si="7"/>
        <v>25.154653658388412</v>
      </c>
      <c r="X43">
        <f t="shared" si="8"/>
        <v>17.206133576950336</v>
      </c>
      <c r="Y43">
        <f t="shared" si="9"/>
        <v>43.277104232438525</v>
      </c>
      <c r="Z43">
        <f t="shared" si="10"/>
        <v>8.123232908101981</v>
      </c>
    </row>
    <row r="44" spans="1:26" x14ac:dyDescent="0.3">
      <c r="A44" s="14" t="s">
        <v>103</v>
      </c>
      <c r="B44" s="3" t="s">
        <v>48</v>
      </c>
      <c r="C44" s="8">
        <v>29</v>
      </c>
      <c r="D44" s="8">
        <v>15</v>
      </c>
      <c r="E44" s="8">
        <v>12</v>
      </c>
      <c r="F44" s="8">
        <v>79</v>
      </c>
      <c r="G44" s="8">
        <f t="shared" si="1"/>
        <v>313</v>
      </c>
      <c r="H44" s="8">
        <v>139</v>
      </c>
      <c r="I44" s="8">
        <v>174</v>
      </c>
      <c r="J44" s="9">
        <v>448</v>
      </c>
      <c r="K44" s="8">
        <v>211525</v>
      </c>
      <c r="L44" s="8">
        <v>566925</v>
      </c>
      <c r="M44" s="8">
        <v>885809</v>
      </c>
      <c r="N44" s="8">
        <v>2477234</v>
      </c>
      <c r="O44" s="8">
        <f t="shared" si="2"/>
        <v>1053483</v>
      </c>
      <c r="P44" s="8">
        <v>732297</v>
      </c>
      <c r="Q44" s="8">
        <v>321186</v>
      </c>
      <c r="R44" s="9">
        <v>5194976</v>
      </c>
      <c r="S44">
        <f t="shared" si="3"/>
        <v>13.70996336130481</v>
      </c>
      <c r="T44">
        <f t="shared" si="4"/>
        <v>2.6458526260087312</v>
      </c>
      <c r="U44">
        <f t="shared" si="5"/>
        <v>1.3546938448356247</v>
      </c>
      <c r="V44">
        <f t="shared" si="6"/>
        <v>3.1890406800487963</v>
      </c>
      <c r="W44">
        <f t="shared" si="7"/>
        <v>29.710968283304048</v>
      </c>
      <c r="X44">
        <f t="shared" si="8"/>
        <v>18.981369580921402</v>
      </c>
      <c r="Y44">
        <f t="shared" si="9"/>
        <v>54.174216808951819</v>
      </c>
      <c r="Z44">
        <f t="shared" si="10"/>
        <v>8.6237164522030518</v>
      </c>
    </row>
    <row r="45" spans="1:26" x14ac:dyDescent="0.3">
      <c r="A45" s="14" t="s">
        <v>103</v>
      </c>
      <c r="B45" s="3" t="s">
        <v>49</v>
      </c>
      <c r="C45" s="8">
        <v>33</v>
      </c>
      <c r="D45" s="8">
        <v>6</v>
      </c>
      <c r="E45" s="8">
        <v>7</v>
      </c>
      <c r="F45" s="8">
        <v>90</v>
      </c>
      <c r="G45" s="8">
        <f t="shared" si="1"/>
        <v>317</v>
      </c>
      <c r="H45" s="8">
        <v>144</v>
      </c>
      <c r="I45" s="8">
        <v>173</v>
      </c>
      <c r="J45" s="9">
        <v>453</v>
      </c>
      <c r="K45" s="8">
        <v>211525</v>
      </c>
      <c r="L45" s="8">
        <v>566925</v>
      </c>
      <c r="M45" s="8">
        <v>885809</v>
      </c>
      <c r="N45" s="8">
        <v>2477234</v>
      </c>
      <c r="O45" s="8">
        <f t="shared" si="2"/>
        <v>1053483</v>
      </c>
      <c r="P45" s="8">
        <v>732297</v>
      </c>
      <c r="Q45" s="8">
        <v>321186</v>
      </c>
      <c r="R45" s="9">
        <v>5194976</v>
      </c>
      <c r="S45">
        <f t="shared" si="3"/>
        <v>15.600992790450302</v>
      </c>
      <c r="T45">
        <f t="shared" si="4"/>
        <v>1.0583410504034927</v>
      </c>
      <c r="U45">
        <f t="shared" si="5"/>
        <v>0.79023807615411457</v>
      </c>
      <c r="V45">
        <f t="shared" si="6"/>
        <v>3.6330843190429323</v>
      </c>
      <c r="W45">
        <f t="shared" si="7"/>
        <v>30.090661168713684</v>
      </c>
      <c r="X45">
        <f t="shared" si="8"/>
        <v>19.664152659371812</v>
      </c>
      <c r="Y45">
        <f t="shared" si="9"/>
        <v>53.862870735337161</v>
      </c>
      <c r="Z45">
        <f t="shared" si="10"/>
        <v>8.7199632876071043</v>
      </c>
    </row>
    <row r="46" spans="1:26" x14ac:dyDescent="0.3">
      <c r="A46" s="14" t="s">
        <v>103</v>
      </c>
      <c r="B46" s="3" t="s">
        <v>50</v>
      </c>
      <c r="C46" s="8">
        <v>22</v>
      </c>
      <c r="D46" s="8">
        <v>7</v>
      </c>
      <c r="E46" s="8">
        <v>8</v>
      </c>
      <c r="F46" s="8">
        <v>67</v>
      </c>
      <c r="G46" s="8">
        <f t="shared" si="1"/>
        <v>320</v>
      </c>
      <c r="H46" s="8">
        <v>141</v>
      </c>
      <c r="I46" s="8">
        <v>179</v>
      </c>
      <c r="J46" s="9">
        <v>424</v>
      </c>
      <c r="K46" s="8">
        <v>211525</v>
      </c>
      <c r="L46" s="8">
        <v>566925</v>
      </c>
      <c r="M46" s="8">
        <v>885809</v>
      </c>
      <c r="N46" s="8">
        <v>2477234</v>
      </c>
      <c r="O46" s="8">
        <f t="shared" si="2"/>
        <v>1053483</v>
      </c>
      <c r="P46" s="8">
        <v>732297</v>
      </c>
      <c r="Q46" s="8">
        <v>321186</v>
      </c>
      <c r="R46" s="9">
        <v>5194976</v>
      </c>
      <c r="S46">
        <f t="shared" si="3"/>
        <v>10.400661860300202</v>
      </c>
      <c r="T46">
        <f t="shared" si="4"/>
        <v>1.2347312254707412</v>
      </c>
      <c r="U46">
        <f t="shared" si="5"/>
        <v>0.90312922989041655</v>
      </c>
      <c r="V46">
        <f t="shared" si="6"/>
        <v>2.7046294375097384</v>
      </c>
      <c r="W46">
        <f t="shared" si="7"/>
        <v>30.37543083277091</v>
      </c>
      <c r="X46">
        <f t="shared" si="8"/>
        <v>19.254482812301568</v>
      </c>
      <c r="Y46">
        <f t="shared" si="9"/>
        <v>55.730947177025151</v>
      </c>
      <c r="Z46">
        <f t="shared" si="10"/>
        <v>8.1617316422636019</v>
      </c>
    </row>
    <row r="47" spans="1:26" x14ac:dyDescent="0.3">
      <c r="A47" s="14" t="s">
        <v>103</v>
      </c>
      <c r="B47" s="3" t="s">
        <v>51</v>
      </c>
      <c r="C47" s="8">
        <v>26</v>
      </c>
      <c r="D47" s="8">
        <v>4</v>
      </c>
      <c r="E47" s="8">
        <v>12</v>
      </c>
      <c r="F47" s="8">
        <v>82</v>
      </c>
      <c r="G47" s="8">
        <f t="shared" si="1"/>
        <v>321</v>
      </c>
      <c r="H47" s="8">
        <v>125</v>
      </c>
      <c r="I47" s="8">
        <v>196</v>
      </c>
      <c r="J47" s="9">
        <v>445</v>
      </c>
      <c r="K47" s="8">
        <v>211525</v>
      </c>
      <c r="L47" s="8">
        <v>566925</v>
      </c>
      <c r="M47" s="8">
        <v>885809</v>
      </c>
      <c r="N47" s="8">
        <v>2477234</v>
      </c>
      <c r="O47" s="8">
        <f t="shared" si="2"/>
        <v>1053483</v>
      </c>
      <c r="P47" s="8">
        <v>732297</v>
      </c>
      <c r="Q47" s="8">
        <v>321186</v>
      </c>
      <c r="R47" s="9">
        <v>5194976</v>
      </c>
      <c r="S47">
        <f t="shared" si="3"/>
        <v>12.291691289445692</v>
      </c>
      <c r="T47">
        <f t="shared" si="4"/>
        <v>0.70556070026899498</v>
      </c>
      <c r="U47">
        <f t="shared" si="5"/>
        <v>1.3546938448356247</v>
      </c>
      <c r="V47">
        <f t="shared" si="6"/>
        <v>3.310143490683561</v>
      </c>
      <c r="W47">
        <f t="shared" si="7"/>
        <v>30.470354054123323</v>
      </c>
      <c r="X47">
        <f t="shared" si="8"/>
        <v>17.069576961260253</v>
      </c>
      <c r="Y47">
        <f t="shared" si="9"/>
        <v>61.023830428474469</v>
      </c>
      <c r="Z47">
        <f t="shared" si="10"/>
        <v>8.5659683509606204</v>
      </c>
    </row>
    <row r="48" spans="1:26" x14ac:dyDescent="0.3">
      <c r="A48" s="14" t="s">
        <v>103</v>
      </c>
      <c r="B48" s="3" t="s">
        <v>52</v>
      </c>
      <c r="C48" s="8">
        <v>18</v>
      </c>
      <c r="D48" s="8">
        <v>4</v>
      </c>
      <c r="E48" s="8">
        <v>10</v>
      </c>
      <c r="F48" s="8">
        <v>91</v>
      </c>
      <c r="G48" s="8">
        <f t="shared" si="1"/>
        <v>333</v>
      </c>
      <c r="H48" s="8">
        <v>149</v>
      </c>
      <c r="I48" s="8">
        <v>184</v>
      </c>
      <c r="J48" s="9">
        <v>456</v>
      </c>
      <c r="K48" s="8">
        <v>211525</v>
      </c>
      <c r="L48" s="8">
        <v>566925</v>
      </c>
      <c r="M48" s="8">
        <v>885809</v>
      </c>
      <c r="N48" s="8">
        <v>2477234</v>
      </c>
      <c r="O48" s="8">
        <f t="shared" si="2"/>
        <v>1053483</v>
      </c>
      <c r="P48" s="8">
        <v>732297</v>
      </c>
      <c r="Q48" s="8">
        <v>321186</v>
      </c>
      <c r="R48" s="9">
        <v>5194976</v>
      </c>
      <c r="S48">
        <f t="shared" si="3"/>
        <v>8.50963243115471</v>
      </c>
      <c r="T48">
        <f t="shared" si="4"/>
        <v>0.70556070026899498</v>
      </c>
      <c r="U48">
        <f t="shared" si="5"/>
        <v>1.1289115373630207</v>
      </c>
      <c r="V48">
        <f t="shared" si="6"/>
        <v>3.6734519225878537</v>
      </c>
      <c r="W48">
        <f t="shared" si="7"/>
        <v>31.609432710352234</v>
      </c>
      <c r="X48">
        <f t="shared" si="8"/>
        <v>20.346935737822221</v>
      </c>
      <c r="Y48">
        <f t="shared" si="9"/>
        <v>57.287677545098482</v>
      </c>
      <c r="Z48">
        <f t="shared" si="10"/>
        <v>8.7777113888495357</v>
      </c>
    </row>
    <row r="49" spans="1:26" x14ac:dyDescent="0.3">
      <c r="A49" s="14" t="s">
        <v>103</v>
      </c>
      <c r="B49" s="3" t="s">
        <v>53</v>
      </c>
      <c r="C49" s="8">
        <v>23</v>
      </c>
      <c r="D49" s="8">
        <v>8</v>
      </c>
      <c r="E49" s="8">
        <v>14</v>
      </c>
      <c r="F49" s="8">
        <v>95</v>
      </c>
      <c r="G49" s="8">
        <f t="shared" si="1"/>
        <v>303</v>
      </c>
      <c r="H49" s="8">
        <v>136</v>
      </c>
      <c r="I49" s="8">
        <v>167</v>
      </c>
      <c r="J49" s="9">
        <v>443</v>
      </c>
      <c r="K49" s="8">
        <v>211525</v>
      </c>
      <c r="L49" s="8">
        <v>566925</v>
      </c>
      <c r="M49" s="8">
        <v>885809</v>
      </c>
      <c r="N49" s="8">
        <v>2477234</v>
      </c>
      <c r="O49" s="8">
        <f t="shared" si="2"/>
        <v>1053483</v>
      </c>
      <c r="P49" s="8">
        <v>732297</v>
      </c>
      <c r="Q49" s="8">
        <v>321186</v>
      </c>
      <c r="R49" s="9">
        <v>5194976</v>
      </c>
      <c r="S49">
        <f t="shared" si="3"/>
        <v>10.873419217586573</v>
      </c>
      <c r="T49">
        <f t="shared" si="4"/>
        <v>1.41112140053799</v>
      </c>
      <c r="U49">
        <f t="shared" si="5"/>
        <v>1.5804761523082291</v>
      </c>
      <c r="V49">
        <f t="shared" si="6"/>
        <v>3.8349223367675398</v>
      </c>
      <c r="W49">
        <f t="shared" si="7"/>
        <v>28.761736069779957</v>
      </c>
      <c r="X49">
        <f t="shared" si="8"/>
        <v>18.571699733851155</v>
      </c>
      <c r="Y49">
        <f t="shared" si="9"/>
        <v>51.994794293649171</v>
      </c>
      <c r="Z49">
        <f t="shared" si="10"/>
        <v>8.5274696167989994</v>
      </c>
    </row>
    <row r="50" spans="1:26" x14ac:dyDescent="0.3">
      <c r="A50" s="14" t="s">
        <v>103</v>
      </c>
      <c r="B50" s="3" t="s">
        <v>54</v>
      </c>
      <c r="C50" s="8">
        <v>9</v>
      </c>
      <c r="D50" s="8">
        <v>14</v>
      </c>
      <c r="E50" s="8">
        <v>17</v>
      </c>
      <c r="F50" s="8">
        <v>102</v>
      </c>
      <c r="G50" s="8">
        <f t="shared" si="1"/>
        <v>292</v>
      </c>
      <c r="H50" s="8">
        <v>133</v>
      </c>
      <c r="I50" s="8">
        <v>159</v>
      </c>
      <c r="J50" s="9">
        <v>434</v>
      </c>
      <c r="K50" s="8">
        <v>211525</v>
      </c>
      <c r="L50" s="8">
        <v>566925</v>
      </c>
      <c r="M50" s="8">
        <v>885809</v>
      </c>
      <c r="N50" s="8">
        <v>2477234</v>
      </c>
      <c r="O50" s="8">
        <f t="shared" si="2"/>
        <v>1053483</v>
      </c>
      <c r="P50" s="8">
        <v>732297</v>
      </c>
      <c r="Q50" s="8">
        <v>321186</v>
      </c>
      <c r="R50" s="9">
        <v>5194976</v>
      </c>
      <c r="S50">
        <f t="shared" si="3"/>
        <v>4.254816215577355</v>
      </c>
      <c r="T50">
        <f t="shared" si="4"/>
        <v>2.4694624509414824</v>
      </c>
      <c r="U50">
        <f t="shared" si="5"/>
        <v>1.9191496135171351</v>
      </c>
      <c r="V50">
        <f t="shared" si="6"/>
        <v>4.1174955615819906</v>
      </c>
      <c r="W50">
        <f t="shared" si="7"/>
        <v>27.717580634903459</v>
      </c>
      <c r="X50">
        <f t="shared" si="8"/>
        <v>18.16202988678091</v>
      </c>
      <c r="Y50">
        <f t="shared" si="9"/>
        <v>49.504025704731838</v>
      </c>
      <c r="Z50">
        <f t="shared" si="10"/>
        <v>8.3542253130717068</v>
      </c>
    </row>
    <row r="51" spans="1:26" x14ac:dyDescent="0.3">
      <c r="A51" s="14" t="s">
        <v>103</v>
      </c>
      <c r="B51" s="3" t="s">
        <v>55</v>
      </c>
      <c r="C51" s="8">
        <v>32</v>
      </c>
      <c r="D51" s="8">
        <v>9</v>
      </c>
      <c r="E51" s="8">
        <v>10</v>
      </c>
      <c r="F51" s="8">
        <v>94</v>
      </c>
      <c r="G51" s="8">
        <f t="shared" si="1"/>
        <v>270</v>
      </c>
      <c r="H51" s="8">
        <v>135</v>
      </c>
      <c r="I51" s="8">
        <v>135</v>
      </c>
      <c r="J51" s="9">
        <v>415</v>
      </c>
      <c r="K51" s="8">
        <v>211525</v>
      </c>
      <c r="L51" s="8">
        <v>566925</v>
      </c>
      <c r="M51" s="8">
        <v>885809</v>
      </c>
      <c r="N51" s="8">
        <v>2477234</v>
      </c>
      <c r="O51" s="8">
        <f t="shared" si="2"/>
        <v>1053483</v>
      </c>
      <c r="P51" s="8">
        <v>732297</v>
      </c>
      <c r="Q51" s="8">
        <v>321186</v>
      </c>
      <c r="R51" s="9">
        <v>5194976</v>
      </c>
      <c r="S51">
        <f t="shared" si="3"/>
        <v>15.128235433163928</v>
      </c>
      <c r="T51">
        <f t="shared" si="4"/>
        <v>1.5875115756052387</v>
      </c>
      <c r="U51">
        <f t="shared" si="5"/>
        <v>1.1289115373630207</v>
      </c>
      <c r="V51">
        <f t="shared" si="6"/>
        <v>3.7945547332226184</v>
      </c>
      <c r="W51">
        <f t="shared" si="7"/>
        <v>25.629269765150458</v>
      </c>
      <c r="X51">
        <f t="shared" si="8"/>
        <v>18.435143118161072</v>
      </c>
      <c r="Y51">
        <f t="shared" si="9"/>
        <v>42.031719937979858</v>
      </c>
      <c r="Z51">
        <f t="shared" si="10"/>
        <v>7.9884873385363093</v>
      </c>
    </row>
    <row r="52" spans="1:26" x14ac:dyDescent="0.3">
      <c r="A52" s="14" t="s">
        <v>103</v>
      </c>
      <c r="B52" s="3" t="s">
        <v>56</v>
      </c>
      <c r="C52" s="8">
        <v>65</v>
      </c>
      <c r="D52" s="8">
        <v>30</v>
      </c>
      <c r="E52" s="8">
        <v>16</v>
      </c>
      <c r="F52" s="8">
        <v>103</v>
      </c>
      <c r="G52" s="8">
        <f t="shared" si="1"/>
        <v>318</v>
      </c>
      <c r="H52" s="8">
        <v>154</v>
      </c>
      <c r="I52" s="8">
        <v>164</v>
      </c>
      <c r="J52" s="9">
        <v>532</v>
      </c>
      <c r="K52" s="8">
        <v>211525</v>
      </c>
      <c r="L52" s="8">
        <v>566925</v>
      </c>
      <c r="M52" s="8">
        <v>885809</v>
      </c>
      <c r="N52" s="8">
        <v>2477234</v>
      </c>
      <c r="O52" s="8">
        <f t="shared" si="2"/>
        <v>1053483</v>
      </c>
      <c r="P52" s="8">
        <v>732297</v>
      </c>
      <c r="Q52" s="8">
        <v>321186</v>
      </c>
      <c r="R52" s="9">
        <v>5194976</v>
      </c>
      <c r="S52">
        <f t="shared" si="3"/>
        <v>30.729228223614232</v>
      </c>
      <c r="T52">
        <f t="shared" si="4"/>
        <v>5.2917052520174623</v>
      </c>
      <c r="U52">
        <f t="shared" si="5"/>
        <v>1.8062584597808331</v>
      </c>
      <c r="V52">
        <f t="shared" si="6"/>
        <v>4.157863165126912</v>
      </c>
      <c r="W52">
        <f t="shared" si="7"/>
        <v>30.185584390066097</v>
      </c>
      <c r="X52">
        <f t="shared" si="8"/>
        <v>21.029718816272634</v>
      </c>
      <c r="Y52">
        <f t="shared" si="9"/>
        <v>51.060756072805162</v>
      </c>
      <c r="Z52">
        <f t="shared" si="10"/>
        <v>10.240663286991124</v>
      </c>
    </row>
    <row r="53" spans="1:26" x14ac:dyDescent="0.3">
      <c r="A53" s="14" t="s">
        <v>103</v>
      </c>
      <c r="B53" s="3" t="s">
        <v>57</v>
      </c>
      <c r="C53" s="8">
        <v>60</v>
      </c>
      <c r="D53" s="8">
        <v>36</v>
      </c>
      <c r="E53" s="8">
        <v>13</v>
      </c>
      <c r="F53" s="8">
        <v>95</v>
      </c>
      <c r="G53" s="8">
        <f t="shared" si="1"/>
        <v>289</v>
      </c>
      <c r="H53" s="8">
        <v>138</v>
      </c>
      <c r="I53" s="8">
        <v>151</v>
      </c>
      <c r="J53" s="9">
        <v>493</v>
      </c>
      <c r="K53" s="8">
        <v>211525</v>
      </c>
      <c r="L53" s="8">
        <v>566925</v>
      </c>
      <c r="M53" s="8">
        <v>885809</v>
      </c>
      <c r="N53" s="8">
        <v>2477234</v>
      </c>
      <c r="O53" s="8">
        <f t="shared" si="2"/>
        <v>1053483</v>
      </c>
      <c r="P53" s="8">
        <v>732297</v>
      </c>
      <c r="Q53" s="8">
        <v>321186</v>
      </c>
      <c r="R53" s="9">
        <v>5194976</v>
      </c>
      <c r="S53">
        <f t="shared" si="3"/>
        <v>28.365441437182369</v>
      </c>
      <c r="T53">
        <f t="shared" si="4"/>
        <v>6.3500463024209548</v>
      </c>
      <c r="U53">
        <f t="shared" si="5"/>
        <v>1.4675849985719269</v>
      </c>
      <c r="V53">
        <f t="shared" si="6"/>
        <v>3.8349223367675398</v>
      </c>
      <c r="W53">
        <f t="shared" si="7"/>
        <v>27.432810970846234</v>
      </c>
      <c r="X53">
        <f t="shared" si="8"/>
        <v>18.84481296523132</v>
      </c>
      <c r="Y53">
        <f t="shared" si="9"/>
        <v>47.013257115814511</v>
      </c>
      <c r="Z53">
        <f t="shared" si="10"/>
        <v>9.4899379708395184</v>
      </c>
    </row>
    <row r="54" spans="1:26" x14ac:dyDescent="0.3">
      <c r="A54" s="14" t="s">
        <v>103</v>
      </c>
      <c r="B54" s="3" t="s">
        <v>58</v>
      </c>
      <c r="C54" s="8">
        <v>67</v>
      </c>
      <c r="D54" s="8">
        <v>22</v>
      </c>
      <c r="E54" s="8">
        <v>5</v>
      </c>
      <c r="F54" s="8">
        <v>123</v>
      </c>
      <c r="G54" s="8">
        <f t="shared" si="1"/>
        <v>416</v>
      </c>
      <c r="H54" s="8">
        <v>183</v>
      </c>
      <c r="I54" s="8">
        <v>233</v>
      </c>
      <c r="J54" s="9">
        <v>633</v>
      </c>
      <c r="K54" s="8">
        <v>226756</v>
      </c>
      <c r="L54" s="8">
        <v>610546</v>
      </c>
      <c r="M54" s="8">
        <v>971425</v>
      </c>
      <c r="N54" s="8">
        <v>2718470</v>
      </c>
      <c r="O54" s="8">
        <f t="shared" si="2"/>
        <v>1191161</v>
      </c>
      <c r="P54" s="8">
        <v>831938</v>
      </c>
      <c r="Q54" s="8">
        <v>359223</v>
      </c>
      <c r="R54" s="9">
        <v>5718358</v>
      </c>
      <c r="S54">
        <f t="shared" si="3"/>
        <v>29.547178464957931</v>
      </c>
      <c r="T54">
        <f t="shared" si="4"/>
        <v>3.603332099465069</v>
      </c>
      <c r="U54">
        <f t="shared" si="5"/>
        <v>0.51470777466093631</v>
      </c>
      <c r="V54">
        <f t="shared" si="6"/>
        <v>4.524603913230604</v>
      </c>
      <c r="W54">
        <f t="shared" si="7"/>
        <v>34.923910369798875</v>
      </c>
      <c r="X54">
        <f t="shared" si="8"/>
        <v>21.99683149465465</v>
      </c>
      <c r="Y54">
        <f t="shared" si="9"/>
        <v>64.862216506181397</v>
      </c>
      <c r="Z54">
        <f t="shared" si="10"/>
        <v>11.06961124154871</v>
      </c>
    </row>
    <row r="55" spans="1:26" x14ac:dyDescent="0.3">
      <c r="A55" s="14" t="s">
        <v>103</v>
      </c>
      <c r="B55" s="3" t="s">
        <v>59</v>
      </c>
      <c r="C55" s="8">
        <v>66</v>
      </c>
      <c r="D55" s="8">
        <v>29</v>
      </c>
      <c r="E55" s="8">
        <v>14</v>
      </c>
      <c r="F55" s="8">
        <v>117</v>
      </c>
      <c r="G55" s="8">
        <f t="shared" si="1"/>
        <v>432</v>
      </c>
      <c r="H55" s="8">
        <v>193</v>
      </c>
      <c r="I55" s="8">
        <v>239</v>
      </c>
      <c r="J55" s="9">
        <v>658</v>
      </c>
      <c r="K55" s="8">
        <v>226756</v>
      </c>
      <c r="L55" s="8">
        <v>610546</v>
      </c>
      <c r="M55" s="8">
        <v>971425</v>
      </c>
      <c r="N55" s="8">
        <v>2718470</v>
      </c>
      <c r="O55" s="8">
        <f t="shared" si="2"/>
        <v>1191161</v>
      </c>
      <c r="P55" s="8">
        <v>831938</v>
      </c>
      <c r="Q55" s="8">
        <v>359223</v>
      </c>
      <c r="R55" s="9">
        <v>5718358</v>
      </c>
      <c r="S55">
        <f t="shared" si="3"/>
        <v>29.106175801301841</v>
      </c>
      <c r="T55">
        <f t="shared" si="4"/>
        <v>4.7498468583857729</v>
      </c>
      <c r="U55">
        <f t="shared" si="5"/>
        <v>1.4411817690506215</v>
      </c>
      <c r="V55">
        <f t="shared" si="6"/>
        <v>4.3038915272193545</v>
      </c>
      <c r="W55">
        <f t="shared" si="7"/>
        <v>36.267137691714218</v>
      </c>
      <c r="X55">
        <f t="shared" si="8"/>
        <v>23.198844144635778</v>
      </c>
      <c r="Y55">
        <f t="shared" si="9"/>
        <v>66.53248817586848</v>
      </c>
      <c r="Z55">
        <f t="shared" si="10"/>
        <v>11.506799679208612</v>
      </c>
    </row>
    <row r="56" spans="1:26" x14ac:dyDescent="0.3">
      <c r="A56" s="14" t="s">
        <v>103</v>
      </c>
      <c r="B56" s="3" t="s">
        <v>60</v>
      </c>
      <c r="C56" s="8">
        <v>51</v>
      </c>
      <c r="D56" s="8">
        <v>18</v>
      </c>
      <c r="E56" s="8">
        <v>10</v>
      </c>
      <c r="F56" s="8">
        <v>130</v>
      </c>
      <c r="G56" s="8">
        <f t="shared" si="1"/>
        <v>413</v>
      </c>
      <c r="H56" s="8">
        <v>201</v>
      </c>
      <c r="I56" s="8">
        <v>212</v>
      </c>
      <c r="J56" s="9">
        <v>622</v>
      </c>
      <c r="K56" s="8">
        <v>226756</v>
      </c>
      <c r="L56" s="8">
        <v>610546</v>
      </c>
      <c r="M56" s="8">
        <v>971425</v>
      </c>
      <c r="N56" s="8">
        <v>2718470</v>
      </c>
      <c r="O56" s="8">
        <f t="shared" si="2"/>
        <v>1191161</v>
      </c>
      <c r="P56" s="8">
        <v>831938</v>
      </c>
      <c r="Q56" s="8">
        <v>359223</v>
      </c>
      <c r="R56" s="9">
        <v>5718358</v>
      </c>
      <c r="S56">
        <f t="shared" si="3"/>
        <v>22.491135846460512</v>
      </c>
      <c r="T56">
        <f t="shared" si="4"/>
        <v>2.9481808086532384</v>
      </c>
      <c r="U56">
        <f t="shared" si="5"/>
        <v>1.0294155493218726</v>
      </c>
      <c r="V56">
        <f t="shared" si="6"/>
        <v>4.7821016969103942</v>
      </c>
      <c r="W56">
        <f t="shared" si="7"/>
        <v>34.672055246939749</v>
      </c>
      <c r="X56">
        <f t="shared" si="8"/>
        <v>24.160454264620679</v>
      </c>
      <c r="Y56">
        <f t="shared" si="9"/>
        <v>59.016265662276631</v>
      </c>
      <c r="Z56">
        <f t="shared" si="10"/>
        <v>10.877248328978354</v>
      </c>
    </row>
    <row r="57" spans="1:26" x14ac:dyDescent="0.3">
      <c r="A57" s="14" t="s">
        <v>103</v>
      </c>
      <c r="B57" s="3" t="s">
        <v>61</v>
      </c>
      <c r="C57" s="8">
        <v>86</v>
      </c>
      <c r="D57" s="8">
        <v>24</v>
      </c>
      <c r="E57" s="8">
        <v>16</v>
      </c>
      <c r="F57" s="8">
        <v>94</v>
      </c>
      <c r="G57" s="8">
        <f t="shared" si="1"/>
        <v>418</v>
      </c>
      <c r="H57" s="8">
        <v>190</v>
      </c>
      <c r="I57" s="8">
        <v>228</v>
      </c>
      <c r="J57" s="9">
        <v>638</v>
      </c>
      <c r="K57" s="8">
        <v>226756</v>
      </c>
      <c r="L57" s="8">
        <v>610546</v>
      </c>
      <c r="M57" s="8">
        <v>971425</v>
      </c>
      <c r="N57" s="8">
        <v>2718470</v>
      </c>
      <c r="O57" s="8">
        <f t="shared" si="2"/>
        <v>1191161</v>
      </c>
      <c r="P57" s="8">
        <v>831938</v>
      </c>
      <c r="Q57" s="8">
        <v>359223</v>
      </c>
      <c r="R57" s="9">
        <v>5718358</v>
      </c>
      <c r="S57">
        <f t="shared" si="3"/>
        <v>37.92622907442361</v>
      </c>
      <c r="T57">
        <f t="shared" si="4"/>
        <v>3.9309077448709844</v>
      </c>
      <c r="U57">
        <f t="shared" si="5"/>
        <v>1.647064878914996</v>
      </c>
      <c r="V57">
        <f t="shared" si="6"/>
        <v>3.4578273808429008</v>
      </c>
      <c r="W57">
        <f t="shared" si="7"/>
        <v>35.091813785038291</v>
      </c>
      <c r="X57">
        <f t="shared" si="8"/>
        <v>22.838240349641442</v>
      </c>
      <c r="Y57">
        <f t="shared" si="9"/>
        <v>63.470323448108836</v>
      </c>
      <c r="Z57">
        <f t="shared" si="10"/>
        <v>11.157048929080691</v>
      </c>
    </row>
    <row r="58" spans="1:26" x14ac:dyDescent="0.3">
      <c r="A58" s="14" t="s">
        <v>103</v>
      </c>
      <c r="B58" s="3" t="s">
        <v>62</v>
      </c>
      <c r="C58" s="8">
        <v>66</v>
      </c>
      <c r="D58" s="8">
        <v>29</v>
      </c>
      <c r="E58" s="8">
        <v>16</v>
      </c>
      <c r="F58" s="8">
        <v>95</v>
      </c>
      <c r="G58" s="8">
        <f t="shared" si="1"/>
        <v>397</v>
      </c>
      <c r="H58" s="8">
        <v>169</v>
      </c>
      <c r="I58" s="8">
        <v>228</v>
      </c>
      <c r="J58" s="9">
        <v>603</v>
      </c>
      <c r="K58" s="8">
        <v>226756</v>
      </c>
      <c r="L58" s="8">
        <v>610546</v>
      </c>
      <c r="M58" s="8">
        <v>971425</v>
      </c>
      <c r="N58" s="8">
        <v>2718470</v>
      </c>
      <c r="O58" s="8">
        <f t="shared" si="2"/>
        <v>1191161</v>
      </c>
      <c r="P58" s="8">
        <v>831938</v>
      </c>
      <c r="Q58" s="8">
        <v>359223</v>
      </c>
      <c r="R58" s="9">
        <v>5718358</v>
      </c>
      <c r="S58">
        <f t="shared" si="3"/>
        <v>29.106175801301841</v>
      </c>
      <c r="T58">
        <f t="shared" si="4"/>
        <v>4.7498468583857729</v>
      </c>
      <c r="U58">
        <f t="shared" si="5"/>
        <v>1.647064878914996</v>
      </c>
      <c r="V58">
        <f t="shared" si="6"/>
        <v>3.494612778511442</v>
      </c>
      <c r="W58">
        <f t="shared" si="7"/>
        <v>33.328827925024406</v>
      </c>
      <c r="X58">
        <f t="shared" si="8"/>
        <v>20.31401378468107</v>
      </c>
      <c r="Y58">
        <f t="shared" si="9"/>
        <v>63.470323448108836</v>
      </c>
      <c r="Z58">
        <f t="shared" si="10"/>
        <v>10.544985116356829</v>
      </c>
    </row>
    <row r="59" spans="1:26" x14ac:dyDescent="0.3">
      <c r="A59" s="14" t="s">
        <v>103</v>
      </c>
      <c r="B59" s="3" t="s">
        <v>63</v>
      </c>
      <c r="C59" s="8">
        <v>70</v>
      </c>
      <c r="D59" s="8">
        <v>34</v>
      </c>
      <c r="E59" s="8">
        <v>21</v>
      </c>
      <c r="F59" s="8">
        <v>115</v>
      </c>
      <c r="G59" s="8">
        <f t="shared" si="1"/>
        <v>407</v>
      </c>
      <c r="H59" s="8">
        <v>176</v>
      </c>
      <c r="I59" s="8">
        <v>231</v>
      </c>
      <c r="J59" s="9">
        <v>647</v>
      </c>
      <c r="K59" s="8">
        <v>226756</v>
      </c>
      <c r="L59" s="8">
        <v>610546</v>
      </c>
      <c r="M59" s="8">
        <v>971425</v>
      </c>
      <c r="N59" s="8">
        <v>2718470</v>
      </c>
      <c r="O59" s="8">
        <f t="shared" si="2"/>
        <v>1191161</v>
      </c>
      <c r="P59" s="8">
        <v>831938</v>
      </c>
      <c r="Q59" s="8">
        <v>359223</v>
      </c>
      <c r="R59" s="9">
        <v>5718358</v>
      </c>
      <c r="S59">
        <f t="shared" si="3"/>
        <v>30.870186455926195</v>
      </c>
      <c r="T59">
        <f t="shared" si="4"/>
        <v>5.568785971900561</v>
      </c>
      <c r="U59">
        <f t="shared" si="5"/>
        <v>2.1617726535759321</v>
      </c>
      <c r="V59">
        <f t="shared" si="6"/>
        <v>4.230320731882272</v>
      </c>
      <c r="W59">
        <f t="shared" si="7"/>
        <v>34.168345001221496</v>
      </c>
      <c r="X59">
        <f t="shared" si="8"/>
        <v>21.155422639667858</v>
      </c>
      <c r="Y59">
        <f t="shared" si="9"/>
        <v>64.30545928295237</v>
      </c>
      <c r="Z59">
        <f t="shared" si="10"/>
        <v>11.314436766638256</v>
      </c>
    </row>
    <row r="60" spans="1:26" x14ac:dyDescent="0.3">
      <c r="A60" s="14" t="s">
        <v>103</v>
      </c>
      <c r="B60" s="3" t="s">
        <v>64</v>
      </c>
      <c r="C60" s="8">
        <v>94</v>
      </c>
      <c r="D60" s="8">
        <v>26</v>
      </c>
      <c r="E60" s="8">
        <v>16</v>
      </c>
      <c r="F60" s="8">
        <v>112</v>
      </c>
      <c r="G60" s="8">
        <f t="shared" si="1"/>
        <v>499</v>
      </c>
      <c r="H60" s="8">
        <v>226</v>
      </c>
      <c r="I60" s="8">
        <v>273</v>
      </c>
      <c r="J60" s="9">
        <v>747</v>
      </c>
      <c r="K60" s="8">
        <v>226756</v>
      </c>
      <c r="L60" s="8">
        <v>610546</v>
      </c>
      <c r="M60" s="8">
        <v>971425</v>
      </c>
      <c r="N60" s="8">
        <v>2718470</v>
      </c>
      <c r="O60" s="8">
        <f t="shared" si="2"/>
        <v>1191161</v>
      </c>
      <c r="P60" s="8">
        <v>831938</v>
      </c>
      <c r="Q60" s="8">
        <v>359223</v>
      </c>
      <c r="R60" s="9">
        <v>5718358</v>
      </c>
      <c r="S60">
        <f t="shared" si="3"/>
        <v>41.454250383672317</v>
      </c>
      <c r="T60">
        <f t="shared" si="4"/>
        <v>4.2584833902768997</v>
      </c>
      <c r="U60">
        <f t="shared" si="5"/>
        <v>1.647064878914996</v>
      </c>
      <c r="V60">
        <f t="shared" si="6"/>
        <v>4.1199645388766477</v>
      </c>
      <c r="W60">
        <f t="shared" si="7"/>
        <v>41.89190210223471</v>
      </c>
      <c r="X60">
        <f t="shared" si="8"/>
        <v>27.1654858895735</v>
      </c>
      <c r="Y60">
        <f t="shared" si="9"/>
        <v>75.997360970761903</v>
      </c>
      <c r="Z60">
        <f t="shared" si="10"/>
        <v>13.063190517277862</v>
      </c>
    </row>
    <row r="61" spans="1:26" x14ac:dyDescent="0.3">
      <c r="A61" s="14" t="s">
        <v>103</v>
      </c>
      <c r="B61" s="3" t="s">
        <v>65</v>
      </c>
      <c r="C61" s="8">
        <v>103</v>
      </c>
      <c r="D61" s="8">
        <v>26</v>
      </c>
      <c r="E61" s="8">
        <v>18</v>
      </c>
      <c r="F61" s="8">
        <v>127</v>
      </c>
      <c r="G61" s="8">
        <f t="shared" si="1"/>
        <v>442</v>
      </c>
      <c r="H61" s="8">
        <v>207</v>
      </c>
      <c r="I61" s="8">
        <v>235</v>
      </c>
      <c r="J61" s="9">
        <v>716</v>
      </c>
      <c r="K61" s="8">
        <v>226756</v>
      </c>
      <c r="L61" s="8">
        <v>610546</v>
      </c>
      <c r="M61" s="8">
        <v>971425</v>
      </c>
      <c r="N61" s="8">
        <v>2718470</v>
      </c>
      <c r="O61" s="8">
        <f t="shared" si="2"/>
        <v>1191161</v>
      </c>
      <c r="P61" s="8">
        <v>831938</v>
      </c>
      <c r="Q61" s="8">
        <v>359223</v>
      </c>
      <c r="R61" s="9">
        <v>5718358</v>
      </c>
      <c r="S61">
        <f t="shared" si="3"/>
        <v>45.42327435657711</v>
      </c>
      <c r="T61">
        <f t="shared" si="4"/>
        <v>4.2584833902768997</v>
      </c>
      <c r="U61">
        <f t="shared" si="5"/>
        <v>1.8529479887793705</v>
      </c>
      <c r="V61">
        <f t="shared" si="6"/>
        <v>4.6717455039047699</v>
      </c>
      <c r="W61">
        <f t="shared" si="7"/>
        <v>37.106654767911309</v>
      </c>
      <c r="X61">
        <f t="shared" si="8"/>
        <v>24.881661854609359</v>
      </c>
      <c r="Y61">
        <f t="shared" si="9"/>
        <v>65.418973729410425</v>
      </c>
      <c r="Z61">
        <f t="shared" si="10"/>
        <v>12.521076854579583</v>
      </c>
    </row>
    <row r="62" spans="1:26" x14ac:dyDescent="0.3">
      <c r="A62" s="14" t="s">
        <v>103</v>
      </c>
      <c r="B62" s="3" t="s">
        <v>66</v>
      </c>
      <c r="C62" s="8">
        <v>106</v>
      </c>
      <c r="D62" s="8">
        <v>37</v>
      </c>
      <c r="E62" s="8">
        <v>22</v>
      </c>
      <c r="F62" s="8">
        <v>172</v>
      </c>
      <c r="G62" s="8">
        <f t="shared" si="1"/>
        <v>559</v>
      </c>
      <c r="H62" s="8">
        <v>274</v>
      </c>
      <c r="I62" s="8">
        <v>285</v>
      </c>
      <c r="J62" s="9">
        <v>896</v>
      </c>
      <c r="K62" s="8">
        <v>226756</v>
      </c>
      <c r="L62" s="8">
        <v>610546</v>
      </c>
      <c r="M62" s="8">
        <v>971425</v>
      </c>
      <c r="N62" s="8">
        <v>2718470</v>
      </c>
      <c r="O62" s="8">
        <f t="shared" si="2"/>
        <v>1191161</v>
      </c>
      <c r="P62" s="8">
        <v>831938</v>
      </c>
      <c r="Q62" s="8">
        <v>359223</v>
      </c>
      <c r="R62" s="9">
        <v>5718358</v>
      </c>
      <c r="S62">
        <f t="shared" si="3"/>
        <v>46.746282347545375</v>
      </c>
      <c r="T62">
        <f t="shared" si="4"/>
        <v>6.0601494400094342</v>
      </c>
      <c r="U62">
        <f t="shared" si="5"/>
        <v>2.2647142085081193</v>
      </c>
      <c r="V62">
        <f t="shared" si="6"/>
        <v>6.3270883989891376</v>
      </c>
      <c r="W62">
        <f t="shared" si="7"/>
        <v>46.929004559417237</v>
      </c>
      <c r="X62">
        <f t="shared" si="8"/>
        <v>32.935146609482921</v>
      </c>
      <c r="Y62">
        <f t="shared" si="9"/>
        <v>79.337904310136039</v>
      </c>
      <c r="Z62">
        <f t="shared" si="10"/>
        <v>15.668833605730876</v>
      </c>
    </row>
    <row r="63" spans="1:26" x14ac:dyDescent="0.3">
      <c r="A63" s="14" t="s">
        <v>103</v>
      </c>
      <c r="B63" s="3" t="s">
        <v>67</v>
      </c>
      <c r="C63" s="8">
        <v>151</v>
      </c>
      <c r="D63" s="8">
        <v>44</v>
      </c>
      <c r="E63" s="8">
        <v>22</v>
      </c>
      <c r="F63" s="8">
        <v>207</v>
      </c>
      <c r="G63" s="8">
        <f t="shared" si="1"/>
        <v>728</v>
      </c>
      <c r="H63" s="8">
        <v>345</v>
      </c>
      <c r="I63" s="8">
        <v>383</v>
      </c>
      <c r="J63" s="9">
        <v>1152</v>
      </c>
      <c r="K63" s="8">
        <v>226756</v>
      </c>
      <c r="L63" s="8">
        <v>610546</v>
      </c>
      <c r="M63" s="8">
        <v>971425</v>
      </c>
      <c r="N63" s="8">
        <v>2718470</v>
      </c>
      <c r="O63" s="8">
        <f t="shared" si="2"/>
        <v>1191161</v>
      </c>
      <c r="P63" s="8">
        <v>831938</v>
      </c>
      <c r="Q63" s="8">
        <v>359223</v>
      </c>
      <c r="R63" s="9">
        <v>5718358</v>
      </c>
      <c r="S63">
        <f t="shared" si="3"/>
        <v>66.591402212069355</v>
      </c>
      <c r="T63">
        <f t="shared" si="4"/>
        <v>7.2066641989301381</v>
      </c>
      <c r="U63">
        <f t="shared" si="5"/>
        <v>2.2647142085081193</v>
      </c>
      <c r="V63">
        <f t="shared" si="6"/>
        <v>7.6145773173880897</v>
      </c>
      <c r="W63">
        <f t="shared" si="7"/>
        <v>61.116843147148032</v>
      </c>
      <c r="X63">
        <f t="shared" si="8"/>
        <v>41.469436424348928</v>
      </c>
      <c r="Y63">
        <f t="shared" si="9"/>
        <v>106.61900824835826</v>
      </c>
      <c r="Z63">
        <f t="shared" si="10"/>
        <v>20.14564320736827</v>
      </c>
    </row>
    <row r="64" spans="1:26" x14ac:dyDescent="0.3">
      <c r="A64" s="14" t="s">
        <v>103</v>
      </c>
      <c r="B64" s="3" t="s">
        <v>68</v>
      </c>
      <c r="C64" s="8">
        <v>183</v>
      </c>
      <c r="D64" s="8">
        <v>35</v>
      </c>
      <c r="E64" s="8">
        <v>23</v>
      </c>
      <c r="F64" s="8">
        <v>233</v>
      </c>
      <c r="G64" s="8">
        <f t="shared" si="1"/>
        <v>828</v>
      </c>
      <c r="H64" s="8">
        <v>404</v>
      </c>
      <c r="I64" s="8">
        <v>424</v>
      </c>
      <c r="J64" s="9">
        <v>1302</v>
      </c>
      <c r="K64" s="8">
        <v>226756</v>
      </c>
      <c r="L64" s="8">
        <v>610546</v>
      </c>
      <c r="M64" s="8">
        <v>971425</v>
      </c>
      <c r="N64" s="8">
        <v>2718470</v>
      </c>
      <c r="O64" s="8">
        <f t="shared" si="2"/>
        <v>1191161</v>
      </c>
      <c r="P64" s="8">
        <v>831938</v>
      </c>
      <c r="Q64" s="8">
        <v>359223</v>
      </c>
      <c r="R64" s="9">
        <v>5718358</v>
      </c>
      <c r="S64">
        <f t="shared" si="3"/>
        <v>80.703487449064184</v>
      </c>
      <c r="T64">
        <f t="shared" si="4"/>
        <v>5.7325737946035185</v>
      </c>
      <c r="U64">
        <f t="shared" si="5"/>
        <v>2.3676557634403066</v>
      </c>
      <c r="V64">
        <f t="shared" si="6"/>
        <v>8.5709976567701673</v>
      </c>
      <c r="W64">
        <f t="shared" si="7"/>
        <v>69.51201390911892</v>
      </c>
      <c r="X64">
        <f t="shared" si="8"/>
        <v>48.561311059237589</v>
      </c>
      <c r="Y64">
        <f t="shared" si="9"/>
        <v>118.03253132455326</v>
      </c>
      <c r="Z64">
        <f t="shared" si="10"/>
        <v>22.768773833327678</v>
      </c>
    </row>
    <row r="65" spans="1:26" x14ac:dyDescent="0.3">
      <c r="A65" s="14" t="s">
        <v>103</v>
      </c>
      <c r="B65" s="3" t="s">
        <v>69</v>
      </c>
      <c r="C65" s="8">
        <v>163</v>
      </c>
      <c r="D65" s="8">
        <v>40</v>
      </c>
      <c r="E65" s="8">
        <v>27</v>
      </c>
      <c r="F65" s="8">
        <v>261</v>
      </c>
      <c r="G65" s="8">
        <f t="shared" si="1"/>
        <v>942</v>
      </c>
      <c r="H65" s="8">
        <v>432</v>
      </c>
      <c r="I65" s="8">
        <v>510</v>
      </c>
      <c r="J65" s="9">
        <v>1433</v>
      </c>
      <c r="K65" s="8">
        <v>226756</v>
      </c>
      <c r="L65" s="8">
        <v>610546</v>
      </c>
      <c r="M65" s="8">
        <v>971425</v>
      </c>
      <c r="N65" s="8">
        <v>2718470</v>
      </c>
      <c r="O65" s="8">
        <f t="shared" si="2"/>
        <v>1191161</v>
      </c>
      <c r="P65" s="8">
        <v>831938</v>
      </c>
      <c r="Q65" s="8">
        <v>359223</v>
      </c>
      <c r="R65" s="9">
        <v>5718358</v>
      </c>
      <c r="S65">
        <f t="shared" si="3"/>
        <v>71.883434175942426</v>
      </c>
      <c r="T65">
        <f t="shared" si="4"/>
        <v>6.5515129081183074</v>
      </c>
      <c r="U65">
        <f t="shared" si="5"/>
        <v>2.7794219831690561</v>
      </c>
      <c r="V65">
        <f t="shared" si="6"/>
        <v>9.6009887914893302</v>
      </c>
      <c r="W65">
        <f t="shared" si="7"/>
        <v>79.082508577765722</v>
      </c>
      <c r="X65">
        <f t="shared" si="8"/>
        <v>51.926946479184743</v>
      </c>
      <c r="Y65">
        <f t="shared" si="9"/>
        <v>141.97309192340134</v>
      </c>
      <c r="Z65">
        <f t="shared" si="10"/>
        <v>25.059641246665564</v>
      </c>
    </row>
    <row r="66" spans="1:26" x14ac:dyDescent="0.3">
      <c r="A66" s="14" t="s">
        <v>103</v>
      </c>
      <c r="B66" s="3" t="s">
        <v>70</v>
      </c>
      <c r="C66" s="10">
        <v>193</v>
      </c>
      <c r="D66" s="10">
        <v>28</v>
      </c>
      <c r="E66" s="10">
        <v>17</v>
      </c>
      <c r="F66" s="10">
        <v>259</v>
      </c>
      <c r="G66" s="8">
        <f t="shared" si="1"/>
        <v>938</v>
      </c>
      <c r="H66" s="10">
        <v>424</v>
      </c>
      <c r="I66" s="10">
        <v>514</v>
      </c>
      <c r="J66" s="11">
        <v>1435</v>
      </c>
      <c r="K66" s="8">
        <v>226756</v>
      </c>
      <c r="L66" s="8">
        <v>610546</v>
      </c>
      <c r="M66" s="8">
        <v>971425</v>
      </c>
      <c r="N66" s="8">
        <v>2718470</v>
      </c>
      <c r="O66" s="8">
        <f t="shared" si="2"/>
        <v>1191161</v>
      </c>
      <c r="P66" s="8">
        <v>831938</v>
      </c>
      <c r="Q66" s="8">
        <v>359223</v>
      </c>
      <c r="R66" s="9">
        <v>5718358</v>
      </c>
      <c r="S66">
        <f t="shared" si="3"/>
        <v>85.11351408562507</v>
      </c>
      <c r="T66">
        <f t="shared" si="4"/>
        <v>4.5860590356828155</v>
      </c>
      <c r="U66">
        <f t="shared" si="5"/>
        <v>1.7500064338471832</v>
      </c>
      <c r="V66">
        <f t="shared" si="6"/>
        <v>9.5274179961522467</v>
      </c>
      <c r="W66">
        <f t="shared" si="7"/>
        <v>78.746701747286892</v>
      </c>
      <c r="X66">
        <f t="shared" si="8"/>
        <v>50.965336359199839</v>
      </c>
      <c r="Y66">
        <f t="shared" si="9"/>
        <v>143.0866063698594</v>
      </c>
      <c r="Z66">
        <f t="shared" si="10"/>
        <v>25.094616321678355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P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J39" sqref="J39"/>
    </sheetView>
  </sheetViews>
  <sheetFormatPr defaultColWidth="8.88671875" defaultRowHeight="14.4" x14ac:dyDescent="0.3"/>
  <cols>
    <col min="1" max="1" width="8.88671875" style="2"/>
    <col min="2" max="2" width="10.109375" style="2" customWidth="1"/>
    <col min="3" max="3" width="10.109375" style="5" customWidth="1"/>
    <col min="4" max="4" width="8.88671875" style="5"/>
    <col min="5" max="5" width="9.109375" style="5" bestFit="1" customWidth="1"/>
    <col min="6" max="8" width="8.88671875" style="5"/>
    <col min="9" max="9" width="9.6640625" style="5" customWidth="1"/>
    <col min="10" max="10" width="11.6640625" style="2" bestFit="1" customWidth="1"/>
    <col min="11" max="11" width="12.6640625" style="2" bestFit="1" customWidth="1"/>
    <col min="12" max="14" width="13.77734375" style="2" bestFit="1" customWidth="1"/>
    <col min="15" max="15" width="14.33203125" style="2" bestFit="1" customWidth="1"/>
    <col min="16" max="17" width="12.77734375" style="2" bestFit="1" customWidth="1"/>
    <col min="18" max="16384" width="8.88671875" style="2"/>
  </cols>
  <sheetData>
    <row r="1" spans="1:16" x14ac:dyDescent="0.3">
      <c r="A1" s="2" t="s">
        <v>102</v>
      </c>
      <c r="B1" s="6" t="s">
        <v>101</v>
      </c>
      <c r="C1" s="1" t="s">
        <v>1</v>
      </c>
      <c r="D1" s="1" t="s">
        <v>18</v>
      </c>
      <c r="E1" s="1" t="s">
        <v>2</v>
      </c>
      <c r="F1" s="1" t="s">
        <v>3</v>
      </c>
      <c r="G1" s="1" t="s">
        <v>76</v>
      </c>
      <c r="H1" s="1" t="s">
        <v>75</v>
      </c>
      <c r="I1" s="1" t="s">
        <v>4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114</v>
      </c>
      <c r="O1" s="1" t="s">
        <v>115</v>
      </c>
      <c r="P1" s="1" t="s">
        <v>108</v>
      </c>
    </row>
    <row r="2" spans="1:16" x14ac:dyDescent="0.3">
      <c r="A2" s="2" t="s">
        <v>103</v>
      </c>
      <c r="B2" s="3" t="s">
        <v>5</v>
      </c>
      <c r="C2" s="4">
        <v>0</v>
      </c>
      <c r="D2" s="4">
        <v>0</v>
      </c>
      <c r="E2" s="4">
        <v>0.11289173789173799</v>
      </c>
      <c r="F2" s="4">
        <v>0.109546994591785</v>
      </c>
      <c r="G2" s="4">
        <v>0.127743086529884</v>
      </c>
      <c r="H2" s="4">
        <v>0.165123456790123</v>
      </c>
      <c r="I2" s="4">
        <v>0.11804017044741499</v>
      </c>
      <c r="J2" s="15">
        <f>C2*100</f>
        <v>0</v>
      </c>
      <c r="K2" s="15">
        <f t="shared" ref="K2:P17" si="0">D2*100</f>
        <v>0</v>
      </c>
      <c r="L2" s="15">
        <f t="shared" si="0"/>
        <v>11.2891737891738</v>
      </c>
      <c r="M2" s="15">
        <f t="shared" si="0"/>
        <v>10.954699459178501</v>
      </c>
      <c r="N2" s="15">
        <f t="shared" si="0"/>
        <v>12.774308652988401</v>
      </c>
      <c r="O2" s="15">
        <f t="shared" si="0"/>
        <v>16.512345679012299</v>
      </c>
      <c r="P2" s="15">
        <f t="shared" si="0"/>
        <v>11.804017044741499</v>
      </c>
    </row>
    <row r="3" spans="1:16" x14ac:dyDescent="0.3">
      <c r="A3" s="2" t="s">
        <v>103</v>
      </c>
      <c r="B3" s="3" t="s">
        <v>6</v>
      </c>
      <c r="C3" s="4">
        <v>0.15</v>
      </c>
      <c r="D3" s="4">
        <v>0</v>
      </c>
      <c r="E3" s="4">
        <v>3.6764705882352901E-2</v>
      </c>
      <c r="F3" s="4">
        <v>5.56818181818182E-2</v>
      </c>
      <c r="G3" s="4">
        <v>6.5922315758381297E-2</v>
      </c>
      <c r="H3" s="4">
        <v>5.84302918963054E-2</v>
      </c>
      <c r="I3" s="4">
        <v>6.5159991741806297E-2</v>
      </c>
      <c r="J3" s="15">
        <f t="shared" ref="J3:N66" si="1">C3*100</f>
        <v>15</v>
      </c>
      <c r="K3" s="15">
        <f t="shared" si="0"/>
        <v>0</v>
      </c>
      <c r="L3" s="15">
        <f t="shared" si="0"/>
        <v>3.6764705882352899</v>
      </c>
      <c r="M3" s="15">
        <f t="shared" si="0"/>
        <v>5.5681818181818201</v>
      </c>
      <c r="N3" s="15">
        <f t="shared" si="0"/>
        <v>6.59223157583813</v>
      </c>
      <c r="O3" s="15">
        <f t="shared" si="0"/>
        <v>5.8430291896305402</v>
      </c>
      <c r="P3" s="15">
        <f t="shared" si="0"/>
        <v>6.5159991741806298</v>
      </c>
    </row>
    <row r="4" spans="1:16" x14ac:dyDescent="0.3">
      <c r="A4" s="2" t="s">
        <v>103</v>
      </c>
      <c r="B4" s="3" t="s">
        <v>7</v>
      </c>
      <c r="C4" s="4">
        <v>0</v>
      </c>
      <c r="D4" s="4">
        <v>0.108974358974359</v>
      </c>
      <c r="E4" s="4">
        <v>5.3846153846153801E-2</v>
      </c>
      <c r="F4" s="4">
        <v>3.7114845938375399E-2</v>
      </c>
      <c r="G4" s="4">
        <v>0.151700151700152</v>
      </c>
      <c r="H4" s="4">
        <v>8.4761904761904802E-2</v>
      </c>
      <c r="I4" s="4">
        <v>8.4291856202869303E-2</v>
      </c>
      <c r="J4" s="15">
        <f t="shared" si="1"/>
        <v>0</v>
      </c>
      <c r="K4" s="15">
        <f t="shared" si="0"/>
        <v>10.8974358974359</v>
      </c>
      <c r="L4" s="15">
        <f t="shared" si="0"/>
        <v>5.3846153846153797</v>
      </c>
      <c r="M4" s="15">
        <f t="shared" si="0"/>
        <v>3.71148459383754</v>
      </c>
      <c r="N4" s="15">
        <f t="shared" si="0"/>
        <v>15.1700151700152</v>
      </c>
      <c r="O4" s="15">
        <f t="shared" si="0"/>
        <v>8.4761904761904798</v>
      </c>
      <c r="P4" s="15">
        <f t="shared" si="0"/>
        <v>8.4291856202869297</v>
      </c>
    </row>
    <row r="5" spans="1:16" x14ac:dyDescent="0.3">
      <c r="A5" s="2" t="s">
        <v>103</v>
      </c>
      <c r="B5" s="3" t="s">
        <v>8</v>
      </c>
      <c r="C5" s="4">
        <v>0.108818011257036</v>
      </c>
      <c r="D5" s="4">
        <v>0</v>
      </c>
      <c r="E5" s="4">
        <v>7.9012345679012302E-2</v>
      </c>
      <c r="F5" s="4">
        <v>6.5135186235583301E-2</v>
      </c>
      <c r="G5" s="4">
        <v>9.8245614035087706E-2</v>
      </c>
      <c r="H5" s="4">
        <v>0</v>
      </c>
      <c r="I5" s="4">
        <v>5.6587662071558298E-2</v>
      </c>
      <c r="J5" s="15">
        <f t="shared" si="1"/>
        <v>10.8818011257036</v>
      </c>
      <c r="K5" s="15">
        <f t="shared" si="0"/>
        <v>0</v>
      </c>
      <c r="L5" s="15">
        <f t="shared" si="0"/>
        <v>7.9012345679012306</v>
      </c>
      <c r="M5" s="15">
        <f t="shared" si="0"/>
        <v>6.5135186235583298</v>
      </c>
      <c r="N5" s="15">
        <f t="shared" si="0"/>
        <v>9.8245614035087705</v>
      </c>
      <c r="O5" s="15">
        <f t="shared" si="0"/>
        <v>0</v>
      </c>
      <c r="P5" s="15">
        <f t="shared" si="0"/>
        <v>5.6587662071558302</v>
      </c>
    </row>
    <row r="6" spans="1:16" x14ac:dyDescent="0.3">
      <c r="A6" s="2" t="s">
        <v>103</v>
      </c>
      <c r="B6" s="3" t="s">
        <v>9</v>
      </c>
      <c r="C6" s="4">
        <v>6.21468926553672E-2</v>
      </c>
      <c r="D6" s="4">
        <v>0.125</v>
      </c>
      <c r="E6" s="4">
        <v>2.1052631578947399E-2</v>
      </c>
      <c r="F6" s="4">
        <v>1.33952979770366E-2</v>
      </c>
      <c r="G6" s="4">
        <v>0.14415887006466099</v>
      </c>
      <c r="H6" s="4">
        <v>0.12473867595818799</v>
      </c>
      <c r="I6" s="4">
        <v>0.100033618224375</v>
      </c>
      <c r="J6" s="15">
        <f t="shared" si="1"/>
        <v>6.2146892655367196</v>
      </c>
      <c r="K6" s="15">
        <f t="shared" si="0"/>
        <v>12.5</v>
      </c>
      <c r="L6" s="15">
        <f t="shared" si="0"/>
        <v>2.1052631578947398</v>
      </c>
      <c r="M6" s="15">
        <f t="shared" si="0"/>
        <v>1.33952979770366</v>
      </c>
      <c r="N6" s="15">
        <f t="shared" si="0"/>
        <v>14.4158870064661</v>
      </c>
      <c r="O6" s="15">
        <f t="shared" si="0"/>
        <v>12.473867595818799</v>
      </c>
      <c r="P6" s="15">
        <f t="shared" si="0"/>
        <v>10.003361822437499</v>
      </c>
    </row>
    <row r="7" spans="1:16" x14ac:dyDescent="0.3">
      <c r="A7" s="2" t="s">
        <v>103</v>
      </c>
      <c r="B7" s="3" t="s">
        <v>10</v>
      </c>
      <c r="C7" s="4">
        <v>0</v>
      </c>
      <c r="D7" s="4">
        <v>0</v>
      </c>
      <c r="E7" s="4">
        <v>4.5454545454545497E-2</v>
      </c>
      <c r="F7" s="4">
        <v>6.5072302558398201E-2</v>
      </c>
      <c r="G7" s="4">
        <v>2.27272727272727E-2</v>
      </c>
      <c r="H7" s="4">
        <v>0.107344346474781</v>
      </c>
      <c r="I7" s="4">
        <v>5.6431665607313698E-2</v>
      </c>
      <c r="J7" s="15">
        <f t="shared" si="1"/>
        <v>0</v>
      </c>
      <c r="K7" s="15">
        <f t="shared" si="0"/>
        <v>0</v>
      </c>
      <c r="L7" s="15">
        <f t="shared" si="0"/>
        <v>4.5454545454545494</v>
      </c>
      <c r="M7" s="15">
        <f t="shared" si="0"/>
        <v>6.5072302558398203</v>
      </c>
      <c r="N7" s="15">
        <f t="shared" si="0"/>
        <v>2.2727272727272698</v>
      </c>
      <c r="O7" s="15">
        <f t="shared" si="0"/>
        <v>10.7344346474781</v>
      </c>
      <c r="P7" s="15">
        <f t="shared" si="0"/>
        <v>5.6431665607313697</v>
      </c>
    </row>
    <row r="8" spans="1:16" x14ac:dyDescent="0.3">
      <c r="A8" s="2" t="s">
        <v>103</v>
      </c>
      <c r="B8" s="3" t="s">
        <v>11</v>
      </c>
      <c r="C8" s="4">
        <v>0.105990783410138</v>
      </c>
      <c r="D8" s="4">
        <v>0</v>
      </c>
      <c r="E8" s="4">
        <v>5.7142857142857099E-2</v>
      </c>
      <c r="F8" s="4">
        <v>5.8265582655826598E-2</v>
      </c>
      <c r="G8" s="4">
        <v>1.33928571428571E-2</v>
      </c>
      <c r="H8" s="4">
        <v>5.1421911421911402E-2</v>
      </c>
      <c r="I8" s="4">
        <v>4.57718882032776E-2</v>
      </c>
      <c r="J8" s="15">
        <f t="shared" si="1"/>
        <v>10.599078341013799</v>
      </c>
      <c r="K8" s="15">
        <f t="shared" si="0"/>
        <v>0</v>
      </c>
      <c r="L8" s="15">
        <f t="shared" si="0"/>
        <v>5.71428571428571</v>
      </c>
      <c r="M8" s="15">
        <f t="shared" si="0"/>
        <v>5.8265582655826602</v>
      </c>
      <c r="N8" s="15">
        <f t="shared" si="0"/>
        <v>1.33928571428571</v>
      </c>
      <c r="O8" s="15">
        <f t="shared" si="0"/>
        <v>5.1421911421911402</v>
      </c>
      <c r="P8" s="15">
        <f t="shared" si="0"/>
        <v>4.57718882032776</v>
      </c>
    </row>
    <row r="9" spans="1:16" x14ac:dyDescent="0.3">
      <c r="A9" s="2" t="s">
        <v>103</v>
      </c>
      <c r="B9" s="3" t="s">
        <v>12</v>
      </c>
      <c r="C9" s="4">
        <v>0</v>
      </c>
      <c r="D9" s="4">
        <v>0</v>
      </c>
      <c r="E9" s="4">
        <v>0</v>
      </c>
      <c r="F9" s="4">
        <v>0</v>
      </c>
      <c r="G9" s="4">
        <v>4.3492372606296702E-2</v>
      </c>
      <c r="H9" s="4">
        <v>2.60613703236654E-2</v>
      </c>
      <c r="I9" s="4">
        <v>1.83034994355749E-2</v>
      </c>
      <c r="J9" s="15">
        <f t="shared" si="1"/>
        <v>0</v>
      </c>
      <c r="K9" s="15">
        <f t="shared" si="0"/>
        <v>0</v>
      </c>
      <c r="L9" s="15">
        <f t="shared" si="0"/>
        <v>0</v>
      </c>
      <c r="M9" s="15">
        <f t="shared" si="0"/>
        <v>0</v>
      </c>
      <c r="N9" s="15">
        <f t="shared" si="0"/>
        <v>4.3492372606296703</v>
      </c>
      <c r="O9" s="15">
        <f t="shared" si="0"/>
        <v>2.60613703236654</v>
      </c>
      <c r="P9" s="15">
        <f t="shared" si="0"/>
        <v>1.8303499435574899</v>
      </c>
    </row>
    <row r="10" spans="1:16" x14ac:dyDescent="0.3">
      <c r="A10" s="2" t="s">
        <v>103</v>
      </c>
      <c r="B10" s="3" t="s">
        <v>13</v>
      </c>
      <c r="C10" s="4">
        <v>0</v>
      </c>
      <c r="D10" s="4">
        <v>0.2</v>
      </c>
      <c r="E10" s="4">
        <v>8.3333333333333301E-2</v>
      </c>
      <c r="F10" s="4">
        <v>2.1276595744680899E-2</v>
      </c>
      <c r="G10" s="4">
        <v>0</v>
      </c>
      <c r="H10" s="4">
        <v>5.2355371900826501E-2</v>
      </c>
      <c r="I10" s="4">
        <v>3.22196864037868E-2</v>
      </c>
      <c r="J10" s="15">
        <f t="shared" si="1"/>
        <v>0</v>
      </c>
      <c r="K10" s="15">
        <f t="shared" si="0"/>
        <v>20</v>
      </c>
      <c r="L10" s="15">
        <f t="shared" si="0"/>
        <v>8.3333333333333304</v>
      </c>
      <c r="M10" s="15">
        <f t="shared" si="0"/>
        <v>2.12765957446809</v>
      </c>
      <c r="N10" s="15">
        <f t="shared" si="0"/>
        <v>0</v>
      </c>
      <c r="O10" s="15">
        <f t="shared" si="0"/>
        <v>5.2355371900826499</v>
      </c>
      <c r="P10" s="15">
        <f t="shared" si="0"/>
        <v>3.2219686403786798</v>
      </c>
    </row>
    <row r="11" spans="1:16" x14ac:dyDescent="0.3">
      <c r="A11" s="2" t="s">
        <v>103</v>
      </c>
      <c r="B11" s="3" t="s">
        <v>14</v>
      </c>
      <c r="C11" s="4">
        <v>0</v>
      </c>
      <c r="D11" s="4">
        <v>0</v>
      </c>
      <c r="E11" s="4">
        <v>0</v>
      </c>
      <c r="F11" s="4">
        <v>0</v>
      </c>
      <c r="G11" s="4">
        <v>2.60671228413164E-2</v>
      </c>
      <c r="H11" s="4">
        <v>1.9948849104859299E-2</v>
      </c>
      <c r="I11" s="4">
        <v>1.26159360195221E-2</v>
      </c>
      <c r="J11" s="15">
        <f t="shared" si="1"/>
        <v>0</v>
      </c>
      <c r="K11" s="15">
        <f t="shared" si="0"/>
        <v>0</v>
      </c>
      <c r="L11" s="15">
        <f t="shared" si="0"/>
        <v>0</v>
      </c>
      <c r="M11" s="15">
        <f t="shared" si="0"/>
        <v>0</v>
      </c>
      <c r="N11" s="15">
        <f t="shared" si="0"/>
        <v>2.6067122841316399</v>
      </c>
      <c r="O11" s="15">
        <f t="shared" si="0"/>
        <v>1.9948849104859299</v>
      </c>
      <c r="P11" s="15">
        <f t="shared" si="0"/>
        <v>1.26159360195221</v>
      </c>
    </row>
    <row r="12" spans="1:16" x14ac:dyDescent="0.3">
      <c r="A12" s="2" t="s">
        <v>103</v>
      </c>
      <c r="B12" s="3" t="s">
        <v>15</v>
      </c>
      <c r="C12" s="4">
        <v>3.2076719576719599E-2</v>
      </c>
      <c r="D12" s="4">
        <v>0</v>
      </c>
      <c r="E12" s="4">
        <v>0</v>
      </c>
      <c r="F12" s="4">
        <v>0</v>
      </c>
      <c r="G12" s="4">
        <v>1.7966903073286099E-2</v>
      </c>
      <c r="H12" s="4">
        <v>0</v>
      </c>
      <c r="I12" s="4">
        <v>1.0626526251526301E-2</v>
      </c>
      <c r="J12" s="15">
        <f t="shared" si="1"/>
        <v>3.2076719576719599</v>
      </c>
      <c r="K12" s="15">
        <f t="shared" si="0"/>
        <v>0</v>
      </c>
      <c r="L12" s="15">
        <f t="shared" si="0"/>
        <v>0</v>
      </c>
      <c r="M12" s="15">
        <f t="shared" si="0"/>
        <v>0</v>
      </c>
      <c r="N12" s="15">
        <f t="shared" si="0"/>
        <v>1.7966903073286098</v>
      </c>
      <c r="O12" s="15">
        <f t="shared" si="0"/>
        <v>0</v>
      </c>
      <c r="P12" s="15">
        <f t="shared" si="0"/>
        <v>1.06265262515263</v>
      </c>
    </row>
    <row r="13" spans="1:16" x14ac:dyDescent="0.3">
      <c r="A13" s="2" t="s">
        <v>103</v>
      </c>
      <c r="B13" s="3" t="s">
        <v>16</v>
      </c>
      <c r="C13" s="4">
        <v>0</v>
      </c>
      <c r="D13" s="4">
        <v>0</v>
      </c>
      <c r="E13" s="4">
        <v>0</v>
      </c>
      <c r="F13" s="4">
        <v>0</v>
      </c>
      <c r="G13" s="4">
        <v>2.7823742109456401E-2</v>
      </c>
      <c r="H13" s="4">
        <v>1.27353266888151E-2</v>
      </c>
      <c r="I13" s="4">
        <v>1.1883404240777801E-2</v>
      </c>
      <c r="J13" s="15">
        <f t="shared" si="1"/>
        <v>0</v>
      </c>
      <c r="K13" s="15">
        <f t="shared" si="0"/>
        <v>0</v>
      </c>
      <c r="L13" s="15">
        <f t="shared" si="0"/>
        <v>0</v>
      </c>
      <c r="M13" s="15">
        <f t="shared" si="0"/>
        <v>0</v>
      </c>
      <c r="N13" s="15">
        <f t="shared" si="0"/>
        <v>2.78237421094564</v>
      </c>
      <c r="O13" s="15">
        <f t="shared" si="0"/>
        <v>1.2735326688815101</v>
      </c>
      <c r="P13" s="15">
        <f t="shared" si="0"/>
        <v>1.1883404240777802</v>
      </c>
    </row>
    <row r="14" spans="1:16" x14ac:dyDescent="0.3">
      <c r="A14" s="2" t="s">
        <v>103</v>
      </c>
      <c r="B14" s="3" t="s">
        <v>17</v>
      </c>
      <c r="C14" s="4">
        <v>0</v>
      </c>
      <c r="D14" s="4">
        <v>0</v>
      </c>
      <c r="E14" s="4">
        <v>0</v>
      </c>
      <c r="F14" s="4">
        <v>1.2265512265512301E-2</v>
      </c>
      <c r="G14" s="4">
        <v>1.07212475633528E-2</v>
      </c>
      <c r="H14" s="4">
        <v>0</v>
      </c>
      <c r="I14" s="4">
        <v>5.3797335350733401E-3</v>
      </c>
      <c r="J14" s="15">
        <f t="shared" si="1"/>
        <v>0</v>
      </c>
      <c r="K14" s="15">
        <f t="shared" si="0"/>
        <v>0</v>
      </c>
      <c r="L14" s="15">
        <f t="shared" si="0"/>
        <v>0</v>
      </c>
      <c r="M14" s="15">
        <f t="shared" si="0"/>
        <v>1.2265512265512302</v>
      </c>
      <c r="N14" s="15">
        <f t="shared" si="0"/>
        <v>1.07212475633528</v>
      </c>
      <c r="O14" s="15">
        <f t="shared" si="0"/>
        <v>0</v>
      </c>
      <c r="P14" s="15">
        <f t="shared" si="0"/>
        <v>0.537973353507334</v>
      </c>
    </row>
    <row r="15" spans="1:16" x14ac:dyDescent="0.3">
      <c r="A15" s="2" t="s">
        <v>103</v>
      </c>
      <c r="B15" s="3" t="s">
        <v>19</v>
      </c>
      <c r="C15" s="4">
        <v>0</v>
      </c>
      <c r="D15" s="4">
        <v>0</v>
      </c>
      <c r="E15" s="4">
        <v>3.8297872340425497E-2</v>
      </c>
      <c r="F15" s="4">
        <v>2.84038012575373E-2</v>
      </c>
      <c r="G15" s="4">
        <v>1.3542144934190399E-2</v>
      </c>
      <c r="H15" s="4">
        <v>1.59183673469388E-2</v>
      </c>
      <c r="I15" s="4">
        <v>1.54725736527802E-2</v>
      </c>
      <c r="J15" s="15">
        <f t="shared" si="1"/>
        <v>0</v>
      </c>
      <c r="K15" s="15">
        <f t="shared" si="0"/>
        <v>0</v>
      </c>
      <c r="L15" s="15">
        <f t="shared" si="0"/>
        <v>3.8297872340425498</v>
      </c>
      <c r="M15" s="15">
        <f t="shared" si="0"/>
        <v>2.8403801257537298</v>
      </c>
      <c r="N15" s="15">
        <f t="shared" si="0"/>
        <v>1.3542144934190399</v>
      </c>
      <c r="O15" s="15">
        <f t="shared" si="0"/>
        <v>1.59183673469388</v>
      </c>
      <c r="P15" s="15">
        <f t="shared" si="0"/>
        <v>1.5472573652780199</v>
      </c>
    </row>
    <row r="16" spans="1:16" x14ac:dyDescent="0.3">
      <c r="A16" s="2" t="s">
        <v>103</v>
      </c>
      <c r="B16" s="3" t="s">
        <v>20</v>
      </c>
      <c r="C16" s="4">
        <v>0</v>
      </c>
      <c r="D16" s="4">
        <v>0</v>
      </c>
      <c r="E16" s="4">
        <v>4.24403183023873E-2</v>
      </c>
      <c r="F16" s="4">
        <v>3.9065398802464901E-2</v>
      </c>
      <c r="G16" s="4">
        <v>1.80164372740255E-2</v>
      </c>
      <c r="H16" s="4">
        <v>2.6513919963748599E-2</v>
      </c>
      <c r="I16" s="4">
        <v>2.3792694856094299E-2</v>
      </c>
      <c r="J16" s="15">
        <f t="shared" si="1"/>
        <v>0</v>
      </c>
      <c r="K16" s="15">
        <f t="shared" si="0"/>
        <v>0</v>
      </c>
      <c r="L16" s="15">
        <f t="shared" si="0"/>
        <v>4.2440318302387299</v>
      </c>
      <c r="M16" s="15">
        <f t="shared" si="0"/>
        <v>3.9065398802464903</v>
      </c>
      <c r="N16" s="15">
        <f t="shared" si="0"/>
        <v>1.8016437274025501</v>
      </c>
      <c r="O16" s="15">
        <f t="shared" si="0"/>
        <v>2.6513919963748598</v>
      </c>
      <c r="P16" s="15">
        <f t="shared" si="0"/>
        <v>2.3792694856094299</v>
      </c>
    </row>
    <row r="17" spans="1:16" x14ac:dyDescent="0.3">
      <c r="A17" s="2" t="s">
        <v>103</v>
      </c>
      <c r="B17" s="3" t="s">
        <v>21</v>
      </c>
      <c r="C17" s="4">
        <v>0</v>
      </c>
      <c r="D17" s="4">
        <v>0</v>
      </c>
      <c r="E17" s="4">
        <v>3.7037037037037E-2</v>
      </c>
      <c r="F17" s="4">
        <v>2.3615201527476301E-2</v>
      </c>
      <c r="G17" s="4">
        <v>3.2588007736943897E-2</v>
      </c>
      <c r="H17" s="4">
        <v>0</v>
      </c>
      <c r="I17" s="4">
        <v>1.51821795232029E-2</v>
      </c>
      <c r="J17" s="15">
        <f t="shared" si="1"/>
        <v>0</v>
      </c>
      <c r="K17" s="15">
        <f t="shared" si="0"/>
        <v>0</v>
      </c>
      <c r="L17" s="15">
        <f t="shared" si="0"/>
        <v>3.7037037037037002</v>
      </c>
      <c r="M17" s="15">
        <f t="shared" si="0"/>
        <v>2.3615201527476302</v>
      </c>
      <c r="N17" s="15">
        <f t="shared" si="0"/>
        <v>3.2588007736943898</v>
      </c>
      <c r="O17" s="15">
        <f t="shared" si="0"/>
        <v>0</v>
      </c>
      <c r="P17" s="15">
        <f t="shared" si="0"/>
        <v>1.5182179523202899</v>
      </c>
    </row>
    <row r="18" spans="1:16" x14ac:dyDescent="0.3">
      <c r="A18" s="2" t="s">
        <v>103</v>
      </c>
      <c r="B18" s="3" t="s">
        <v>22</v>
      </c>
      <c r="C18" s="4">
        <v>7.4579831932773094E-2</v>
      </c>
      <c r="D18" s="4">
        <v>0</v>
      </c>
      <c r="E18" s="4">
        <v>1.4492753623188401E-2</v>
      </c>
      <c r="F18" s="4">
        <v>1.9354838709677399E-2</v>
      </c>
      <c r="G18" s="4">
        <v>2.2855641495563201E-2</v>
      </c>
      <c r="H18" s="4">
        <v>5.3846816576204E-2</v>
      </c>
      <c r="I18" s="4">
        <v>3.8130712071836201E-2</v>
      </c>
      <c r="J18" s="15">
        <f t="shared" si="1"/>
        <v>7.4579831932773093</v>
      </c>
      <c r="K18" s="15">
        <f t="shared" si="1"/>
        <v>0</v>
      </c>
      <c r="L18" s="15">
        <f t="shared" si="1"/>
        <v>1.4492753623188401</v>
      </c>
      <c r="M18" s="15">
        <f t="shared" si="1"/>
        <v>1.93548387096774</v>
      </c>
      <c r="N18" s="15">
        <f t="shared" si="1"/>
        <v>2.2855641495563201</v>
      </c>
      <c r="O18" s="15">
        <f t="shared" ref="O18:P66" si="2">H18*100</f>
        <v>5.3846816576204004</v>
      </c>
      <c r="P18" s="15">
        <f t="shared" si="2"/>
        <v>3.8130712071836199</v>
      </c>
    </row>
    <row r="19" spans="1:16" x14ac:dyDescent="0.3">
      <c r="A19" s="2" t="s">
        <v>103</v>
      </c>
      <c r="B19" s="3" t="s">
        <v>23</v>
      </c>
      <c r="C19" s="4">
        <v>0</v>
      </c>
      <c r="D19" s="4">
        <v>0</v>
      </c>
      <c r="E19" s="4">
        <v>0</v>
      </c>
      <c r="F19" s="4">
        <v>9.5105204227113795E-3</v>
      </c>
      <c r="G19" s="4">
        <v>2.95242246692114E-2</v>
      </c>
      <c r="H19" s="4">
        <v>0</v>
      </c>
      <c r="I19" s="4">
        <v>9.9021817105700606E-3</v>
      </c>
      <c r="J19" s="15">
        <f t="shared" si="1"/>
        <v>0</v>
      </c>
      <c r="K19" s="15">
        <f t="shared" si="1"/>
        <v>0</v>
      </c>
      <c r="L19" s="15">
        <f t="shared" si="1"/>
        <v>0</v>
      </c>
      <c r="M19" s="15">
        <f t="shared" si="1"/>
        <v>0.95105204227113793</v>
      </c>
      <c r="N19" s="15">
        <f t="shared" si="1"/>
        <v>2.9524224669211399</v>
      </c>
      <c r="O19" s="15">
        <f t="shared" si="2"/>
        <v>0</v>
      </c>
      <c r="P19" s="15">
        <f t="shared" si="2"/>
        <v>0.99021817105700605</v>
      </c>
    </row>
    <row r="20" spans="1:16" x14ac:dyDescent="0.3">
      <c r="A20" s="2" t="s">
        <v>103</v>
      </c>
      <c r="B20" s="3" t="s">
        <v>24</v>
      </c>
      <c r="C20" s="4">
        <v>3.1727379553466502E-2</v>
      </c>
      <c r="D20" s="4">
        <v>0</v>
      </c>
      <c r="E20" s="4">
        <v>0</v>
      </c>
      <c r="F20" s="4">
        <v>8.1864879103815402E-2</v>
      </c>
      <c r="G20" s="4">
        <v>1.3234639160565101E-2</v>
      </c>
      <c r="H20" s="4">
        <v>0</v>
      </c>
      <c r="I20" s="4">
        <v>2.1902300307611498E-2</v>
      </c>
      <c r="J20" s="15">
        <f t="shared" si="1"/>
        <v>3.1727379553466504</v>
      </c>
      <c r="K20" s="15">
        <f t="shared" si="1"/>
        <v>0</v>
      </c>
      <c r="L20" s="15">
        <f t="shared" si="1"/>
        <v>0</v>
      </c>
      <c r="M20" s="15">
        <f t="shared" si="1"/>
        <v>8.1864879103815404</v>
      </c>
      <c r="N20" s="15">
        <f t="shared" si="1"/>
        <v>1.32346391605651</v>
      </c>
      <c r="O20" s="15">
        <f t="shared" si="2"/>
        <v>0</v>
      </c>
      <c r="P20" s="15">
        <f t="shared" si="2"/>
        <v>2.1902300307611497</v>
      </c>
    </row>
    <row r="21" spans="1:16" x14ac:dyDescent="0.3">
      <c r="A21" s="2" t="s">
        <v>103</v>
      </c>
      <c r="B21" s="3" t="s">
        <v>25</v>
      </c>
      <c r="C21" s="4">
        <v>0</v>
      </c>
      <c r="D21" s="4">
        <v>0</v>
      </c>
      <c r="E21" s="4">
        <v>2.1021021021020998E-2</v>
      </c>
      <c r="F21" s="4">
        <v>1.88646288209607E-2</v>
      </c>
      <c r="G21" s="4">
        <v>5.1092117758784403E-2</v>
      </c>
      <c r="H21" s="4">
        <v>4.3231700913641598E-2</v>
      </c>
      <c r="I21" s="4">
        <v>3.4180738378721903E-2</v>
      </c>
      <c r="J21" s="15">
        <f t="shared" si="1"/>
        <v>0</v>
      </c>
      <c r="K21" s="15">
        <f t="shared" si="1"/>
        <v>0</v>
      </c>
      <c r="L21" s="15">
        <f t="shared" si="1"/>
        <v>2.1021021021021</v>
      </c>
      <c r="M21" s="15">
        <f t="shared" si="1"/>
        <v>1.88646288209607</v>
      </c>
      <c r="N21" s="15">
        <f t="shared" si="1"/>
        <v>5.1092117758784399</v>
      </c>
      <c r="O21" s="15">
        <f t="shared" si="2"/>
        <v>4.32317009136416</v>
      </c>
      <c r="P21" s="15">
        <f t="shared" si="2"/>
        <v>3.4180738378721904</v>
      </c>
    </row>
    <row r="22" spans="1:16" x14ac:dyDescent="0.3">
      <c r="A22" s="2" t="s">
        <v>103</v>
      </c>
      <c r="B22" s="3" t="s">
        <v>26</v>
      </c>
      <c r="C22" s="4">
        <v>2.69360269360269E-2</v>
      </c>
      <c r="D22" s="4">
        <v>0</v>
      </c>
      <c r="E22" s="4">
        <v>0</v>
      </c>
      <c r="F22" s="4">
        <v>0</v>
      </c>
      <c r="G22" s="4">
        <v>0</v>
      </c>
      <c r="H22" s="4">
        <v>4.4518106643855103E-2</v>
      </c>
      <c r="I22" s="4">
        <v>1.9658872517616902E-2</v>
      </c>
      <c r="J22" s="15">
        <f t="shared" si="1"/>
        <v>2.6936026936026902</v>
      </c>
      <c r="K22" s="15">
        <f t="shared" si="1"/>
        <v>0</v>
      </c>
      <c r="L22" s="15">
        <f t="shared" si="1"/>
        <v>0</v>
      </c>
      <c r="M22" s="15">
        <f t="shared" si="1"/>
        <v>0</v>
      </c>
      <c r="N22" s="15">
        <f t="shared" si="1"/>
        <v>0</v>
      </c>
      <c r="O22" s="15">
        <f t="shared" si="2"/>
        <v>4.4518106643855102</v>
      </c>
      <c r="P22" s="15">
        <f t="shared" si="2"/>
        <v>1.9658872517616901</v>
      </c>
    </row>
    <row r="23" spans="1:16" x14ac:dyDescent="0.3">
      <c r="A23" s="2" t="s">
        <v>103</v>
      </c>
      <c r="B23" s="3" t="s">
        <v>27</v>
      </c>
      <c r="C23" s="4">
        <v>0</v>
      </c>
      <c r="D23" s="4">
        <v>0</v>
      </c>
      <c r="E23" s="4">
        <v>0</v>
      </c>
      <c r="F23" s="4">
        <v>3.8339120370370402E-3</v>
      </c>
      <c r="G23" s="4">
        <v>1.0368663594469999E-2</v>
      </c>
      <c r="H23" s="4">
        <v>0</v>
      </c>
      <c r="I23" s="4">
        <v>3.5832267689684602E-3</v>
      </c>
      <c r="J23" s="15">
        <f t="shared" si="1"/>
        <v>0</v>
      </c>
      <c r="K23" s="15">
        <f t="shared" si="1"/>
        <v>0</v>
      </c>
      <c r="L23" s="15">
        <f t="shared" si="1"/>
        <v>0</v>
      </c>
      <c r="M23" s="15">
        <f t="shared" si="1"/>
        <v>0.383391203703704</v>
      </c>
      <c r="N23" s="15">
        <f t="shared" si="1"/>
        <v>1.036866359447</v>
      </c>
      <c r="O23" s="15">
        <f t="shared" si="2"/>
        <v>0</v>
      </c>
      <c r="P23" s="15">
        <f t="shared" si="2"/>
        <v>0.35832267689684605</v>
      </c>
    </row>
    <row r="24" spans="1:16" x14ac:dyDescent="0.3">
      <c r="A24" s="2" t="s">
        <v>103</v>
      </c>
      <c r="B24" s="3" t="s">
        <v>28</v>
      </c>
      <c r="C24" s="4">
        <v>0</v>
      </c>
      <c r="D24" s="4">
        <v>0</v>
      </c>
      <c r="E24" s="4">
        <v>8.4656084656084707E-2</v>
      </c>
      <c r="F24" s="4">
        <v>9.2006033182503805E-2</v>
      </c>
      <c r="G24" s="4">
        <v>0</v>
      </c>
      <c r="H24" s="4">
        <v>1.14465826144658E-2</v>
      </c>
      <c r="I24" s="4">
        <v>2.4078112895434E-2</v>
      </c>
      <c r="J24" s="15">
        <f t="shared" si="1"/>
        <v>0</v>
      </c>
      <c r="K24" s="15">
        <f t="shared" si="1"/>
        <v>0</v>
      </c>
      <c r="L24" s="15">
        <f t="shared" si="1"/>
        <v>8.4656084656084705</v>
      </c>
      <c r="M24" s="15">
        <f t="shared" si="1"/>
        <v>9.2006033182503799</v>
      </c>
      <c r="N24" s="15">
        <f t="shared" si="1"/>
        <v>0</v>
      </c>
      <c r="O24" s="15">
        <f t="shared" si="2"/>
        <v>1.1446582614465799</v>
      </c>
      <c r="P24" s="15">
        <f t="shared" si="2"/>
        <v>2.4078112895434001</v>
      </c>
    </row>
    <row r="25" spans="1:16" x14ac:dyDescent="0.3">
      <c r="A25" s="2" t="s">
        <v>103</v>
      </c>
      <c r="B25" s="3" t="s">
        <v>29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3.3835724738851797E-2</v>
      </c>
      <c r="I25" s="4">
        <v>1.15505202471461E-2</v>
      </c>
      <c r="J25" s="15">
        <f t="shared" si="1"/>
        <v>0</v>
      </c>
      <c r="K25" s="15">
        <f t="shared" si="1"/>
        <v>0</v>
      </c>
      <c r="L25" s="15">
        <f t="shared" si="1"/>
        <v>0</v>
      </c>
      <c r="M25" s="15">
        <f t="shared" si="1"/>
        <v>0</v>
      </c>
      <c r="N25" s="15">
        <f t="shared" si="1"/>
        <v>0</v>
      </c>
      <c r="O25" s="15">
        <f t="shared" si="2"/>
        <v>3.3835724738851796</v>
      </c>
      <c r="P25" s="15">
        <f t="shared" si="2"/>
        <v>1.1550520247146101</v>
      </c>
    </row>
    <row r="26" spans="1:16" x14ac:dyDescent="0.3">
      <c r="A26" s="2" t="s">
        <v>103</v>
      </c>
      <c r="B26" s="3" t="s">
        <v>30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2.6529890343119901E-2</v>
      </c>
      <c r="I26" s="4">
        <v>8.7637298434213601E-3</v>
      </c>
      <c r="J26" s="15">
        <f t="shared" si="1"/>
        <v>0</v>
      </c>
      <c r="K26" s="15">
        <f t="shared" si="1"/>
        <v>0</v>
      </c>
      <c r="L26" s="15">
        <f t="shared" si="1"/>
        <v>0</v>
      </c>
      <c r="M26" s="15">
        <f t="shared" si="1"/>
        <v>0</v>
      </c>
      <c r="N26" s="15">
        <f t="shared" si="1"/>
        <v>0</v>
      </c>
      <c r="O26" s="15">
        <f t="shared" si="2"/>
        <v>2.65298903431199</v>
      </c>
      <c r="P26" s="15">
        <f t="shared" si="2"/>
        <v>0.87637298434213606</v>
      </c>
    </row>
    <row r="27" spans="1:16" x14ac:dyDescent="0.3">
      <c r="A27" s="2" t="s">
        <v>103</v>
      </c>
      <c r="B27" s="3" t="s">
        <v>31</v>
      </c>
      <c r="C27" s="4">
        <v>0</v>
      </c>
      <c r="D27" s="4">
        <v>0</v>
      </c>
      <c r="E27" s="4">
        <v>4.3062200956937802E-2</v>
      </c>
      <c r="F27" s="4">
        <v>2.8467683369644201E-2</v>
      </c>
      <c r="G27" s="4">
        <v>9.8566308243727592E-3</v>
      </c>
      <c r="H27" s="4">
        <v>1.42217961009907E-2</v>
      </c>
      <c r="I27" s="4">
        <v>1.3105153912270099E-2</v>
      </c>
      <c r="J27" s="15">
        <f t="shared" si="1"/>
        <v>0</v>
      </c>
      <c r="K27" s="15">
        <f t="shared" si="1"/>
        <v>0</v>
      </c>
      <c r="L27" s="15">
        <f t="shared" si="1"/>
        <v>4.3062200956937797</v>
      </c>
      <c r="M27" s="15">
        <f t="shared" si="1"/>
        <v>2.8467683369644203</v>
      </c>
      <c r="N27" s="15">
        <f t="shared" si="1"/>
        <v>0.98566308243727596</v>
      </c>
      <c r="O27" s="15">
        <f t="shared" si="2"/>
        <v>1.42217961009907</v>
      </c>
      <c r="P27" s="15">
        <f t="shared" si="2"/>
        <v>1.31051539122701</v>
      </c>
    </row>
    <row r="28" spans="1:16" x14ac:dyDescent="0.3">
      <c r="A28" s="2" t="s">
        <v>103</v>
      </c>
      <c r="B28" s="3" t="s">
        <v>32</v>
      </c>
      <c r="C28" s="4">
        <v>0</v>
      </c>
      <c r="D28" s="4">
        <v>0</v>
      </c>
      <c r="E28" s="4">
        <v>7.0879120879120905E-2</v>
      </c>
      <c r="F28" s="4">
        <v>7.0717127459318699E-2</v>
      </c>
      <c r="G28" s="4">
        <v>1.9536019536019501E-2</v>
      </c>
      <c r="H28" s="4">
        <v>3.99066848342211E-2</v>
      </c>
      <c r="I28" s="4">
        <v>3.2501392336626203E-2</v>
      </c>
      <c r="J28" s="15">
        <f t="shared" si="1"/>
        <v>0</v>
      </c>
      <c r="K28" s="15">
        <f t="shared" si="1"/>
        <v>0</v>
      </c>
      <c r="L28" s="15">
        <f t="shared" si="1"/>
        <v>7.0879120879120903</v>
      </c>
      <c r="M28" s="15">
        <f t="shared" si="1"/>
        <v>7.0717127459318698</v>
      </c>
      <c r="N28" s="15">
        <f t="shared" si="1"/>
        <v>1.9536019536019502</v>
      </c>
      <c r="O28" s="15">
        <f t="shared" si="2"/>
        <v>3.9906684834221098</v>
      </c>
      <c r="P28" s="15">
        <f t="shared" si="2"/>
        <v>3.2501392336626203</v>
      </c>
    </row>
    <row r="29" spans="1:16" x14ac:dyDescent="0.3">
      <c r="A29" s="2" t="s">
        <v>103</v>
      </c>
      <c r="B29" s="3" t="s">
        <v>33</v>
      </c>
      <c r="C29" s="4">
        <v>0</v>
      </c>
      <c r="D29" s="4">
        <v>0</v>
      </c>
      <c r="E29" s="4">
        <v>0</v>
      </c>
      <c r="F29" s="4">
        <v>5.7673245021176902E-3</v>
      </c>
      <c r="G29" s="4">
        <v>6.9407770652583902E-3</v>
      </c>
      <c r="H29" s="4">
        <v>4.6491228070175403E-2</v>
      </c>
      <c r="I29" s="4">
        <v>1.85368967452301E-2</v>
      </c>
      <c r="J29" s="15">
        <f t="shared" si="1"/>
        <v>0</v>
      </c>
      <c r="K29" s="15">
        <f t="shared" si="1"/>
        <v>0</v>
      </c>
      <c r="L29" s="15">
        <f t="shared" si="1"/>
        <v>0</v>
      </c>
      <c r="M29" s="15">
        <f t="shared" si="1"/>
        <v>0.576732450211769</v>
      </c>
      <c r="N29" s="15">
        <f t="shared" si="1"/>
        <v>0.694077706525839</v>
      </c>
      <c r="O29" s="15">
        <f t="shared" si="2"/>
        <v>4.6491228070175401</v>
      </c>
      <c r="P29" s="15">
        <f t="shared" si="2"/>
        <v>1.85368967452301</v>
      </c>
    </row>
    <row r="30" spans="1:16" x14ac:dyDescent="0.3">
      <c r="A30" s="2" t="s">
        <v>103</v>
      </c>
      <c r="B30" s="3" t="s">
        <v>34</v>
      </c>
      <c r="C30" s="4">
        <v>0</v>
      </c>
      <c r="D30" s="4">
        <v>0</v>
      </c>
      <c r="E30" s="4">
        <v>0</v>
      </c>
      <c r="F30" s="4">
        <v>0</v>
      </c>
      <c r="G30" s="4">
        <v>4.6254399195575703E-2</v>
      </c>
      <c r="H30" s="4">
        <v>2.9343629343629302E-2</v>
      </c>
      <c r="I30" s="4">
        <v>2.38265002970885E-2</v>
      </c>
      <c r="J30" s="15">
        <f t="shared" si="1"/>
        <v>0</v>
      </c>
      <c r="K30" s="15">
        <f t="shared" si="1"/>
        <v>0</v>
      </c>
      <c r="L30" s="15">
        <f t="shared" si="1"/>
        <v>0</v>
      </c>
      <c r="M30" s="15">
        <f t="shared" si="1"/>
        <v>0</v>
      </c>
      <c r="N30" s="15">
        <f t="shared" si="1"/>
        <v>4.6254399195575706</v>
      </c>
      <c r="O30" s="15">
        <f t="shared" si="2"/>
        <v>2.9343629343629303</v>
      </c>
      <c r="P30" s="15">
        <f t="shared" si="2"/>
        <v>2.38265002970885</v>
      </c>
    </row>
    <row r="31" spans="1:16" x14ac:dyDescent="0.3">
      <c r="A31" s="2" t="s">
        <v>103</v>
      </c>
      <c r="B31" s="3" t="s">
        <v>35</v>
      </c>
      <c r="C31" s="4">
        <v>0</v>
      </c>
      <c r="D31" s="4">
        <v>0</v>
      </c>
      <c r="E31" s="4">
        <v>5.5401662049861501E-2</v>
      </c>
      <c r="F31" s="4">
        <v>6.0808080808080797E-2</v>
      </c>
      <c r="G31" s="4">
        <v>1.19565217391304E-2</v>
      </c>
      <c r="H31" s="4">
        <v>0</v>
      </c>
      <c r="I31" s="4">
        <v>1.38346923647146E-2</v>
      </c>
      <c r="J31" s="15">
        <f t="shared" si="1"/>
        <v>0</v>
      </c>
      <c r="K31" s="15">
        <f t="shared" si="1"/>
        <v>0</v>
      </c>
      <c r="L31" s="15">
        <f t="shared" si="1"/>
        <v>5.54016620498615</v>
      </c>
      <c r="M31" s="15">
        <f t="shared" si="1"/>
        <v>6.0808080808080796</v>
      </c>
      <c r="N31" s="15">
        <f t="shared" si="1"/>
        <v>1.1956521739130401</v>
      </c>
      <c r="O31" s="15">
        <f t="shared" si="2"/>
        <v>0</v>
      </c>
      <c r="P31" s="15">
        <f t="shared" si="2"/>
        <v>1.38346923647146</v>
      </c>
    </row>
    <row r="32" spans="1:16" x14ac:dyDescent="0.3">
      <c r="A32" s="2" t="s">
        <v>103</v>
      </c>
      <c r="B32" s="3" t="s">
        <v>36</v>
      </c>
      <c r="C32" s="4">
        <v>7.9365079365079402E-2</v>
      </c>
      <c r="D32" s="4">
        <v>0</v>
      </c>
      <c r="E32" s="4">
        <v>7.3529411764705899E-2</v>
      </c>
      <c r="F32" s="4">
        <v>4.0516206482592999E-2</v>
      </c>
      <c r="G32" s="4">
        <v>0</v>
      </c>
      <c r="H32" s="4">
        <v>6.6243833685694198E-2</v>
      </c>
      <c r="I32" s="4">
        <v>3.8476102747085503E-2</v>
      </c>
      <c r="J32" s="15">
        <f t="shared" si="1"/>
        <v>7.9365079365079403</v>
      </c>
      <c r="K32" s="15">
        <f t="shared" si="1"/>
        <v>0</v>
      </c>
      <c r="L32" s="15">
        <f t="shared" si="1"/>
        <v>7.3529411764705896</v>
      </c>
      <c r="M32" s="15">
        <f t="shared" si="1"/>
        <v>4.0516206482593002</v>
      </c>
      <c r="N32" s="15">
        <f t="shared" si="1"/>
        <v>0</v>
      </c>
      <c r="O32" s="15">
        <f t="shared" si="2"/>
        <v>6.6243833685694202</v>
      </c>
      <c r="P32" s="15">
        <f t="shared" si="2"/>
        <v>3.8476102747085501</v>
      </c>
    </row>
    <row r="33" spans="1:16" x14ac:dyDescent="0.3">
      <c r="A33" s="2" t="s">
        <v>103</v>
      </c>
      <c r="B33" s="3" t="s">
        <v>37</v>
      </c>
      <c r="C33" s="4">
        <v>0</v>
      </c>
      <c r="D33" s="4">
        <v>0</v>
      </c>
      <c r="E33" s="4">
        <v>6.3636363636363602E-2</v>
      </c>
      <c r="F33" s="4">
        <v>0.05</v>
      </c>
      <c r="G33" s="4">
        <v>0.11325607766131</v>
      </c>
      <c r="H33" s="4">
        <v>0</v>
      </c>
      <c r="I33" s="4">
        <v>4.5380043376765301E-2</v>
      </c>
      <c r="J33" s="15">
        <f t="shared" si="1"/>
        <v>0</v>
      </c>
      <c r="K33" s="15">
        <f t="shared" si="1"/>
        <v>0</v>
      </c>
      <c r="L33" s="15">
        <f t="shared" si="1"/>
        <v>6.3636363636363598</v>
      </c>
      <c r="M33" s="15">
        <f t="shared" si="1"/>
        <v>5</v>
      </c>
      <c r="N33" s="15">
        <f t="shared" si="1"/>
        <v>11.325607766131</v>
      </c>
      <c r="O33" s="15">
        <f t="shared" si="2"/>
        <v>0</v>
      </c>
      <c r="P33" s="15">
        <f t="shared" si="2"/>
        <v>4.5380043376765302</v>
      </c>
    </row>
    <row r="34" spans="1:16" x14ac:dyDescent="0.3">
      <c r="A34" s="2" t="s">
        <v>103</v>
      </c>
      <c r="B34" s="3" t="s">
        <v>38</v>
      </c>
      <c r="C34" s="4">
        <v>4.5893719806763301E-2</v>
      </c>
      <c r="D34" s="4">
        <v>0</v>
      </c>
      <c r="E34" s="4">
        <v>9.0225563909774403E-2</v>
      </c>
      <c r="F34" s="4">
        <v>7.3911949685534606E-2</v>
      </c>
      <c r="G34" s="4">
        <v>7.4158730158730202E-2</v>
      </c>
      <c r="H34" s="4">
        <v>5.7165861513687598E-2</v>
      </c>
      <c r="I34" s="4">
        <v>6.2091000323373703E-2</v>
      </c>
      <c r="J34" s="15">
        <f t="shared" si="1"/>
        <v>4.5893719806763302</v>
      </c>
      <c r="K34" s="15">
        <f t="shared" si="1"/>
        <v>0</v>
      </c>
      <c r="L34" s="15">
        <f t="shared" si="1"/>
        <v>9.0225563909774404</v>
      </c>
      <c r="M34" s="15">
        <f t="shared" si="1"/>
        <v>7.3911949685534601</v>
      </c>
      <c r="N34" s="15">
        <f t="shared" si="1"/>
        <v>7.4158730158730197</v>
      </c>
      <c r="O34" s="15">
        <f t="shared" si="2"/>
        <v>5.7165861513687597</v>
      </c>
      <c r="P34" s="15">
        <f t="shared" si="2"/>
        <v>6.2091000323373704</v>
      </c>
    </row>
    <row r="35" spans="1:16" x14ac:dyDescent="0.3">
      <c r="A35" s="2" t="s">
        <v>103</v>
      </c>
      <c r="B35" s="3" t="s">
        <v>39</v>
      </c>
      <c r="C35" s="4">
        <v>5.56818181818182E-2</v>
      </c>
      <c r="D35" s="4">
        <v>0</v>
      </c>
      <c r="E35" s="4">
        <v>0.133333333333333</v>
      </c>
      <c r="F35" s="4">
        <v>8.2491582491582505E-2</v>
      </c>
      <c r="G35" s="4">
        <v>1.0974610974611001E-2</v>
      </c>
      <c r="H35" s="4">
        <v>8.1068524970964007E-2</v>
      </c>
      <c r="I35" s="4">
        <v>5.66055189170767E-2</v>
      </c>
      <c r="J35" s="15">
        <f t="shared" si="1"/>
        <v>5.5681818181818201</v>
      </c>
      <c r="K35" s="15">
        <f t="shared" si="1"/>
        <v>0</v>
      </c>
      <c r="L35" s="15">
        <f t="shared" si="1"/>
        <v>13.3333333333333</v>
      </c>
      <c r="M35" s="15">
        <f t="shared" si="1"/>
        <v>8.2491582491582509</v>
      </c>
      <c r="N35" s="15">
        <f t="shared" si="1"/>
        <v>1.0974610974611001</v>
      </c>
      <c r="O35" s="15">
        <f t="shared" si="2"/>
        <v>8.1068524970964013</v>
      </c>
      <c r="P35" s="15">
        <f t="shared" si="2"/>
        <v>5.6605518917076703</v>
      </c>
    </row>
    <row r="36" spans="1:16" x14ac:dyDescent="0.3">
      <c r="A36" s="2" t="s">
        <v>103</v>
      </c>
      <c r="B36" s="3" t="s">
        <v>40</v>
      </c>
      <c r="C36" s="4">
        <v>0.13952380952380999</v>
      </c>
      <c r="D36" s="4">
        <v>0.16521739130434801</v>
      </c>
      <c r="E36" s="4">
        <v>4.4730392156862697E-2</v>
      </c>
      <c r="F36" s="4">
        <v>3.09278350515464E-2</v>
      </c>
      <c r="G36" s="4">
        <v>0.103468208092486</v>
      </c>
      <c r="H36" s="4">
        <v>7.5845333211236002E-2</v>
      </c>
      <c r="I36" s="4">
        <v>8.6227971006006196E-2</v>
      </c>
      <c r="J36" s="15">
        <f t="shared" si="1"/>
        <v>13.952380952380999</v>
      </c>
      <c r="K36" s="15">
        <f t="shared" si="1"/>
        <v>16.521739130434803</v>
      </c>
      <c r="L36" s="15">
        <f t="shared" si="1"/>
        <v>4.4730392156862697</v>
      </c>
      <c r="M36" s="15">
        <f t="shared" si="1"/>
        <v>3.0927835051546402</v>
      </c>
      <c r="N36" s="15">
        <f t="shared" si="1"/>
        <v>10.3468208092486</v>
      </c>
      <c r="O36" s="15">
        <f t="shared" si="2"/>
        <v>7.5845333211236001</v>
      </c>
      <c r="P36" s="15">
        <f t="shared" si="2"/>
        <v>8.6227971006006197</v>
      </c>
    </row>
    <row r="37" spans="1:16" x14ac:dyDescent="0.3">
      <c r="A37" s="2" t="s">
        <v>103</v>
      </c>
      <c r="B37" s="3" t="s">
        <v>41</v>
      </c>
      <c r="C37" s="4">
        <v>3.5087719298245598E-2</v>
      </c>
      <c r="D37" s="4">
        <v>0.238095238095238</v>
      </c>
      <c r="E37" s="4">
        <v>0.13636363636363599</v>
      </c>
      <c r="F37" s="4">
        <v>0.04</v>
      </c>
      <c r="G37" s="4">
        <v>0.115699356566049</v>
      </c>
      <c r="H37" s="4">
        <v>0.15185439560439601</v>
      </c>
      <c r="I37" s="4">
        <v>0.110175228013216</v>
      </c>
      <c r="J37" s="15">
        <f t="shared" si="1"/>
        <v>3.5087719298245599</v>
      </c>
      <c r="K37" s="15">
        <f t="shared" si="1"/>
        <v>23.8095238095238</v>
      </c>
      <c r="L37" s="15">
        <f t="shared" si="1"/>
        <v>13.636363636363599</v>
      </c>
      <c r="M37" s="15">
        <f t="shared" si="1"/>
        <v>4</v>
      </c>
      <c r="N37" s="15">
        <f t="shared" si="1"/>
        <v>11.569935656604899</v>
      </c>
      <c r="O37" s="15">
        <f t="shared" si="2"/>
        <v>15.185439560439601</v>
      </c>
      <c r="P37" s="15">
        <f t="shared" si="2"/>
        <v>11.017522801321601</v>
      </c>
    </row>
    <row r="38" spans="1:16" x14ac:dyDescent="0.3">
      <c r="A38" s="2" t="s">
        <v>103</v>
      </c>
      <c r="B38" s="3" t="s">
        <v>42</v>
      </c>
      <c r="C38" s="4">
        <v>0</v>
      </c>
      <c r="D38" s="4">
        <v>0</v>
      </c>
      <c r="E38" s="4">
        <v>0.148538011695906</v>
      </c>
      <c r="F38" s="4">
        <v>0.13379688445251101</v>
      </c>
      <c r="G38" s="4">
        <v>0.13959447415329801</v>
      </c>
      <c r="H38" s="4">
        <v>0.122553636839351</v>
      </c>
      <c r="I38" s="4">
        <v>0.11442628166376</v>
      </c>
      <c r="J38" s="15">
        <f t="shared" si="1"/>
        <v>0</v>
      </c>
      <c r="K38" s="15">
        <f t="shared" si="1"/>
        <v>0</v>
      </c>
      <c r="L38" s="15">
        <f t="shared" si="1"/>
        <v>14.8538011695906</v>
      </c>
      <c r="M38" s="15">
        <f t="shared" si="1"/>
        <v>13.3796884452511</v>
      </c>
      <c r="N38" s="15">
        <f t="shared" si="1"/>
        <v>13.959447415329802</v>
      </c>
      <c r="O38" s="15">
        <f t="shared" si="2"/>
        <v>12.2553636839351</v>
      </c>
      <c r="P38" s="15">
        <f t="shared" si="2"/>
        <v>11.442628166376</v>
      </c>
    </row>
    <row r="39" spans="1:16" x14ac:dyDescent="0.3">
      <c r="A39" s="2" t="s">
        <v>103</v>
      </c>
      <c r="B39" s="3" t="s">
        <v>43</v>
      </c>
      <c r="C39" s="4">
        <v>0</v>
      </c>
      <c r="D39" s="4">
        <v>0</v>
      </c>
      <c r="E39" s="4">
        <v>6.6666666666666693E-2</v>
      </c>
      <c r="F39" s="4">
        <v>7.5641025641025594E-2</v>
      </c>
      <c r="G39" s="4">
        <v>0.13582614253755201</v>
      </c>
      <c r="H39" s="4">
        <v>0.13696369636963701</v>
      </c>
      <c r="I39" s="4">
        <v>0.104960714626142</v>
      </c>
      <c r="J39" s="15">
        <f t="shared" si="1"/>
        <v>0</v>
      </c>
      <c r="K39" s="15">
        <f t="shared" si="1"/>
        <v>0</v>
      </c>
      <c r="L39" s="15">
        <f t="shared" si="1"/>
        <v>6.6666666666666696</v>
      </c>
      <c r="M39" s="15">
        <f t="shared" si="1"/>
        <v>7.5641025641025594</v>
      </c>
      <c r="N39" s="15">
        <f t="shared" si="1"/>
        <v>13.582614253755201</v>
      </c>
      <c r="O39" s="15">
        <f t="shared" si="2"/>
        <v>13.696369636963702</v>
      </c>
      <c r="P39" s="15">
        <f t="shared" si="2"/>
        <v>10.4960714626142</v>
      </c>
    </row>
    <row r="40" spans="1:16" x14ac:dyDescent="0.3">
      <c r="A40" s="2" t="s">
        <v>103</v>
      </c>
      <c r="B40" s="3" t="s">
        <v>44</v>
      </c>
      <c r="C40" s="4">
        <v>0</v>
      </c>
      <c r="D40" s="4">
        <v>0</v>
      </c>
      <c r="E40" s="4">
        <v>0</v>
      </c>
      <c r="F40" s="4">
        <v>1.43281495719028E-2</v>
      </c>
      <c r="G40" s="4">
        <v>9.9435028248587604E-2</v>
      </c>
      <c r="H40" s="4">
        <v>0.107137907137907</v>
      </c>
      <c r="I40" s="4">
        <v>6.9209404752774595E-2</v>
      </c>
      <c r="J40" s="15">
        <f t="shared" si="1"/>
        <v>0</v>
      </c>
      <c r="K40" s="15">
        <f t="shared" si="1"/>
        <v>0</v>
      </c>
      <c r="L40" s="15">
        <f t="shared" si="1"/>
        <v>0</v>
      </c>
      <c r="M40" s="15">
        <f t="shared" si="1"/>
        <v>1.43281495719028</v>
      </c>
      <c r="N40" s="15">
        <f t="shared" si="1"/>
        <v>9.9435028248587596</v>
      </c>
      <c r="O40" s="15">
        <f t="shared" si="2"/>
        <v>10.713790713790699</v>
      </c>
      <c r="P40" s="15">
        <f t="shared" si="2"/>
        <v>6.9209404752774599</v>
      </c>
    </row>
    <row r="41" spans="1:16" x14ac:dyDescent="0.3">
      <c r="A41" s="2" t="s">
        <v>103</v>
      </c>
      <c r="B41" s="3" t="s">
        <v>45</v>
      </c>
      <c r="C41" s="4">
        <v>6.7340067340067394E-2</v>
      </c>
      <c r="D41" s="4">
        <v>0.17307692307692299</v>
      </c>
      <c r="E41" s="4">
        <v>0.10312499999999999</v>
      </c>
      <c r="F41" s="4">
        <v>5.6451612903225798E-2</v>
      </c>
      <c r="G41" s="4">
        <v>0.12857353374594799</v>
      </c>
      <c r="H41" s="4">
        <v>0.18194762267988801</v>
      </c>
      <c r="I41" s="4">
        <v>0.132392056056653</v>
      </c>
      <c r="J41" s="15">
        <f t="shared" si="1"/>
        <v>6.7340067340067398</v>
      </c>
      <c r="K41" s="15">
        <f t="shared" si="1"/>
        <v>17.307692307692299</v>
      </c>
      <c r="L41" s="15">
        <f t="shared" si="1"/>
        <v>10.3125</v>
      </c>
      <c r="M41" s="15">
        <f t="shared" si="1"/>
        <v>5.6451612903225801</v>
      </c>
      <c r="N41" s="15">
        <f t="shared" si="1"/>
        <v>12.857353374594799</v>
      </c>
      <c r="O41" s="15">
        <f t="shared" si="2"/>
        <v>18.1947622679888</v>
      </c>
      <c r="P41" s="15">
        <f t="shared" si="2"/>
        <v>13.239205605665299</v>
      </c>
    </row>
    <row r="42" spans="1:16" x14ac:dyDescent="0.3">
      <c r="A42" s="2" t="s">
        <v>103</v>
      </c>
      <c r="B42" s="3" t="s">
        <v>46</v>
      </c>
      <c r="C42" s="4">
        <v>0.28205128205128199</v>
      </c>
      <c r="D42" s="4">
        <v>0</v>
      </c>
      <c r="E42" s="4">
        <v>0.23611111111111099</v>
      </c>
      <c r="F42" s="4">
        <v>0.17949907235621501</v>
      </c>
      <c r="G42" s="4">
        <v>0.21541753411982401</v>
      </c>
      <c r="H42" s="4">
        <v>0.19265756985055199</v>
      </c>
      <c r="I42" s="4">
        <v>0.20186114390659801</v>
      </c>
      <c r="J42" s="15">
        <f t="shared" si="1"/>
        <v>28.205128205128201</v>
      </c>
      <c r="K42" s="15">
        <f t="shared" si="1"/>
        <v>0</v>
      </c>
      <c r="L42" s="15">
        <f t="shared" si="1"/>
        <v>23.6111111111111</v>
      </c>
      <c r="M42" s="15">
        <f t="shared" si="1"/>
        <v>17.949907235621502</v>
      </c>
      <c r="N42" s="15">
        <f t="shared" si="1"/>
        <v>21.541753411982402</v>
      </c>
      <c r="O42" s="15">
        <f t="shared" si="2"/>
        <v>19.265756985055198</v>
      </c>
      <c r="P42" s="15">
        <f t="shared" si="2"/>
        <v>20.1861143906598</v>
      </c>
    </row>
    <row r="43" spans="1:16" x14ac:dyDescent="0.3">
      <c r="A43" s="2" t="s">
        <v>103</v>
      </c>
      <c r="B43" s="3" t="s">
        <v>47</v>
      </c>
      <c r="C43" s="4">
        <v>0.39705882352941202</v>
      </c>
      <c r="D43" s="4">
        <v>0</v>
      </c>
      <c r="E43" s="4">
        <v>0</v>
      </c>
      <c r="F43" s="4">
        <v>1.07131925313743E-2</v>
      </c>
      <c r="G43" s="4">
        <v>9.6137780348306695E-2</v>
      </c>
      <c r="H43" s="4">
        <v>0.223770983213429</v>
      </c>
      <c r="I43" s="4">
        <v>0.136915007230235</v>
      </c>
      <c r="J43" s="15">
        <f t="shared" si="1"/>
        <v>39.705882352941202</v>
      </c>
      <c r="K43" s="15">
        <f t="shared" si="1"/>
        <v>0</v>
      </c>
      <c r="L43" s="15">
        <f t="shared" si="1"/>
        <v>0</v>
      </c>
      <c r="M43" s="15">
        <f t="shared" si="1"/>
        <v>1.07131925313743</v>
      </c>
      <c r="N43" s="15">
        <f t="shared" si="1"/>
        <v>9.6137780348306698</v>
      </c>
      <c r="O43" s="15">
        <f t="shared" si="2"/>
        <v>22.377098321342899</v>
      </c>
      <c r="P43" s="15">
        <f t="shared" si="2"/>
        <v>13.6915007230235</v>
      </c>
    </row>
    <row r="44" spans="1:16" x14ac:dyDescent="0.3">
      <c r="A44" s="2" t="s">
        <v>103</v>
      </c>
      <c r="B44" s="3" t="s">
        <v>48</v>
      </c>
      <c r="C44" s="4">
        <v>0.10344827586206901</v>
      </c>
      <c r="D44" s="4">
        <v>0</v>
      </c>
      <c r="E44" s="4">
        <v>0.135076252723312</v>
      </c>
      <c r="F44" s="4">
        <v>0.20345053914674199</v>
      </c>
      <c r="G44" s="4">
        <v>0.16067146282973599</v>
      </c>
      <c r="H44" s="4">
        <v>6.4495530012771404E-2</v>
      </c>
      <c r="I44" s="4">
        <v>0.121091658885777</v>
      </c>
      <c r="J44" s="15">
        <f t="shared" si="1"/>
        <v>10.3448275862069</v>
      </c>
      <c r="K44" s="15">
        <f t="shared" si="1"/>
        <v>0</v>
      </c>
      <c r="L44" s="15">
        <f t="shared" si="1"/>
        <v>13.5076252723312</v>
      </c>
      <c r="M44" s="15">
        <f t="shared" si="1"/>
        <v>20.3450539146742</v>
      </c>
      <c r="N44" s="15">
        <f t="shared" si="1"/>
        <v>16.067146282973599</v>
      </c>
      <c r="O44" s="15">
        <f t="shared" si="2"/>
        <v>6.44955300127714</v>
      </c>
      <c r="P44" s="15">
        <f t="shared" si="2"/>
        <v>12.109165888577699</v>
      </c>
    </row>
    <row r="45" spans="1:16" x14ac:dyDescent="0.3">
      <c r="A45" s="2" t="s">
        <v>103</v>
      </c>
      <c r="B45" s="3" t="s">
        <v>49</v>
      </c>
      <c r="C45" s="4">
        <v>0.32727272727272699</v>
      </c>
      <c r="D45" s="4">
        <v>0</v>
      </c>
      <c r="E45" s="4">
        <v>0</v>
      </c>
      <c r="F45" s="4">
        <v>2.1544621544621501E-2</v>
      </c>
      <c r="G45" s="4">
        <v>0.32676049795614998</v>
      </c>
      <c r="H45" s="4">
        <v>0.320283762480294</v>
      </c>
      <c r="I45" s="4">
        <v>0.25430820872801901</v>
      </c>
      <c r="J45" s="15">
        <f t="shared" si="1"/>
        <v>32.727272727272698</v>
      </c>
      <c r="K45" s="15">
        <f t="shared" si="1"/>
        <v>0</v>
      </c>
      <c r="L45" s="15">
        <f t="shared" si="1"/>
        <v>0</v>
      </c>
      <c r="M45" s="15">
        <f t="shared" si="1"/>
        <v>2.1544621544621503</v>
      </c>
      <c r="N45" s="15">
        <f t="shared" si="1"/>
        <v>32.676049795615</v>
      </c>
      <c r="O45" s="15">
        <f t="shared" si="2"/>
        <v>32.028376248029403</v>
      </c>
      <c r="P45" s="15">
        <f t="shared" si="2"/>
        <v>25.430820872801903</v>
      </c>
    </row>
    <row r="46" spans="1:16" x14ac:dyDescent="0.3">
      <c r="A46" s="2" t="s">
        <v>103</v>
      </c>
      <c r="B46" s="3" t="s">
        <v>50</v>
      </c>
      <c r="C46" s="4">
        <v>0</v>
      </c>
      <c r="D46" s="4">
        <v>0</v>
      </c>
      <c r="E46" s="4">
        <v>0.13888888888888901</v>
      </c>
      <c r="F46" s="4">
        <v>9.6292729898892607E-2</v>
      </c>
      <c r="G46" s="4">
        <v>0.163428923835954</v>
      </c>
      <c r="H46" s="4">
        <v>0.125399042298484</v>
      </c>
      <c r="I46" s="4">
        <v>0.12512412935527101</v>
      </c>
      <c r="J46" s="15">
        <f t="shared" si="1"/>
        <v>0</v>
      </c>
      <c r="K46" s="15">
        <f t="shared" si="1"/>
        <v>0</v>
      </c>
      <c r="L46" s="15">
        <f t="shared" si="1"/>
        <v>13.8888888888889</v>
      </c>
      <c r="M46" s="15">
        <f t="shared" si="1"/>
        <v>9.6292729898892606</v>
      </c>
      <c r="N46" s="15">
        <f t="shared" si="1"/>
        <v>16.342892383595402</v>
      </c>
      <c r="O46" s="15">
        <f t="shared" si="2"/>
        <v>12.5399042298484</v>
      </c>
      <c r="P46" s="15">
        <f t="shared" si="2"/>
        <v>12.512412935527101</v>
      </c>
    </row>
    <row r="47" spans="1:16" x14ac:dyDescent="0.3">
      <c r="A47" s="2" t="s">
        <v>103</v>
      </c>
      <c r="B47" s="3" t="s">
        <v>51</v>
      </c>
      <c r="C47" s="4">
        <v>0.256410256410256</v>
      </c>
      <c r="D47" s="4">
        <v>0</v>
      </c>
      <c r="E47" s="4">
        <v>0.21825396825396801</v>
      </c>
      <c r="F47" s="4">
        <v>0.200252312867956</v>
      </c>
      <c r="G47" s="4">
        <v>0.12</v>
      </c>
      <c r="H47" s="4">
        <v>0.26596023024594501</v>
      </c>
      <c r="I47" s="4">
        <v>0.208617099031667</v>
      </c>
      <c r="J47" s="15">
        <f t="shared" si="1"/>
        <v>25.6410256410256</v>
      </c>
      <c r="K47" s="15">
        <f t="shared" si="1"/>
        <v>0</v>
      </c>
      <c r="L47" s="15">
        <f t="shared" si="1"/>
        <v>21.825396825396801</v>
      </c>
      <c r="M47" s="15">
        <f t="shared" si="1"/>
        <v>20.025231286795599</v>
      </c>
      <c r="N47" s="15">
        <f t="shared" si="1"/>
        <v>12</v>
      </c>
      <c r="O47" s="15">
        <f t="shared" si="2"/>
        <v>26.596023024594501</v>
      </c>
      <c r="P47" s="15">
        <f t="shared" si="2"/>
        <v>20.861709903166702</v>
      </c>
    </row>
    <row r="48" spans="1:16" x14ac:dyDescent="0.3">
      <c r="A48" s="2" t="s">
        <v>103</v>
      </c>
      <c r="B48" s="3" t="s">
        <v>52</v>
      </c>
      <c r="C48" s="4">
        <v>0</v>
      </c>
      <c r="D48" s="4">
        <v>1</v>
      </c>
      <c r="E48" s="4">
        <v>0.123529411764706</v>
      </c>
      <c r="F48" s="4">
        <v>0.14564666103127599</v>
      </c>
      <c r="G48" s="4">
        <v>0.22050851832731</v>
      </c>
      <c r="H48" s="4">
        <v>0.178781702898551</v>
      </c>
      <c r="I48" s="4">
        <v>0.184738471130692</v>
      </c>
      <c r="J48" s="15">
        <f t="shared" si="1"/>
        <v>0</v>
      </c>
      <c r="K48" s="15">
        <f t="shared" si="1"/>
        <v>100</v>
      </c>
      <c r="L48" s="15">
        <f t="shared" si="1"/>
        <v>12.352941176470599</v>
      </c>
      <c r="M48" s="15">
        <f t="shared" si="1"/>
        <v>14.5646661031276</v>
      </c>
      <c r="N48" s="15">
        <f t="shared" si="1"/>
        <v>22.050851832730999</v>
      </c>
      <c r="O48" s="15">
        <f t="shared" si="2"/>
        <v>17.878170289855099</v>
      </c>
      <c r="P48" s="15">
        <f t="shared" si="2"/>
        <v>18.473847113069201</v>
      </c>
    </row>
    <row r="49" spans="1:16" x14ac:dyDescent="0.3">
      <c r="A49" s="2" t="s">
        <v>103</v>
      </c>
      <c r="B49" s="3" t="s">
        <v>53</v>
      </c>
      <c r="C49" s="4">
        <v>0</v>
      </c>
      <c r="D49" s="4">
        <v>0</v>
      </c>
      <c r="E49" s="4">
        <v>8.5714285714285701E-2</v>
      </c>
      <c r="F49" s="4">
        <v>0.16594129554655901</v>
      </c>
      <c r="G49" s="4">
        <v>0.146708683473389</v>
      </c>
      <c r="H49" s="4">
        <v>0.33426005132592002</v>
      </c>
      <c r="I49" s="4">
        <v>0.20934138284589801</v>
      </c>
      <c r="J49" s="15">
        <f t="shared" si="1"/>
        <v>0</v>
      </c>
      <c r="K49" s="15">
        <f t="shared" si="1"/>
        <v>0</v>
      </c>
      <c r="L49" s="15">
        <f t="shared" si="1"/>
        <v>8.5714285714285694</v>
      </c>
      <c r="M49" s="15">
        <f t="shared" si="1"/>
        <v>16.5941295546559</v>
      </c>
      <c r="N49" s="15">
        <f t="shared" si="1"/>
        <v>14.670868347338899</v>
      </c>
      <c r="O49" s="15">
        <f t="shared" si="2"/>
        <v>33.426005132592003</v>
      </c>
      <c r="P49" s="15">
        <f t="shared" si="2"/>
        <v>20.9341382845898</v>
      </c>
    </row>
    <row r="50" spans="1:16" x14ac:dyDescent="0.3">
      <c r="A50" s="2" t="s">
        <v>103</v>
      </c>
      <c r="B50" s="3" t="s">
        <v>54</v>
      </c>
      <c r="C50" s="4">
        <v>0</v>
      </c>
      <c r="D50" s="4">
        <v>0</v>
      </c>
      <c r="E50" s="4">
        <v>0</v>
      </c>
      <c r="F50" s="4">
        <v>2.1505376344085999E-2</v>
      </c>
      <c r="G50" s="4">
        <v>0.188924943938794</v>
      </c>
      <c r="H50" s="4">
        <v>0.18081761006289301</v>
      </c>
      <c r="I50" s="4">
        <v>0.12919485237547601</v>
      </c>
      <c r="J50" s="15">
        <f t="shared" si="1"/>
        <v>0</v>
      </c>
      <c r="K50" s="15">
        <f t="shared" si="1"/>
        <v>0</v>
      </c>
      <c r="L50" s="15">
        <f t="shared" si="1"/>
        <v>0</v>
      </c>
      <c r="M50" s="15">
        <f t="shared" si="1"/>
        <v>2.1505376344085998</v>
      </c>
      <c r="N50" s="15">
        <f t="shared" si="1"/>
        <v>18.892494393879399</v>
      </c>
      <c r="O50" s="15">
        <f t="shared" si="2"/>
        <v>18.081761006289302</v>
      </c>
      <c r="P50" s="15">
        <f t="shared" si="2"/>
        <v>12.919485237547601</v>
      </c>
    </row>
    <row r="51" spans="1:16" x14ac:dyDescent="0.3">
      <c r="A51" s="2" t="s">
        <v>103</v>
      </c>
      <c r="B51" s="3" t="s">
        <v>55</v>
      </c>
      <c r="C51" s="4">
        <v>0</v>
      </c>
      <c r="D51" s="4">
        <v>0</v>
      </c>
      <c r="E51" s="4">
        <v>0.1</v>
      </c>
      <c r="F51" s="4">
        <v>7.6377523186033802E-2</v>
      </c>
      <c r="G51" s="4">
        <v>0.32648287385129499</v>
      </c>
      <c r="H51" s="4">
        <v>0.11111111111111099</v>
      </c>
      <c r="I51" s="4">
        <v>0.16205945819135401</v>
      </c>
      <c r="J51" s="15">
        <f t="shared" si="1"/>
        <v>0</v>
      </c>
      <c r="K51" s="15">
        <f t="shared" si="1"/>
        <v>0</v>
      </c>
      <c r="L51" s="15">
        <f t="shared" si="1"/>
        <v>10</v>
      </c>
      <c r="M51" s="15">
        <f t="shared" si="1"/>
        <v>7.63775231860338</v>
      </c>
      <c r="N51" s="15">
        <f t="shared" si="1"/>
        <v>32.6482873851295</v>
      </c>
      <c r="O51" s="15">
        <f t="shared" si="2"/>
        <v>11.1111111111111</v>
      </c>
      <c r="P51" s="15">
        <f t="shared" si="2"/>
        <v>16.205945819135401</v>
      </c>
    </row>
    <row r="52" spans="1:16" x14ac:dyDescent="0.3">
      <c r="A52" s="2" t="s">
        <v>103</v>
      </c>
      <c r="B52" s="3" t="s">
        <v>56</v>
      </c>
      <c r="C52" s="4">
        <v>0</v>
      </c>
      <c r="D52" s="4">
        <v>0</v>
      </c>
      <c r="E52" s="4">
        <v>0</v>
      </c>
      <c r="F52" s="4">
        <v>3.71855905836488E-2</v>
      </c>
      <c r="G52" s="4">
        <v>0.165974025974026</v>
      </c>
      <c r="H52" s="4">
        <v>0.385315040650407</v>
      </c>
      <c r="I52" s="4">
        <v>0.17402590694883899</v>
      </c>
      <c r="J52" s="15">
        <f t="shared" si="1"/>
        <v>0</v>
      </c>
      <c r="K52" s="15">
        <f t="shared" si="1"/>
        <v>0</v>
      </c>
      <c r="L52" s="15">
        <f t="shared" si="1"/>
        <v>0</v>
      </c>
      <c r="M52" s="15">
        <f t="shared" si="1"/>
        <v>3.71855905836488</v>
      </c>
      <c r="N52" s="15">
        <f t="shared" si="1"/>
        <v>16.597402597402599</v>
      </c>
      <c r="O52" s="15">
        <f t="shared" si="2"/>
        <v>38.5315040650407</v>
      </c>
      <c r="P52" s="15">
        <f t="shared" si="2"/>
        <v>17.402590694883898</v>
      </c>
    </row>
    <row r="53" spans="1:16" x14ac:dyDescent="0.3">
      <c r="A53" s="2" t="s">
        <v>103</v>
      </c>
      <c r="B53" s="3" t="s">
        <v>57</v>
      </c>
      <c r="C53" s="4">
        <v>0</v>
      </c>
      <c r="D53" s="4">
        <v>0.15</v>
      </c>
      <c r="E53" s="4">
        <v>0.31578947368421101</v>
      </c>
      <c r="F53" s="4">
        <v>0.209649122807018</v>
      </c>
      <c r="G53" s="4">
        <v>0.154891304347826</v>
      </c>
      <c r="H53" s="4">
        <v>0.223273415326395</v>
      </c>
      <c r="I53" s="4">
        <v>0.171422343892185</v>
      </c>
      <c r="J53" s="15">
        <f t="shared" si="1"/>
        <v>0</v>
      </c>
      <c r="K53" s="15">
        <f t="shared" si="1"/>
        <v>15</v>
      </c>
      <c r="L53" s="15">
        <f t="shared" si="1"/>
        <v>31.578947368421101</v>
      </c>
      <c r="M53" s="15">
        <f t="shared" si="1"/>
        <v>20.9649122807018</v>
      </c>
      <c r="N53" s="15">
        <f t="shared" si="1"/>
        <v>15.4891304347826</v>
      </c>
      <c r="O53" s="15">
        <f t="shared" si="2"/>
        <v>22.327341532639501</v>
      </c>
      <c r="P53" s="15">
        <f t="shared" si="2"/>
        <v>17.142234389218501</v>
      </c>
    </row>
    <row r="54" spans="1:16" x14ac:dyDescent="0.3">
      <c r="A54" s="2" t="s">
        <v>103</v>
      </c>
      <c r="B54" s="3" t="s">
        <v>58</v>
      </c>
      <c r="C54" s="4">
        <v>0.153606965174129</v>
      </c>
      <c r="D54" s="4">
        <v>0</v>
      </c>
      <c r="E54" s="4">
        <v>0.05</v>
      </c>
      <c r="F54" s="4">
        <v>9.5842358037479994E-2</v>
      </c>
      <c r="G54" s="4">
        <v>9.5136119726283705E-2</v>
      </c>
      <c r="H54" s="4">
        <v>0.12975303064528301</v>
      </c>
      <c r="I54" s="4">
        <v>0.110541299771781</v>
      </c>
      <c r="J54" s="15">
        <f t="shared" si="1"/>
        <v>15.360696517412901</v>
      </c>
      <c r="K54" s="15">
        <f t="shared" si="1"/>
        <v>0</v>
      </c>
      <c r="L54" s="15">
        <f t="shared" si="1"/>
        <v>5</v>
      </c>
      <c r="M54" s="15">
        <f t="shared" si="1"/>
        <v>9.5842358037479993</v>
      </c>
      <c r="N54" s="15">
        <f t="shared" si="1"/>
        <v>9.5136119726283699</v>
      </c>
      <c r="O54" s="15">
        <f t="shared" si="2"/>
        <v>12.975303064528301</v>
      </c>
      <c r="P54" s="15">
        <f t="shared" si="2"/>
        <v>11.0541299771781</v>
      </c>
    </row>
    <row r="55" spans="1:16" x14ac:dyDescent="0.3">
      <c r="A55" s="2" t="s">
        <v>103</v>
      </c>
      <c r="B55" s="3" t="s">
        <v>59</v>
      </c>
      <c r="C55" s="4">
        <v>0</v>
      </c>
      <c r="D55" s="4">
        <v>0</v>
      </c>
      <c r="E55" s="4">
        <v>0</v>
      </c>
      <c r="F55" s="4">
        <v>1.6472416472416498E-2</v>
      </c>
      <c r="G55" s="4">
        <v>7.8221627945846597E-2</v>
      </c>
      <c r="H55" s="4">
        <v>0.14703358008797299</v>
      </c>
      <c r="I55" s="4">
        <v>7.9278225777882599E-2</v>
      </c>
      <c r="J55" s="15">
        <f t="shared" si="1"/>
        <v>0</v>
      </c>
      <c r="K55" s="15">
        <f t="shared" si="1"/>
        <v>0</v>
      </c>
      <c r="L55" s="15">
        <f t="shared" si="1"/>
        <v>0</v>
      </c>
      <c r="M55" s="15">
        <f t="shared" si="1"/>
        <v>1.6472416472416498</v>
      </c>
      <c r="N55" s="15">
        <f t="shared" si="1"/>
        <v>7.8221627945846599</v>
      </c>
      <c r="O55" s="15">
        <f t="shared" si="2"/>
        <v>14.703358008797299</v>
      </c>
      <c r="P55" s="15">
        <f t="shared" si="2"/>
        <v>7.9278225777882598</v>
      </c>
    </row>
    <row r="56" spans="1:16" x14ac:dyDescent="0.3">
      <c r="A56" s="2" t="s">
        <v>103</v>
      </c>
      <c r="B56" s="3" t="s">
        <v>60</v>
      </c>
      <c r="C56" s="4">
        <v>6.6993464052287593E-2</v>
      </c>
      <c r="D56" s="4">
        <v>0</v>
      </c>
      <c r="E56" s="4">
        <v>4.11764705882353E-2</v>
      </c>
      <c r="F56" s="4">
        <v>2.37362637362637E-2</v>
      </c>
      <c r="G56" s="4">
        <v>3.5432593131901502E-2</v>
      </c>
      <c r="H56" s="4">
        <v>3.20754716981132E-2</v>
      </c>
      <c r="I56" s="4">
        <v>3.3498548035008797E-2</v>
      </c>
      <c r="J56" s="15">
        <f t="shared" si="1"/>
        <v>6.6993464052287592</v>
      </c>
      <c r="K56" s="15">
        <f t="shared" si="1"/>
        <v>0</v>
      </c>
      <c r="L56" s="15">
        <f t="shared" si="1"/>
        <v>4.1176470588235299</v>
      </c>
      <c r="M56" s="15">
        <f t="shared" si="1"/>
        <v>2.3736263736263701</v>
      </c>
      <c r="N56" s="15">
        <f t="shared" si="1"/>
        <v>3.5432593131901502</v>
      </c>
      <c r="O56" s="15">
        <f t="shared" si="2"/>
        <v>3.20754716981132</v>
      </c>
      <c r="P56" s="15">
        <f t="shared" si="2"/>
        <v>3.3498548035008797</v>
      </c>
    </row>
    <row r="57" spans="1:16" x14ac:dyDescent="0.3">
      <c r="A57" s="2" t="s">
        <v>103</v>
      </c>
      <c r="B57" s="3" t="s">
        <v>61</v>
      </c>
      <c r="C57" s="4">
        <v>8.7420718816067694E-2</v>
      </c>
      <c r="D57" s="4">
        <v>0</v>
      </c>
      <c r="E57" s="4">
        <v>0.11607142857142901</v>
      </c>
      <c r="F57" s="4">
        <v>5.7110862262038098E-2</v>
      </c>
      <c r="G57" s="4">
        <v>4.0935672514619902E-2</v>
      </c>
      <c r="H57" s="4">
        <v>6.1885964912280697E-2</v>
      </c>
      <c r="I57" s="4">
        <v>5.74161810434703E-2</v>
      </c>
      <c r="J57" s="15">
        <f t="shared" si="1"/>
        <v>8.7420718816067691</v>
      </c>
      <c r="K57" s="15">
        <f t="shared" si="1"/>
        <v>0</v>
      </c>
      <c r="L57" s="15">
        <f t="shared" si="1"/>
        <v>11.6071428571429</v>
      </c>
      <c r="M57" s="15">
        <f t="shared" si="1"/>
        <v>5.7110862262038093</v>
      </c>
      <c r="N57" s="15">
        <f t="shared" si="1"/>
        <v>4.0935672514619901</v>
      </c>
      <c r="O57" s="15">
        <f t="shared" si="2"/>
        <v>6.1885964912280693</v>
      </c>
      <c r="P57" s="15">
        <f t="shared" si="2"/>
        <v>5.7416181043470305</v>
      </c>
    </row>
    <row r="58" spans="1:16" x14ac:dyDescent="0.3">
      <c r="A58" s="2" t="s">
        <v>103</v>
      </c>
      <c r="B58" s="3" t="s">
        <v>62</v>
      </c>
      <c r="C58" s="4">
        <v>0</v>
      </c>
      <c r="D58" s="4">
        <v>0</v>
      </c>
      <c r="E58" s="4">
        <v>3.5714285714285698E-2</v>
      </c>
      <c r="F58" s="4">
        <v>6.35627530364372E-2</v>
      </c>
      <c r="G58" s="4">
        <v>7.2822589016920999E-2</v>
      </c>
      <c r="H58" s="4">
        <v>3.3625730994152003E-2</v>
      </c>
      <c r="I58" s="4">
        <v>4.4085529552929402E-2</v>
      </c>
      <c r="J58" s="15">
        <f t="shared" si="1"/>
        <v>0</v>
      </c>
      <c r="K58" s="15">
        <f t="shared" si="1"/>
        <v>0</v>
      </c>
      <c r="L58" s="15">
        <f t="shared" si="1"/>
        <v>3.5714285714285698</v>
      </c>
      <c r="M58" s="15">
        <f t="shared" si="1"/>
        <v>6.3562753036437201</v>
      </c>
      <c r="N58" s="15">
        <f t="shared" si="1"/>
        <v>7.2822589016921002</v>
      </c>
      <c r="O58" s="15">
        <f t="shared" si="2"/>
        <v>3.3625730994152003</v>
      </c>
      <c r="P58" s="15">
        <f t="shared" si="2"/>
        <v>4.4085529552929401</v>
      </c>
    </row>
    <row r="59" spans="1:16" x14ac:dyDescent="0.3">
      <c r="A59" s="2" t="s">
        <v>103</v>
      </c>
      <c r="B59" s="3" t="s">
        <v>63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3.9015151515151503E-2</v>
      </c>
      <c r="I59" s="4">
        <v>1.3929675425038601E-2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2"/>
        <v>3.9015151515151505</v>
      </c>
      <c r="P59" s="15">
        <f t="shared" si="2"/>
        <v>1.3929675425038601</v>
      </c>
    </row>
    <row r="60" spans="1:16" x14ac:dyDescent="0.3">
      <c r="A60" s="2" t="s">
        <v>103</v>
      </c>
      <c r="B60" s="3" t="s">
        <v>64</v>
      </c>
      <c r="C60" s="4">
        <v>5.6464811783960699E-2</v>
      </c>
      <c r="D60" s="4">
        <v>0</v>
      </c>
      <c r="E60" s="4">
        <v>9.375E-2</v>
      </c>
      <c r="F60" s="4">
        <v>7.3696145124716506E-2</v>
      </c>
      <c r="G60" s="4">
        <v>9.2611648487343108E-3</v>
      </c>
      <c r="H60" s="4">
        <v>0</v>
      </c>
      <c r="I60" s="4">
        <v>2.2964770839992699E-2</v>
      </c>
      <c r="J60" s="15">
        <f t="shared" si="1"/>
        <v>5.64648117839607</v>
      </c>
      <c r="K60" s="15">
        <f t="shared" si="1"/>
        <v>0</v>
      </c>
      <c r="L60" s="15">
        <f t="shared" si="1"/>
        <v>9.375</v>
      </c>
      <c r="M60" s="15">
        <f t="shared" si="1"/>
        <v>7.3696145124716503</v>
      </c>
      <c r="N60" s="15">
        <f t="shared" si="1"/>
        <v>0.92611648487343112</v>
      </c>
      <c r="O60" s="15">
        <f t="shared" si="2"/>
        <v>0</v>
      </c>
      <c r="P60" s="15">
        <f t="shared" si="2"/>
        <v>2.2964770839992701</v>
      </c>
    </row>
    <row r="61" spans="1:16" x14ac:dyDescent="0.3">
      <c r="A61" s="2" t="s">
        <v>103</v>
      </c>
      <c r="B61" s="3" t="s">
        <v>65</v>
      </c>
      <c r="C61" s="4">
        <v>5.52651232262883E-2</v>
      </c>
      <c r="D61" s="4">
        <v>0</v>
      </c>
      <c r="E61" s="4">
        <v>0</v>
      </c>
      <c r="F61" s="4">
        <v>0</v>
      </c>
      <c r="G61" s="4">
        <v>1.7991004497751099E-2</v>
      </c>
      <c r="H61" s="4">
        <v>3.7173252279635298E-2</v>
      </c>
      <c r="I61" s="4">
        <v>2.53521786439336E-2</v>
      </c>
      <c r="J61" s="15">
        <f t="shared" si="1"/>
        <v>5.5265123226288297</v>
      </c>
      <c r="K61" s="15">
        <f t="shared" si="1"/>
        <v>0</v>
      </c>
      <c r="L61" s="15">
        <f t="shared" si="1"/>
        <v>0</v>
      </c>
      <c r="M61" s="15">
        <f t="shared" si="1"/>
        <v>0</v>
      </c>
      <c r="N61" s="15">
        <f t="shared" si="1"/>
        <v>1.79910044977511</v>
      </c>
      <c r="O61" s="15">
        <f t="shared" si="2"/>
        <v>3.7173252279635296</v>
      </c>
      <c r="P61" s="15">
        <f t="shared" si="2"/>
        <v>2.5352178643933598</v>
      </c>
    </row>
    <row r="62" spans="1:16" x14ac:dyDescent="0.3">
      <c r="A62" s="2" t="s">
        <v>103</v>
      </c>
      <c r="B62" s="3" t="s">
        <v>66</v>
      </c>
      <c r="C62" s="4">
        <v>8.7478559176672396E-2</v>
      </c>
      <c r="D62" s="4">
        <v>0</v>
      </c>
      <c r="E62" s="4">
        <v>0</v>
      </c>
      <c r="F62" s="4">
        <v>0</v>
      </c>
      <c r="G62" s="4">
        <v>3.2103895190569297E-2</v>
      </c>
      <c r="H62" s="4">
        <v>0</v>
      </c>
      <c r="I62" s="4">
        <v>2.01665117800706E-2</v>
      </c>
      <c r="J62" s="15">
        <f t="shared" si="1"/>
        <v>8.7478559176672395</v>
      </c>
      <c r="K62" s="15">
        <f t="shared" si="1"/>
        <v>0</v>
      </c>
      <c r="L62" s="15">
        <f t="shared" si="1"/>
        <v>0</v>
      </c>
      <c r="M62" s="15">
        <f t="shared" si="1"/>
        <v>0</v>
      </c>
      <c r="N62" s="15">
        <f t="shared" ref="N62:N66" si="3">G62*100</f>
        <v>3.2103895190569296</v>
      </c>
      <c r="O62" s="15">
        <f t="shared" si="2"/>
        <v>0</v>
      </c>
      <c r="P62" s="15">
        <f t="shared" si="2"/>
        <v>2.0166511780070602</v>
      </c>
    </row>
    <row r="63" spans="1:16" x14ac:dyDescent="0.3">
      <c r="A63" s="2" t="s">
        <v>103</v>
      </c>
      <c r="B63" s="3" t="s">
        <v>67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4.1993037423846802E-2</v>
      </c>
      <c r="I63" s="4">
        <v>1.39612268518519E-2</v>
      </c>
      <c r="J63" s="15">
        <f t="shared" si="1"/>
        <v>0</v>
      </c>
      <c r="K63" s="15">
        <f t="shared" si="1"/>
        <v>0</v>
      </c>
      <c r="L63" s="15">
        <f t="shared" si="1"/>
        <v>0</v>
      </c>
      <c r="M63" s="15">
        <f t="shared" si="1"/>
        <v>0</v>
      </c>
      <c r="N63" s="15">
        <f t="shared" si="3"/>
        <v>0</v>
      </c>
      <c r="O63" s="15">
        <f t="shared" si="2"/>
        <v>4.1993037423846804</v>
      </c>
      <c r="P63" s="15">
        <f t="shared" si="2"/>
        <v>1.39612268518519</v>
      </c>
    </row>
    <row r="64" spans="1:16" x14ac:dyDescent="0.3">
      <c r="A64" s="2" t="s">
        <v>103</v>
      </c>
      <c r="B64" s="3" t="s">
        <v>68</v>
      </c>
      <c r="C64" s="4">
        <v>0</v>
      </c>
      <c r="D64" s="4">
        <v>0</v>
      </c>
      <c r="E64" s="4">
        <v>0</v>
      </c>
      <c r="F64" s="4">
        <v>3.74484557771607E-3</v>
      </c>
      <c r="G64" s="4">
        <v>4.49828636709825E-3</v>
      </c>
      <c r="H64" s="4">
        <v>2.3116951182988899E-2</v>
      </c>
      <c r="I64" s="4">
        <v>9.59404302112353E-3</v>
      </c>
      <c r="J64" s="15">
        <f t="shared" si="1"/>
        <v>0</v>
      </c>
      <c r="K64" s="15">
        <f t="shared" si="1"/>
        <v>0</v>
      </c>
      <c r="L64" s="15">
        <f t="shared" si="1"/>
        <v>0</v>
      </c>
      <c r="M64" s="15">
        <f t="shared" si="1"/>
        <v>0.374484557771607</v>
      </c>
      <c r="N64" s="15">
        <f t="shared" si="3"/>
        <v>0.44982863670982498</v>
      </c>
      <c r="O64" s="15">
        <f t="shared" si="2"/>
        <v>2.3116951182988901</v>
      </c>
      <c r="P64" s="15">
        <f t="shared" si="2"/>
        <v>0.95940430211235306</v>
      </c>
    </row>
    <row r="65" spans="1:16" x14ac:dyDescent="0.3">
      <c r="A65" s="2" t="s">
        <v>103</v>
      </c>
      <c r="B65" s="3" t="s">
        <v>69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6.9066432543166498E-3</v>
      </c>
      <c r="I65" s="4">
        <v>2.45805168157815E-3</v>
      </c>
      <c r="J65" s="15">
        <f t="shared" si="1"/>
        <v>0</v>
      </c>
      <c r="K65" s="15">
        <f t="shared" si="1"/>
        <v>0</v>
      </c>
      <c r="L65" s="15">
        <f t="shared" si="1"/>
        <v>0</v>
      </c>
      <c r="M65" s="15">
        <f t="shared" si="1"/>
        <v>0</v>
      </c>
      <c r="N65" s="15">
        <f t="shared" si="3"/>
        <v>0</v>
      </c>
      <c r="O65" s="15">
        <f t="shared" si="2"/>
        <v>0.690664325431665</v>
      </c>
      <c r="P65" s="15">
        <f t="shared" si="2"/>
        <v>0.245805168157815</v>
      </c>
    </row>
    <row r="66" spans="1:16" x14ac:dyDescent="0.3">
      <c r="A66" s="2" t="s">
        <v>103</v>
      </c>
      <c r="B66" s="3" t="s">
        <v>70</v>
      </c>
      <c r="C66" s="4">
        <v>0</v>
      </c>
      <c r="D66" s="4">
        <v>0</v>
      </c>
      <c r="E66" s="4">
        <v>0</v>
      </c>
      <c r="F66" s="4">
        <v>3.4263213071160101E-3</v>
      </c>
      <c r="G66" s="4">
        <v>5.5119779520881899E-3</v>
      </c>
      <c r="H66" s="4">
        <v>9.4552529182879395E-3</v>
      </c>
      <c r="I66" s="4">
        <v>5.6337950315180803E-3</v>
      </c>
      <c r="J66" s="15">
        <f t="shared" si="1"/>
        <v>0</v>
      </c>
      <c r="K66" s="15">
        <f t="shared" si="1"/>
        <v>0</v>
      </c>
      <c r="L66" s="15">
        <f t="shared" si="1"/>
        <v>0</v>
      </c>
      <c r="M66" s="15">
        <f t="shared" si="1"/>
        <v>0.34263213071160104</v>
      </c>
      <c r="N66" s="15">
        <f t="shared" si="3"/>
        <v>0.55119779520881895</v>
      </c>
      <c r="O66" s="15">
        <f t="shared" si="2"/>
        <v>0.94552529182879397</v>
      </c>
      <c r="P66" s="15">
        <f t="shared" si="2"/>
        <v>0.56337950315180807</v>
      </c>
    </row>
  </sheetData>
  <autoFilter ref="A1:Q66" xr:uid="{62556EA5-9280-4F62-BA62-E6AE57745BE9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P66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defaultColWidth="8.88671875" defaultRowHeight="14.4" x14ac:dyDescent="0.3"/>
  <cols>
    <col min="1" max="1" width="8.88671875" style="2"/>
    <col min="2" max="2" width="12" style="2" customWidth="1"/>
    <col min="3" max="8" width="8.88671875" style="5"/>
    <col min="9" max="9" width="8.88671875" style="5" customWidth="1"/>
    <col min="10" max="10" width="11.21875" style="2" bestFit="1" customWidth="1"/>
    <col min="11" max="11" width="12.21875" style="2" bestFit="1" customWidth="1"/>
    <col min="12" max="14" width="13.33203125" style="2" bestFit="1" customWidth="1"/>
    <col min="15" max="15" width="14" style="2" bestFit="1" customWidth="1"/>
    <col min="16" max="16" width="12.33203125" style="2" bestFit="1" customWidth="1"/>
    <col min="17" max="16384" width="8.88671875" style="2"/>
  </cols>
  <sheetData>
    <row r="1" spans="1:16" x14ac:dyDescent="0.3">
      <c r="A1" s="2" t="s">
        <v>102</v>
      </c>
      <c r="B1" s="6" t="s">
        <v>101</v>
      </c>
      <c r="C1" s="1" t="s">
        <v>1</v>
      </c>
      <c r="D1" s="1" t="s">
        <v>18</v>
      </c>
      <c r="E1" s="1" t="s">
        <v>2</v>
      </c>
      <c r="F1" s="1" t="s">
        <v>3</v>
      </c>
      <c r="G1" s="1" t="s">
        <v>76</v>
      </c>
      <c r="H1" s="1" t="s">
        <v>75</v>
      </c>
      <c r="I1" s="1" t="s">
        <v>4</v>
      </c>
      <c r="J1" s="1" t="s">
        <v>109</v>
      </c>
      <c r="K1" s="16" t="s">
        <v>110</v>
      </c>
      <c r="L1" s="1" t="s">
        <v>111</v>
      </c>
      <c r="M1" s="1" t="s">
        <v>112</v>
      </c>
      <c r="N1" s="1" t="s">
        <v>116</v>
      </c>
      <c r="O1" s="1" t="s">
        <v>117</v>
      </c>
      <c r="P1" s="1" t="s">
        <v>113</v>
      </c>
    </row>
    <row r="2" spans="1:16" x14ac:dyDescent="0.3">
      <c r="A2" s="2" t="s">
        <v>103</v>
      </c>
      <c r="B2" s="3" t="s">
        <v>5</v>
      </c>
      <c r="C2" s="4">
        <v>0</v>
      </c>
      <c r="D2" s="4">
        <v>0</v>
      </c>
      <c r="E2" s="4">
        <v>0.126157407407407</v>
      </c>
      <c r="F2" s="4">
        <v>8.2129129567459699E-2</v>
      </c>
      <c r="G2" s="4">
        <v>0</v>
      </c>
      <c r="H2" s="4">
        <v>0</v>
      </c>
      <c r="I2" s="4">
        <v>2.24028807101995E-2</v>
      </c>
      <c r="J2" s="15">
        <f>C2*100</f>
        <v>0</v>
      </c>
      <c r="K2" s="15">
        <f t="shared" ref="K2:N2" si="0">D2*100</f>
        <v>0</v>
      </c>
      <c r="L2" s="15">
        <f t="shared" si="0"/>
        <v>12.6157407407407</v>
      </c>
      <c r="M2" s="15">
        <f t="shared" si="0"/>
        <v>8.2129129567459707</v>
      </c>
      <c r="N2" s="15">
        <f t="shared" si="0"/>
        <v>0</v>
      </c>
      <c r="O2" s="15">
        <f t="shared" ref="O2:O65" si="1">H2*100</f>
        <v>0</v>
      </c>
      <c r="P2" s="15">
        <f t="shared" ref="P2:P65" si="2">I2*100</f>
        <v>2.24028807101995</v>
      </c>
    </row>
    <row r="3" spans="1:16" x14ac:dyDescent="0.3">
      <c r="A3" s="2" t="s">
        <v>103</v>
      </c>
      <c r="B3" s="3" t="s">
        <v>6</v>
      </c>
      <c r="C3" s="4">
        <v>0</v>
      </c>
      <c r="D3" s="4">
        <v>0</v>
      </c>
      <c r="E3" s="4">
        <v>7.4999999999999997E-2</v>
      </c>
      <c r="F3" s="4">
        <v>6.25E-2</v>
      </c>
      <c r="G3" s="4">
        <v>1.03382070595185E-2</v>
      </c>
      <c r="H3" s="4">
        <v>7.1987480438184703E-2</v>
      </c>
      <c r="I3" s="4">
        <v>4.1074677262076302E-2</v>
      </c>
      <c r="J3" s="15">
        <f t="shared" ref="J3:J66" si="3">C3*100</f>
        <v>0</v>
      </c>
      <c r="K3" s="15">
        <f t="shared" ref="K3:K66" si="4">D3*100</f>
        <v>0</v>
      </c>
      <c r="L3" s="15">
        <f t="shared" ref="L3:L66" si="5">E3*100</f>
        <v>7.5</v>
      </c>
      <c r="M3" s="15">
        <f t="shared" ref="M3:M66" si="6">F3*100</f>
        <v>6.25</v>
      </c>
      <c r="N3" s="15">
        <f t="shared" ref="N3:P66" si="7">G3*100</f>
        <v>1.03382070595185</v>
      </c>
      <c r="O3" s="15">
        <f t="shared" si="1"/>
        <v>7.1987480438184708</v>
      </c>
      <c r="P3" s="15">
        <f t="shared" si="2"/>
        <v>4.1074677262076298</v>
      </c>
    </row>
    <row r="4" spans="1:16" x14ac:dyDescent="0.3">
      <c r="A4" s="2" t="s">
        <v>103</v>
      </c>
      <c r="B4" s="3" t="s">
        <v>7</v>
      </c>
      <c r="C4" s="4">
        <v>8.9285714285714302E-2</v>
      </c>
      <c r="D4" s="4">
        <v>0</v>
      </c>
      <c r="E4" s="4">
        <v>6.7901234567901203E-2</v>
      </c>
      <c r="F4" s="4">
        <v>6.5851565851565902E-2</v>
      </c>
      <c r="G4" s="4">
        <v>0</v>
      </c>
      <c r="H4" s="4">
        <v>2.26890756302521E-2</v>
      </c>
      <c r="I4" s="4">
        <v>3.25051476970507E-2</v>
      </c>
      <c r="J4" s="15">
        <f t="shared" si="3"/>
        <v>8.9285714285714306</v>
      </c>
      <c r="K4" s="15">
        <f t="shared" si="4"/>
        <v>0</v>
      </c>
      <c r="L4" s="15">
        <f t="shared" si="5"/>
        <v>6.7901234567901199</v>
      </c>
      <c r="M4" s="15">
        <f t="shared" si="6"/>
        <v>6.5851565851565903</v>
      </c>
      <c r="N4" s="15">
        <f t="shared" si="7"/>
        <v>0</v>
      </c>
      <c r="O4" s="15">
        <f t="shared" si="1"/>
        <v>2.26890756302521</v>
      </c>
      <c r="P4" s="15">
        <f t="shared" si="2"/>
        <v>3.2505147697050698</v>
      </c>
    </row>
    <row r="5" spans="1:16" x14ac:dyDescent="0.3">
      <c r="A5" s="2" t="s">
        <v>103</v>
      </c>
      <c r="B5" s="3" t="s">
        <v>8</v>
      </c>
      <c r="C5" s="4">
        <v>5.4409005628517797E-2</v>
      </c>
      <c r="D5" s="4">
        <v>0</v>
      </c>
      <c r="E5" s="4">
        <v>3.0769230769230799E-2</v>
      </c>
      <c r="F5" s="4">
        <v>4.6511627906976702E-2</v>
      </c>
      <c r="G5" s="4">
        <v>5.6664650131074801E-2</v>
      </c>
      <c r="H5" s="4">
        <v>0</v>
      </c>
      <c r="I5" s="4">
        <v>3.3033224512004397E-2</v>
      </c>
      <c r="J5" s="15">
        <f t="shared" si="3"/>
        <v>5.4409005628517795</v>
      </c>
      <c r="K5" s="15">
        <f t="shared" si="4"/>
        <v>0</v>
      </c>
      <c r="L5" s="15">
        <f t="shared" si="5"/>
        <v>3.0769230769230798</v>
      </c>
      <c r="M5" s="15">
        <f t="shared" si="6"/>
        <v>4.6511627906976702</v>
      </c>
      <c r="N5" s="15">
        <f t="shared" si="7"/>
        <v>5.6664650131074801</v>
      </c>
      <c r="O5" s="15">
        <f t="shared" si="1"/>
        <v>0</v>
      </c>
      <c r="P5" s="15">
        <f t="shared" si="2"/>
        <v>3.3033224512004398</v>
      </c>
    </row>
    <row r="6" spans="1:16" x14ac:dyDescent="0.3">
      <c r="A6" s="2" t="s">
        <v>103</v>
      </c>
      <c r="B6" s="3" t="s">
        <v>9</v>
      </c>
      <c r="C6" s="4">
        <v>0</v>
      </c>
      <c r="D6" s="4">
        <v>0</v>
      </c>
      <c r="E6" s="4">
        <v>0</v>
      </c>
      <c r="F6" s="4">
        <v>1.33952979770366E-2</v>
      </c>
      <c r="G6" s="4">
        <v>0.11176122931442101</v>
      </c>
      <c r="H6" s="4">
        <v>0</v>
      </c>
      <c r="I6" s="4">
        <v>3.6854414800002303E-2</v>
      </c>
      <c r="J6" s="15">
        <f t="shared" si="3"/>
        <v>0</v>
      </c>
      <c r="K6" s="15">
        <f t="shared" si="4"/>
        <v>0</v>
      </c>
      <c r="L6" s="15">
        <f t="shared" si="5"/>
        <v>0</v>
      </c>
      <c r="M6" s="15">
        <f t="shared" si="6"/>
        <v>1.33952979770366</v>
      </c>
      <c r="N6" s="15">
        <f t="shared" si="7"/>
        <v>11.176122931442102</v>
      </c>
      <c r="O6" s="15">
        <f t="shared" si="1"/>
        <v>0</v>
      </c>
      <c r="P6" s="15">
        <f t="shared" si="2"/>
        <v>3.6854414800002302</v>
      </c>
    </row>
    <row r="7" spans="1:16" x14ac:dyDescent="0.3">
      <c r="A7" s="2" t="s">
        <v>103</v>
      </c>
      <c r="B7" s="3" t="s">
        <v>10</v>
      </c>
      <c r="C7" s="4">
        <v>0</v>
      </c>
      <c r="D7" s="4">
        <v>0</v>
      </c>
      <c r="E7" s="4">
        <v>0</v>
      </c>
      <c r="F7" s="4">
        <v>2.7702564252678401E-2</v>
      </c>
      <c r="G7" s="4">
        <v>3.8089225589225603E-2</v>
      </c>
      <c r="H7" s="4">
        <v>0</v>
      </c>
      <c r="I7" s="4">
        <v>1.6556262365633401E-2</v>
      </c>
      <c r="J7" s="15">
        <f t="shared" si="3"/>
        <v>0</v>
      </c>
      <c r="K7" s="15">
        <f t="shared" si="4"/>
        <v>0</v>
      </c>
      <c r="L7" s="15">
        <f t="shared" si="5"/>
        <v>0</v>
      </c>
      <c r="M7" s="15">
        <f t="shared" si="6"/>
        <v>2.7702564252678403</v>
      </c>
      <c r="N7" s="15">
        <f t="shared" si="7"/>
        <v>3.8089225589225602</v>
      </c>
      <c r="O7" s="15">
        <f t="shared" si="1"/>
        <v>0</v>
      </c>
      <c r="P7" s="15">
        <f t="shared" si="2"/>
        <v>1.6556262365633401</v>
      </c>
    </row>
    <row r="8" spans="1:16" x14ac:dyDescent="0.3">
      <c r="A8" s="2" t="s">
        <v>103</v>
      </c>
      <c r="B8" s="3" t="s">
        <v>11</v>
      </c>
      <c r="C8" s="4">
        <v>8.2437275985663097E-2</v>
      </c>
      <c r="D8" s="4">
        <v>0</v>
      </c>
      <c r="E8" s="4">
        <v>5.7142857142857099E-2</v>
      </c>
      <c r="F8" s="4">
        <v>4.9941927990708498E-2</v>
      </c>
      <c r="G8" s="4">
        <v>0</v>
      </c>
      <c r="H8" s="4">
        <v>0</v>
      </c>
      <c r="I8" s="4">
        <v>2.07737754907566E-2</v>
      </c>
      <c r="J8" s="15">
        <f t="shared" si="3"/>
        <v>8.2437275985663092</v>
      </c>
      <c r="K8" s="15">
        <f t="shared" si="4"/>
        <v>0</v>
      </c>
      <c r="L8" s="15">
        <f t="shared" si="5"/>
        <v>5.71428571428571</v>
      </c>
      <c r="M8" s="15">
        <f t="shared" si="6"/>
        <v>4.9941927990708495</v>
      </c>
      <c r="N8" s="15">
        <f t="shared" si="7"/>
        <v>0</v>
      </c>
      <c r="O8" s="15">
        <f t="shared" si="1"/>
        <v>0</v>
      </c>
      <c r="P8" s="15">
        <f t="shared" si="2"/>
        <v>2.0773775490756599</v>
      </c>
    </row>
    <row r="9" spans="1:16" x14ac:dyDescent="0.3">
      <c r="A9" s="2" t="s">
        <v>103</v>
      </c>
      <c r="B9" s="3" t="s">
        <v>12</v>
      </c>
      <c r="C9" s="4">
        <v>0</v>
      </c>
      <c r="D9" s="4">
        <v>0</v>
      </c>
      <c r="E9" s="4">
        <v>0</v>
      </c>
      <c r="F9" s="4">
        <v>7.4277074277074306E-2</v>
      </c>
      <c r="G9" s="4">
        <v>5.0833381064207601E-2</v>
      </c>
      <c r="H9" s="4">
        <v>2.7322404371584699E-2</v>
      </c>
      <c r="I9" s="4">
        <v>3.7190716713469199E-2</v>
      </c>
      <c r="J9" s="15">
        <f t="shared" si="3"/>
        <v>0</v>
      </c>
      <c r="K9" s="15">
        <f t="shared" si="4"/>
        <v>0</v>
      </c>
      <c r="L9" s="15">
        <f t="shared" si="5"/>
        <v>0</v>
      </c>
      <c r="M9" s="15">
        <f t="shared" si="6"/>
        <v>7.4277074277074302</v>
      </c>
      <c r="N9" s="15">
        <f t="shared" si="7"/>
        <v>5.0833381064207606</v>
      </c>
      <c r="O9" s="15">
        <f t="shared" si="1"/>
        <v>2.7322404371584699</v>
      </c>
      <c r="P9" s="15">
        <f t="shared" si="2"/>
        <v>3.7190716713469198</v>
      </c>
    </row>
    <row r="10" spans="1:16" x14ac:dyDescent="0.3">
      <c r="A10" s="2" t="s">
        <v>103</v>
      </c>
      <c r="B10" s="3" t="s">
        <v>13</v>
      </c>
      <c r="C10" s="4">
        <v>0</v>
      </c>
      <c r="D10" s="4">
        <v>0</v>
      </c>
      <c r="E10" s="4">
        <v>0</v>
      </c>
      <c r="F10" s="4">
        <v>4.7549967762733703E-3</v>
      </c>
      <c r="G10" s="4">
        <v>1.16120218579235E-2</v>
      </c>
      <c r="H10" s="4">
        <v>3.5000000000000003E-2</v>
      </c>
      <c r="I10" s="4">
        <v>1.46380119183466E-2</v>
      </c>
      <c r="J10" s="15">
        <f t="shared" si="3"/>
        <v>0</v>
      </c>
      <c r="K10" s="15">
        <f t="shared" si="4"/>
        <v>0</v>
      </c>
      <c r="L10" s="15">
        <f t="shared" si="5"/>
        <v>0</v>
      </c>
      <c r="M10" s="15">
        <f t="shared" si="6"/>
        <v>0.47549967762733703</v>
      </c>
      <c r="N10" s="15">
        <f t="shared" si="7"/>
        <v>1.16120218579235</v>
      </c>
      <c r="O10" s="15">
        <f t="shared" si="1"/>
        <v>3.5000000000000004</v>
      </c>
      <c r="P10" s="15">
        <f t="shared" si="2"/>
        <v>1.4638011918346598</v>
      </c>
    </row>
    <row r="11" spans="1:16" x14ac:dyDescent="0.3">
      <c r="A11" s="2" t="s">
        <v>103</v>
      </c>
      <c r="B11" s="3" t="s">
        <v>14</v>
      </c>
      <c r="C11" s="4">
        <v>0</v>
      </c>
      <c r="D11" s="4">
        <v>0</v>
      </c>
      <c r="E11" s="4">
        <v>3.1339031339031299E-2</v>
      </c>
      <c r="F11" s="4">
        <v>3.04405874499332E-2</v>
      </c>
      <c r="G11" s="4">
        <v>3.1859816806053397E-2</v>
      </c>
      <c r="H11" s="4">
        <v>2.4223602484472001E-2</v>
      </c>
      <c r="I11" s="4">
        <v>2.1822378749261601E-2</v>
      </c>
      <c r="J11" s="15">
        <f t="shared" si="3"/>
        <v>0</v>
      </c>
      <c r="K11" s="15">
        <f t="shared" si="4"/>
        <v>0</v>
      </c>
      <c r="L11" s="15">
        <f t="shared" si="5"/>
        <v>3.13390313390313</v>
      </c>
      <c r="M11" s="15">
        <f t="shared" si="6"/>
        <v>3.0440587449933201</v>
      </c>
      <c r="N11" s="15">
        <f t="shared" si="7"/>
        <v>3.1859816806053396</v>
      </c>
      <c r="O11" s="15">
        <f t="shared" si="1"/>
        <v>2.4223602484472</v>
      </c>
      <c r="P11" s="15">
        <f t="shared" si="2"/>
        <v>2.1822378749261602</v>
      </c>
    </row>
    <row r="12" spans="1:16" x14ac:dyDescent="0.3">
      <c r="A12" s="2" t="s">
        <v>103</v>
      </c>
      <c r="B12" s="3" t="s">
        <v>15</v>
      </c>
      <c r="C12" s="4">
        <v>0</v>
      </c>
      <c r="D12" s="4">
        <v>0</v>
      </c>
      <c r="E12" s="4">
        <v>0.22689075630252101</v>
      </c>
      <c r="F12" s="4">
        <v>0.17307137307137299</v>
      </c>
      <c r="G12" s="4">
        <v>3.24195942602672E-2</v>
      </c>
      <c r="H12" s="4">
        <v>4.3636363636363598E-2</v>
      </c>
      <c r="I12" s="4">
        <v>5.6349265664416101E-2</v>
      </c>
      <c r="J12" s="15">
        <f t="shared" si="3"/>
        <v>0</v>
      </c>
      <c r="K12" s="15">
        <f t="shared" si="4"/>
        <v>0</v>
      </c>
      <c r="L12" s="15">
        <f t="shared" si="5"/>
        <v>22.689075630252102</v>
      </c>
      <c r="M12" s="15">
        <f t="shared" si="6"/>
        <v>17.3071373071373</v>
      </c>
      <c r="N12" s="15">
        <f t="shared" si="7"/>
        <v>3.2419594260267202</v>
      </c>
      <c r="O12" s="15">
        <f t="shared" si="1"/>
        <v>4.3636363636363598</v>
      </c>
      <c r="P12" s="15">
        <f t="shared" si="2"/>
        <v>5.6349265664416102</v>
      </c>
    </row>
    <row r="13" spans="1:16" x14ac:dyDescent="0.3">
      <c r="A13" s="2" t="s">
        <v>103</v>
      </c>
      <c r="B13" s="3" t="s">
        <v>16</v>
      </c>
      <c r="C13" s="4">
        <v>4.2581503659348E-2</v>
      </c>
      <c r="D13" s="4">
        <v>0.11111111111111099</v>
      </c>
      <c r="E13" s="4">
        <v>8.4615384615384606E-2</v>
      </c>
      <c r="F13" s="4">
        <v>0.190779014308426</v>
      </c>
      <c r="G13" s="4">
        <v>0.189744895891822</v>
      </c>
      <c r="H13" s="4">
        <v>6.3295188876584196E-2</v>
      </c>
      <c r="I13" s="4">
        <v>0.118057661321444</v>
      </c>
      <c r="J13" s="15">
        <f t="shared" si="3"/>
        <v>4.2581503659348003</v>
      </c>
      <c r="K13" s="15">
        <f t="shared" si="4"/>
        <v>11.1111111111111</v>
      </c>
      <c r="L13" s="15">
        <f t="shared" si="5"/>
        <v>8.4615384615384599</v>
      </c>
      <c r="M13" s="15">
        <f t="shared" si="6"/>
        <v>19.077901430842601</v>
      </c>
      <c r="N13" s="15">
        <f t="shared" si="7"/>
        <v>18.974489589182202</v>
      </c>
      <c r="O13" s="15">
        <f t="shared" si="1"/>
        <v>6.3295188876584199</v>
      </c>
      <c r="P13" s="15">
        <f t="shared" si="2"/>
        <v>11.805766132144401</v>
      </c>
    </row>
    <row r="14" spans="1:16" x14ac:dyDescent="0.3">
      <c r="A14" s="2" t="s">
        <v>103</v>
      </c>
      <c r="B14" s="3" t="s">
        <v>17</v>
      </c>
      <c r="C14" s="4">
        <v>5.2058111380145301E-2</v>
      </c>
      <c r="D14" s="4">
        <v>0</v>
      </c>
      <c r="E14" s="4">
        <v>0.32263814616755798</v>
      </c>
      <c r="F14" s="4">
        <v>0.28072390572390599</v>
      </c>
      <c r="G14" s="4">
        <v>0.27451010567354101</v>
      </c>
      <c r="H14" s="4">
        <v>0.174054373522459</v>
      </c>
      <c r="I14" s="4">
        <v>0.20123228365968701</v>
      </c>
      <c r="J14" s="15">
        <f t="shared" si="3"/>
        <v>5.2058111380145302</v>
      </c>
      <c r="K14" s="15">
        <f t="shared" si="4"/>
        <v>0</v>
      </c>
      <c r="L14" s="15">
        <f t="shared" si="5"/>
        <v>32.263814616755795</v>
      </c>
      <c r="M14" s="15">
        <f t="shared" si="6"/>
        <v>28.072390572390599</v>
      </c>
      <c r="N14" s="15">
        <f t="shared" si="7"/>
        <v>27.4510105673541</v>
      </c>
      <c r="O14" s="15">
        <f t="shared" si="1"/>
        <v>17.405437352245901</v>
      </c>
      <c r="P14" s="15">
        <f t="shared" si="2"/>
        <v>20.1232283659687</v>
      </c>
    </row>
    <row r="15" spans="1:16" x14ac:dyDescent="0.3">
      <c r="A15" s="2" t="s">
        <v>103</v>
      </c>
      <c r="B15" s="3" t="s">
        <v>19</v>
      </c>
      <c r="C15" s="4">
        <v>5.33408197641774E-2</v>
      </c>
      <c r="D15" s="4">
        <v>0.314285714285714</v>
      </c>
      <c r="E15" s="4">
        <v>0.328173374613003</v>
      </c>
      <c r="F15" s="4">
        <v>0.22551222723709299</v>
      </c>
      <c r="G15" s="4">
        <v>0.232832713095871</v>
      </c>
      <c r="H15" s="4">
        <v>0.33946272386505599</v>
      </c>
      <c r="I15" s="4">
        <v>0.25564429429485502</v>
      </c>
      <c r="J15" s="15">
        <f t="shared" si="3"/>
        <v>5.3340819764177398</v>
      </c>
      <c r="K15" s="15">
        <f t="shared" si="4"/>
        <v>31.428571428571399</v>
      </c>
      <c r="L15" s="15">
        <f t="shared" si="5"/>
        <v>32.817337461300298</v>
      </c>
      <c r="M15" s="15">
        <f t="shared" si="6"/>
        <v>22.551222723709298</v>
      </c>
      <c r="N15" s="15">
        <f t="shared" si="7"/>
        <v>23.2832713095871</v>
      </c>
      <c r="O15" s="15">
        <f t="shared" si="1"/>
        <v>33.946272386505598</v>
      </c>
      <c r="P15" s="15">
        <f t="shared" si="2"/>
        <v>25.564429429485504</v>
      </c>
    </row>
    <row r="16" spans="1:16" x14ac:dyDescent="0.3">
      <c r="A16" s="2" t="s">
        <v>103</v>
      </c>
      <c r="B16" s="3" t="s">
        <v>20</v>
      </c>
      <c r="C16" s="4">
        <v>0.24854368932038801</v>
      </c>
      <c r="D16" s="4">
        <v>0</v>
      </c>
      <c r="E16" s="4">
        <v>0.35037822968857502</v>
      </c>
      <c r="F16" s="4">
        <v>0.29465682336201598</v>
      </c>
      <c r="G16" s="4">
        <v>0.35121091969738399</v>
      </c>
      <c r="H16" s="4">
        <v>0.304648956356736</v>
      </c>
      <c r="I16" s="4">
        <v>0.30731348555191701</v>
      </c>
      <c r="J16" s="15">
        <f t="shared" si="3"/>
        <v>24.854368932038799</v>
      </c>
      <c r="K16" s="15">
        <f t="shared" si="4"/>
        <v>0</v>
      </c>
      <c r="L16" s="15">
        <f t="shared" si="5"/>
        <v>35.037822968857505</v>
      </c>
      <c r="M16" s="15">
        <f t="shared" si="6"/>
        <v>29.465682336201599</v>
      </c>
      <c r="N16" s="15">
        <f t="shared" si="7"/>
        <v>35.121091969738401</v>
      </c>
      <c r="O16" s="15">
        <f t="shared" si="1"/>
        <v>30.464895635673599</v>
      </c>
      <c r="P16" s="15">
        <f t="shared" si="2"/>
        <v>30.731348555191701</v>
      </c>
    </row>
    <row r="17" spans="1:16" x14ac:dyDescent="0.3">
      <c r="A17" s="2" t="s">
        <v>103</v>
      </c>
      <c r="B17" s="3" t="s">
        <v>21</v>
      </c>
      <c r="C17" s="4">
        <v>4.2091836734693903E-2</v>
      </c>
      <c r="D17" s="4">
        <v>0.15</v>
      </c>
      <c r="E17" s="4">
        <v>0.43374422187981498</v>
      </c>
      <c r="F17" s="4">
        <v>0.44739674953818998</v>
      </c>
      <c r="G17" s="4">
        <v>0.343953945214449</v>
      </c>
      <c r="H17" s="4">
        <v>0.310251157819736</v>
      </c>
      <c r="I17" s="4">
        <v>0.32200966591994501</v>
      </c>
      <c r="J17" s="15">
        <f t="shared" si="3"/>
        <v>4.2091836734693899</v>
      </c>
      <c r="K17" s="15">
        <f t="shared" si="4"/>
        <v>15</v>
      </c>
      <c r="L17" s="15">
        <f t="shared" si="5"/>
        <v>43.374422187981502</v>
      </c>
      <c r="M17" s="15">
        <f t="shared" si="6"/>
        <v>44.739674953818998</v>
      </c>
      <c r="N17" s="15">
        <f t="shared" si="7"/>
        <v>34.395394521444899</v>
      </c>
      <c r="O17" s="15">
        <f t="shared" si="1"/>
        <v>31.0251157819736</v>
      </c>
      <c r="P17" s="15">
        <f t="shared" si="2"/>
        <v>32.200966591994501</v>
      </c>
    </row>
    <row r="18" spans="1:16" x14ac:dyDescent="0.3">
      <c r="A18" s="2" t="s">
        <v>103</v>
      </c>
      <c r="B18" s="3" t="s">
        <v>22</v>
      </c>
      <c r="C18" s="4">
        <v>0.16470588235294101</v>
      </c>
      <c r="D18" s="4">
        <v>0.581395348837209</v>
      </c>
      <c r="E18" s="4">
        <v>0.19762845849802399</v>
      </c>
      <c r="F18" s="4">
        <v>0.249215507586904</v>
      </c>
      <c r="G18" s="4">
        <v>0.38178531305977498</v>
      </c>
      <c r="H18" s="4">
        <v>0.27345160425894899</v>
      </c>
      <c r="I18" s="4">
        <v>0.29908650212256599</v>
      </c>
      <c r="J18" s="15">
        <f t="shared" si="3"/>
        <v>16.470588235294102</v>
      </c>
      <c r="K18" s="15">
        <f t="shared" si="4"/>
        <v>58.139534883720899</v>
      </c>
      <c r="L18" s="15">
        <f t="shared" si="5"/>
        <v>19.7628458498024</v>
      </c>
      <c r="M18" s="15">
        <f t="shared" si="6"/>
        <v>24.921550758690401</v>
      </c>
      <c r="N18" s="15">
        <f t="shared" si="7"/>
        <v>38.178531305977501</v>
      </c>
      <c r="O18" s="15">
        <f t="shared" si="1"/>
        <v>27.3451604258949</v>
      </c>
      <c r="P18" s="15">
        <f t="shared" si="2"/>
        <v>29.9086502122566</v>
      </c>
    </row>
    <row r="19" spans="1:16" x14ac:dyDescent="0.3">
      <c r="A19" s="2" t="s">
        <v>103</v>
      </c>
      <c r="B19" s="3" t="s">
        <v>23</v>
      </c>
      <c r="C19" s="4">
        <v>0.13046874999999999</v>
      </c>
      <c r="D19" s="4">
        <v>0.189622641509434</v>
      </c>
      <c r="E19" s="4">
        <v>0.36837606837606801</v>
      </c>
      <c r="F19" s="4">
        <v>0.45748689294524802</v>
      </c>
      <c r="G19" s="4">
        <v>0.415078459675917</v>
      </c>
      <c r="H19" s="4">
        <v>0.37405023216547101</v>
      </c>
      <c r="I19" s="4">
        <v>0.36650140702533801</v>
      </c>
      <c r="J19" s="15">
        <f t="shared" si="3"/>
        <v>13.046875</v>
      </c>
      <c r="K19" s="15">
        <f t="shared" si="4"/>
        <v>18.962264150943401</v>
      </c>
      <c r="L19" s="15">
        <f t="shared" si="5"/>
        <v>36.837606837606799</v>
      </c>
      <c r="M19" s="15">
        <f t="shared" si="6"/>
        <v>45.748689294524802</v>
      </c>
      <c r="N19" s="15">
        <f t="shared" si="7"/>
        <v>41.507845967591699</v>
      </c>
      <c r="O19" s="15">
        <f t="shared" si="1"/>
        <v>37.4050232165471</v>
      </c>
      <c r="P19" s="15">
        <f t="shared" si="2"/>
        <v>36.650140702533804</v>
      </c>
    </row>
    <row r="20" spans="1:16" x14ac:dyDescent="0.3">
      <c r="A20" s="2" t="s">
        <v>103</v>
      </c>
      <c r="B20" s="3" t="s">
        <v>24</v>
      </c>
      <c r="C20" s="4">
        <v>0.12039312039312</v>
      </c>
      <c r="D20" s="4">
        <v>0.19354838709677399</v>
      </c>
      <c r="E20" s="4">
        <v>0.33782327586206901</v>
      </c>
      <c r="F20" s="4">
        <v>0.34506813757300497</v>
      </c>
      <c r="G20" s="4">
        <v>0.26792083088379398</v>
      </c>
      <c r="H20" s="4">
        <v>0.19097043701799499</v>
      </c>
      <c r="I20" s="4">
        <v>0.23552658838847201</v>
      </c>
      <c r="J20" s="15">
        <f t="shared" si="3"/>
        <v>12.039312039312</v>
      </c>
      <c r="K20" s="15">
        <f t="shared" si="4"/>
        <v>19.354838709677399</v>
      </c>
      <c r="L20" s="15">
        <f t="shared" si="5"/>
        <v>33.782327586206904</v>
      </c>
      <c r="M20" s="15">
        <f t="shared" si="6"/>
        <v>34.506813757300499</v>
      </c>
      <c r="N20" s="15">
        <f t="shared" si="7"/>
        <v>26.7920830883794</v>
      </c>
      <c r="O20" s="15">
        <f t="shared" si="1"/>
        <v>19.0970437017995</v>
      </c>
      <c r="P20" s="15">
        <f t="shared" si="2"/>
        <v>23.552658838847201</v>
      </c>
    </row>
    <row r="21" spans="1:16" x14ac:dyDescent="0.3">
      <c r="A21" s="2" t="s">
        <v>103</v>
      </c>
      <c r="B21" s="3" t="s">
        <v>25</v>
      </c>
      <c r="C21" s="4">
        <v>0.12727272727272701</v>
      </c>
      <c r="D21" s="4">
        <v>0.33333333333333298</v>
      </c>
      <c r="E21" s="4">
        <v>0.41038406827880503</v>
      </c>
      <c r="F21" s="4">
        <v>0.31890829694323097</v>
      </c>
      <c r="G21" s="4">
        <v>0.266666666666667</v>
      </c>
      <c r="H21" s="4">
        <v>0.40229752278269798</v>
      </c>
      <c r="I21" s="4">
        <v>0.31445398183446299</v>
      </c>
      <c r="J21" s="15">
        <f t="shared" si="3"/>
        <v>12.727272727272702</v>
      </c>
      <c r="K21" s="15">
        <f t="shared" si="4"/>
        <v>33.3333333333333</v>
      </c>
      <c r="L21" s="15">
        <f t="shared" si="5"/>
        <v>41.0384068278805</v>
      </c>
      <c r="M21" s="15">
        <f t="shared" si="6"/>
        <v>31.890829694323099</v>
      </c>
      <c r="N21" s="15">
        <f t="shared" si="7"/>
        <v>26.6666666666667</v>
      </c>
      <c r="O21" s="15">
        <f t="shared" si="1"/>
        <v>40.2297522782698</v>
      </c>
      <c r="P21" s="15">
        <f t="shared" si="2"/>
        <v>31.445398183446301</v>
      </c>
    </row>
    <row r="22" spans="1:16" x14ac:dyDescent="0.3">
      <c r="A22" s="2" t="s">
        <v>103</v>
      </c>
      <c r="B22" s="3" t="s">
        <v>26</v>
      </c>
      <c r="C22" s="4">
        <v>5.3872053872053897E-2</v>
      </c>
      <c r="D22" s="4">
        <v>0.16666666666666699</v>
      </c>
      <c r="E22" s="4">
        <v>0.31790123456790098</v>
      </c>
      <c r="F22" s="4">
        <v>0.36442216501829</v>
      </c>
      <c r="G22" s="4">
        <v>0.253847440615591</v>
      </c>
      <c r="H22" s="4">
        <v>0.288975620188195</v>
      </c>
      <c r="I22" s="4">
        <v>0.26342508830713901</v>
      </c>
      <c r="J22" s="15">
        <f t="shared" si="3"/>
        <v>5.3872053872053893</v>
      </c>
      <c r="K22" s="15">
        <f t="shared" si="4"/>
        <v>16.6666666666667</v>
      </c>
      <c r="L22" s="15">
        <f t="shared" si="5"/>
        <v>31.790123456790099</v>
      </c>
      <c r="M22" s="15">
        <f t="shared" si="6"/>
        <v>36.442216501829002</v>
      </c>
      <c r="N22" s="15">
        <f t="shared" si="7"/>
        <v>25.3847440615591</v>
      </c>
      <c r="O22" s="15">
        <f t="shared" si="1"/>
        <v>28.897562018819499</v>
      </c>
      <c r="P22" s="15">
        <f t="shared" si="2"/>
        <v>26.3425088307139</v>
      </c>
    </row>
    <row r="23" spans="1:16" x14ac:dyDescent="0.3">
      <c r="A23" s="2" t="s">
        <v>103</v>
      </c>
      <c r="B23" s="3" t="s">
        <v>27</v>
      </c>
      <c r="C23" s="4">
        <v>0.12961296129613001</v>
      </c>
      <c r="D23" s="4">
        <v>0.28888888888888897</v>
      </c>
      <c r="E23" s="4">
        <v>0.104093567251462</v>
      </c>
      <c r="F23" s="4">
        <v>9.4743157679738593E-2</v>
      </c>
      <c r="G23" s="4">
        <v>0.38446346280447702</v>
      </c>
      <c r="H23" s="4">
        <v>0.18409972561264101</v>
      </c>
      <c r="I23" s="4">
        <v>0.21828384310848201</v>
      </c>
      <c r="J23" s="15">
        <f t="shared" si="3"/>
        <v>12.961296129613</v>
      </c>
      <c r="K23" s="15">
        <f t="shared" si="4"/>
        <v>28.888888888888896</v>
      </c>
      <c r="L23" s="15">
        <f t="shared" si="5"/>
        <v>10.4093567251462</v>
      </c>
      <c r="M23" s="15">
        <f t="shared" si="6"/>
        <v>9.4743157679738594</v>
      </c>
      <c r="N23" s="15">
        <f t="shared" si="7"/>
        <v>38.446346280447699</v>
      </c>
      <c r="O23" s="15">
        <f t="shared" si="1"/>
        <v>18.409972561264102</v>
      </c>
      <c r="P23" s="15">
        <f t="shared" si="2"/>
        <v>21.8283843108482</v>
      </c>
    </row>
    <row r="24" spans="1:16" x14ac:dyDescent="0.3">
      <c r="A24" s="2" t="s">
        <v>103</v>
      </c>
      <c r="B24" s="3" t="s">
        <v>28</v>
      </c>
      <c r="C24" s="4">
        <v>5.0179211469534003E-2</v>
      </c>
      <c r="D24" s="4">
        <v>0</v>
      </c>
      <c r="E24" s="4">
        <v>0.14403292181069999</v>
      </c>
      <c r="F24" s="4">
        <v>0.11252787068004499</v>
      </c>
      <c r="G24" s="4">
        <v>0.224649998430486</v>
      </c>
      <c r="H24" s="4">
        <v>8.7632714001327106E-2</v>
      </c>
      <c r="I24" s="4">
        <v>0.123459002775281</v>
      </c>
      <c r="J24" s="15">
        <f t="shared" si="3"/>
        <v>5.0179211469534</v>
      </c>
      <c r="K24" s="15">
        <f t="shared" si="4"/>
        <v>0</v>
      </c>
      <c r="L24" s="15">
        <f t="shared" si="5"/>
        <v>14.403292181069999</v>
      </c>
      <c r="M24" s="15">
        <f t="shared" si="6"/>
        <v>11.252787068004499</v>
      </c>
      <c r="N24" s="15">
        <f t="shared" si="7"/>
        <v>22.464999843048599</v>
      </c>
      <c r="O24" s="15">
        <f t="shared" si="1"/>
        <v>8.7632714001327106</v>
      </c>
      <c r="P24" s="15">
        <f t="shared" si="2"/>
        <v>12.3459002775281</v>
      </c>
    </row>
    <row r="25" spans="1:16" x14ac:dyDescent="0.3">
      <c r="A25" s="2" t="s">
        <v>103</v>
      </c>
      <c r="B25" s="3" t="s">
        <v>29</v>
      </c>
      <c r="C25" s="4">
        <v>0</v>
      </c>
      <c r="D25" s="4">
        <v>0</v>
      </c>
      <c r="E25" s="4">
        <v>3.6866359447004601E-2</v>
      </c>
      <c r="F25" s="4">
        <v>2.9304029304029301E-2</v>
      </c>
      <c r="G25" s="4">
        <v>0.20200080032012799</v>
      </c>
      <c r="H25" s="4">
        <v>0.162996854446669</v>
      </c>
      <c r="I25" s="4">
        <v>0.116154446310776</v>
      </c>
      <c r="J25" s="15">
        <f t="shared" si="3"/>
        <v>0</v>
      </c>
      <c r="K25" s="15">
        <f t="shared" si="4"/>
        <v>0</v>
      </c>
      <c r="L25" s="15">
        <f t="shared" si="5"/>
        <v>3.68663594470046</v>
      </c>
      <c r="M25" s="15">
        <f t="shared" si="6"/>
        <v>2.9304029304029302</v>
      </c>
      <c r="N25" s="15">
        <f t="shared" si="7"/>
        <v>20.200080032012799</v>
      </c>
      <c r="O25" s="15">
        <f t="shared" si="1"/>
        <v>16.299685444666899</v>
      </c>
      <c r="P25" s="15">
        <f t="shared" si="2"/>
        <v>11.615444631077599</v>
      </c>
    </row>
    <row r="26" spans="1:16" x14ac:dyDescent="0.3">
      <c r="A26" s="2" t="s">
        <v>103</v>
      </c>
      <c r="B26" s="3" t="s">
        <v>30</v>
      </c>
      <c r="C26" s="4">
        <v>0</v>
      </c>
      <c r="D26" s="4">
        <v>0</v>
      </c>
      <c r="E26" s="4">
        <v>0.13907785336356801</v>
      </c>
      <c r="F26" s="4">
        <v>0.156936936936937</v>
      </c>
      <c r="G26" s="4">
        <v>0.164416742677612</v>
      </c>
      <c r="H26" s="4">
        <v>0.11272734365095601</v>
      </c>
      <c r="I26" s="4">
        <v>0.118201201475454</v>
      </c>
      <c r="J26" s="15">
        <f t="shared" si="3"/>
        <v>0</v>
      </c>
      <c r="K26" s="15">
        <f t="shared" si="4"/>
        <v>0</v>
      </c>
      <c r="L26" s="15">
        <f t="shared" si="5"/>
        <v>13.907785336356801</v>
      </c>
      <c r="M26" s="15">
        <f t="shared" si="6"/>
        <v>15.693693693693699</v>
      </c>
      <c r="N26" s="15">
        <f t="shared" si="7"/>
        <v>16.441674267761201</v>
      </c>
      <c r="O26" s="15">
        <f t="shared" si="1"/>
        <v>11.2727343650956</v>
      </c>
      <c r="P26" s="15">
        <f t="shared" si="2"/>
        <v>11.820120147545401</v>
      </c>
    </row>
    <row r="27" spans="1:16" x14ac:dyDescent="0.3">
      <c r="A27" s="2" t="s">
        <v>103</v>
      </c>
      <c r="B27" s="3" t="s">
        <v>31</v>
      </c>
      <c r="C27" s="4">
        <v>0</v>
      </c>
      <c r="D27" s="4">
        <v>0</v>
      </c>
      <c r="E27" s="4">
        <v>7.2727272727272696E-2</v>
      </c>
      <c r="F27" s="4">
        <v>7.1794871794871803E-2</v>
      </c>
      <c r="G27" s="4">
        <v>1.6897081413210401E-2</v>
      </c>
      <c r="H27" s="4">
        <v>0.12129008202833701</v>
      </c>
      <c r="I27" s="4">
        <v>6.1646346572817201E-2</v>
      </c>
      <c r="J27" s="15">
        <f t="shared" si="3"/>
        <v>0</v>
      </c>
      <c r="K27" s="15">
        <f t="shared" si="4"/>
        <v>0</v>
      </c>
      <c r="L27" s="15">
        <f t="shared" si="5"/>
        <v>7.2727272727272698</v>
      </c>
      <c r="M27" s="15">
        <f t="shared" si="6"/>
        <v>7.1794871794871806</v>
      </c>
      <c r="N27" s="15">
        <f t="shared" si="7"/>
        <v>1.6897081413210402</v>
      </c>
      <c r="O27" s="15">
        <f t="shared" si="1"/>
        <v>12.129008202833701</v>
      </c>
      <c r="P27" s="15">
        <f t="shared" si="2"/>
        <v>6.1646346572817201</v>
      </c>
    </row>
    <row r="28" spans="1:16" x14ac:dyDescent="0.3">
      <c r="A28" s="2" t="s">
        <v>103</v>
      </c>
      <c r="B28" s="3" t="s">
        <v>32</v>
      </c>
      <c r="C28" s="4">
        <v>7.3309801792017404E-2</v>
      </c>
      <c r="D28" s="4">
        <v>0.15064102564102599</v>
      </c>
      <c r="E28" s="4">
        <v>0.21</v>
      </c>
      <c r="F28" s="4">
        <v>0.20905301081866101</v>
      </c>
      <c r="G28" s="4">
        <v>8.5493248094874102E-2</v>
      </c>
      <c r="H28" s="4">
        <v>8.3660510881682901E-2</v>
      </c>
      <c r="I28" s="4">
        <v>0.110571599615035</v>
      </c>
      <c r="J28" s="15">
        <f t="shared" si="3"/>
        <v>7.3309801792017399</v>
      </c>
      <c r="K28" s="15">
        <f t="shared" si="4"/>
        <v>15.064102564102599</v>
      </c>
      <c r="L28" s="15">
        <f t="shared" si="5"/>
        <v>21</v>
      </c>
      <c r="M28" s="15">
        <f t="shared" si="6"/>
        <v>20.905301081866099</v>
      </c>
      <c r="N28" s="15">
        <f t="shared" si="7"/>
        <v>8.5493248094874108</v>
      </c>
      <c r="O28" s="15">
        <f t="shared" si="1"/>
        <v>8.3660510881682892</v>
      </c>
      <c r="P28" s="15">
        <f t="shared" si="2"/>
        <v>11.057159961503499</v>
      </c>
    </row>
    <row r="29" spans="1:16" x14ac:dyDescent="0.3">
      <c r="A29" s="2" t="s">
        <v>103</v>
      </c>
      <c r="B29" s="3" t="s">
        <v>33</v>
      </c>
      <c r="C29" s="4">
        <v>0</v>
      </c>
      <c r="D29" s="4">
        <v>0.12575757575757601</v>
      </c>
      <c r="E29" s="4">
        <v>6.7857142857142894E-2</v>
      </c>
      <c r="F29" s="4">
        <v>5.0953867046211299E-2</v>
      </c>
      <c r="G29" s="4">
        <v>0.11442706670922401</v>
      </c>
      <c r="H29" s="4">
        <v>5.7644110275689199E-2</v>
      </c>
      <c r="I29" s="4">
        <v>6.8267079335393305E-2</v>
      </c>
      <c r="J29" s="15">
        <f t="shared" si="3"/>
        <v>0</v>
      </c>
      <c r="K29" s="15">
        <f t="shared" si="4"/>
        <v>12.575757575757601</v>
      </c>
      <c r="L29" s="15">
        <f t="shared" si="5"/>
        <v>6.7857142857142891</v>
      </c>
      <c r="M29" s="15">
        <f t="shared" si="6"/>
        <v>5.0953867046211299</v>
      </c>
      <c r="N29" s="15">
        <f t="shared" si="7"/>
        <v>11.442706670922401</v>
      </c>
      <c r="O29" s="15">
        <f t="shared" si="1"/>
        <v>5.7644110275689195</v>
      </c>
      <c r="P29" s="15">
        <f t="shared" si="2"/>
        <v>6.8267079335393301</v>
      </c>
    </row>
    <row r="30" spans="1:16" x14ac:dyDescent="0.3">
      <c r="A30" s="2" t="s">
        <v>103</v>
      </c>
      <c r="B30" s="3" t="s">
        <v>34</v>
      </c>
      <c r="C30" s="4">
        <v>0</v>
      </c>
      <c r="D30" s="4">
        <v>0.10784313725490199</v>
      </c>
      <c r="E30" s="4">
        <v>2.1367521367521399E-2</v>
      </c>
      <c r="F30" s="4">
        <v>0.11971830985915501</v>
      </c>
      <c r="G30" s="4">
        <v>8.4608202255261097E-2</v>
      </c>
      <c r="H30" s="4">
        <v>0.111480051480051</v>
      </c>
      <c r="I30" s="4">
        <v>8.9033939916292895E-2</v>
      </c>
      <c r="J30" s="15">
        <f t="shared" si="3"/>
        <v>0</v>
      </c>
      <c r="K30" s="15">
        <f t="shared" si="4"/>
        <v>10.784313725490199</v>
      </c>
      <c r="L30" s="15">
        <f t="shared" si="5"/>
        <v>2.1367521367521398</v>
      </c>
      <c r="M30" s="15">
        <f t="shared" si="6"/>
        <v>11.971830985915501</v>
      </c>
      <c r="N30" s="15">
        <f t="shared" si="7"/>
        <v>8.4608202255261098</v>
      </c>
      <c r="O30" s="15">
        <f t="shared" si="1"/>
        <v>11.148005148005099</v>
      </c>
      <c r="P30" s="15">
        <f t="shared" si="2"/>
        <v>8.9033939916292901</v>
      </c>
    </row>
    <row r="31" spans="1:16" x14ac:dyDescent="0.3">
      <c r="A31" s="2" t="s">
        <v>103</v>
      </c>
      <c r="B31" s="3" t="s">
        <v>35</v>
      </c>
      <c r="C31" s="4">
        <v>0</v>
      </c>
      <c r="D31" s="4">
        <v>0</v>
      </c>
      <c r="E31" s="4">
        <v>0</v>
      </c>
      <c r="F31" s="4">
        <v>0</v>
      </c>
      <c r="G31" s="4">
        <v>0.12826086956521701</v>
      </c>
      <c r="H31" s="4">
        <v>1.4828431372549E-2</v>
      </c>
      <c r="I31" s="4">
        <v>4.7230046948356801E-2</v>
      </c>
      <c r="J31" s="15">
        <f t="shared" si="3"/>
        <v>0</v>
      </c>
      <c r="K31" s="15">
        <f t="shared" si="4"/>
        <v>0</v>
      </c>
      <c r="L31" s="15">
        <f t="shared" si="5"/>
        <v>0</v>
      </c>
      <c r="M31" s="15">
        <f t="shared" si="6"/>
        <v>0</v>
      </c>
      <c r="N31" s="15">
        <f t="shared" si="7"/>
        <v>12.826086956521701</v>
      </c>
      <c r="O31" s="15">
        <f t="shared" si="1"/>
        <v>1.4828431372549</v>
      </c>
      <c r="P31" s="15">
        <f t="shared" si="2"/>
        <v>4.7230046948356801</v>
      </c>
    </row>
    <row r="32" spans="1:16" x14ac:dyDescent="0.3">
      <c r="A32" s="2" t="s">
        <v>103</v>
      </c>
      <c r="B32" s="3" t="s">
        <v>36</v>
      </c>
      <c r="C32" s="4">
        <v>0</v>
      </c>
      <c r="D32" s="4">
        <v>0</v>
      </c>
      <c r="E32" s="4">
        <v>0.15625</v>
      </c>
      <c r="F32" s="4">
        <v>0.11888284725655</v>
      </c>
      <c r="G32" s="4">
        <v>4.1517857142857099E-2</v>
      </c>
      <c r="H32" s="4">
        <v>1.8393234672304401E-2</v>
      </c>
      <c r="I32" s="4">
        <v>4.5581713838528798E-2</v>
      </c>
      <c r="J32" s="15">
        <f t="shared" si="3"/>
        <v>0</v>
      </c>
      <c r="K32" s="15">
        <f t="shared" si="4"/>
        <v>0</v>
      </c>
      <c r="L32" s="15">
        <f t="shared" si="5"/>
        <v>15.625</v>
      </c>
      <c r="M32" s="15">
        <f t="shared" si="6"/>
        <v>11.888284725655</v>
      </c>
      <c r="N32" s="15">
        <f t="shared" si="7"/>
        <v>4.15178571428571</v>
      </c>
      <c r="O32" s="15">
        <f t="shared" si="1"/>
        <v>1.8393234672304402</v>
      </c>
      <c r="P32" s="15">
        <f t="shared" si="2"/>
        <v>4.5581713838528799</v>
      </c>
    </row>
    <row r="33" spans="1:16" x14ac:dyDescent="0.3">
      <c r="A33" s="2" t="s">
        <v>103</v>
      </c>
      <c r="B33" s="3" t="s">
        <v>37</v>
      </c>
      <c r="C33" s="4">
        <v>0</v>
      </c>
      <c r="D33" s="4">
        <v>0</v>
      </c>
      <c r="E33" s="4">
        <v>6.3636363636363602E-2</v>
      </c>
      <c r="F33" s="4">
        <v>0.13851351351351401</v>
      </c>
      <c r="G33" s="4">
        <v>0.18983875874657699</v>
      </c>
      <c r="H33" s="4">
        <v>4.6296296296296301E-2</v>
      </c>
      <c r="I33" s="4">
        <v>0.102537642193443</v>
      </c>
      <c r="J33" s="15">
        <f t="shared" si="3"/>
        <v>0</v>
      </c>
      <c r="K33" s="15">
        <f t="shared" si="4"/>
        <v>0</v>
      </c>
      <c r="L33" s="15">
        <f t="shared" si="5"/>
        <v>6.3636363636363598</v>
      </c>
      <c r="M33" s="15">
        <f t="shared" si="6"/>
        <v>13.851351351351401</v>
      </c>
      <c r="N33" s="15">
        <f t="shared" si="7"/>
        <v>18.983875874657699</v>
      </c>
      <c r="O33" s="15">
        <f t="shared" si="1"/>
        <v>4.6296296296296298</v>
      </c>
      <c r="P33" s="15">
        <f t="shared" si="2"/>
        <v>10.253764219344299</v>
      </c>
    </row>
    <row r="34" spans="1:16" x14ac:dyDescent="0.3">
      <c r="A34" s="2" t="s">
        <v>103</v>
      </c>
      <c r="B34" s="3" t="s">
        <v>38</v>
      </c>
      <c r="C34" s="4">
        <v>0</v>
      </c>
      <c r="D34" s="4">
        <v>0</v>
      </c>
      <c r="E34" s="4">
        <v>0</v>
      </c>
      <c r="F34" s="4">
        <v>0</v>
      </c>
      <c r="G34" s="4">
        <v>3.2169312169312202E-2</v>
      </c>
      <c r="H34" s="4">
        <v>6.1191626409017701E-2</v>
      </c>
      <c r="I34" s="4">
        <v>2.9180695847362499E-2</v>
      </c>
      <c r="J34" s="15">
        <f t="shared" si="3"/>
        <v>0</v>
      </c>
      <c r="K34" s="15">
        <f t="shared" si="4"/>
        <v>0</v>
      </c>
      <c r="L34" s="15">
        <f t="shared" si="5"/>
        <v>0</v>
      </c>
      <c r="M34" s="15">
        <f t="shared" si="6"/>
        <v>0</v>
      </c>
      <c r="N34" s="15">
        <f t="shared" si="7"/>
        <v>3.2169312169312203</v>
      </c>
      <c r="O34" s="15">
        <f t="shared" si="1"/>
        <v>6.1191626409017701</v>
      </c>
      <c r="P34" s="15">
        <f t="shared" si="2"/>
        <v>2.9180695847362501</v>
      </c>
    </row>
    <row r="35" spans="1:16" x14ac:dyDescent="0.3">
      <c r="A35" s="2" t="s">
        <v>103</v>
      </c>
      <c r="B35" s="3" t="s">
        <v>39</v>
      </c>
      <c r="C35" s="4">
        <v>0</v>
      </c>
      <c r="D35" s="4">
        <v>0</v>
      </c>
      <c r="E35" s="4">
        <v>1.02564102564103E-2</v>
      </c>
      <c r="F35" s="4">
        <v>5.1767676767676803E-2</v>
      </c>
      <c r="G35" s="4">
        <v>0</v>
      </c>
      <c r="H35" s="4">
        <v>0</v>
      </c>
      <c r="I35" s="4">
        <v>9.6227056026051E-3</v>
      </c>
      <c r="J35" s="15">
        <f t="shared" si="3"/>
        <v>0</v>
      </c>
      <c r="K35" s="15">
        <f t="shared" si="4"/>
        <v>0</v>
      </c>
      <c r="L35" s="15">
        <f t="shared" si="5"/>
        <v>1.02564102564103</v>
      </c>
      <c r="M35" s="15">
        <f t="shared" si="6"/>
        <v>5.17676767676768</v>
      </c>
      <c r="N35" s="15">
        <f t="shared" si="7"/>
        <v>0</v>
      </c>
      <c r="O35" s="15">
        <f t="shared" si="1"/>
        <v>0</v>
      </c>
      <c r="P35" s="15">
        <f t="shared" si="2"/>
        <v>0.96227056026050994</v>
      </c>
    </row>
    <row r="36" spans="1:16" x14ac:dyDescent="0.3">
      <c r="A36" s="2" t="s">
        <v>103</v>
      </c>
      <c r="B36" s="3" t="s">
        <v>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4.3817678166708597E-2</v>
      </c>
      <c r="I36" s="4">
        <v>1.53655951960438E-2</v>
      </c>
      <c r="J36" s="15">
        <f t="shared" si="3"/>
        <v>0</v>
      </c>
      <c r="K36" s="15">
        <f t="shared" si="4"/>
        <v>0</v>
      </c>
      <c r="L36" s="15">
        <f t="shared" si="5"/>
        <v>0</v>
      </c>
      <c r="M36" s="15">
        <f t="shared" si="6"/>
        <v>0</v>
      </c>
      <c r="N36" s="15">
        <f t="shared" si="7"/>
        <v>0</v>
      </c>
      <c r="O36" s="15">
        <f t="shared" si="1"/>
        <v>4.3817678166708598</v>
      </c>
      <c r="P36" s="15">
        <f t="shared" si="2"/>
        <v>1.53655951960438</v>
      </c>
    </row>
    <row r="37" spans="1:16" x14ac:dyDescent="0.3">
      <c r="A37" s="2" t="s">
        <v>103</v>
      </c>
      <c r="B37" s="3" t="s">
        <v>41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2.4358974358974401E-2</v>
      </c>
      <c r="I37" s="4">
        <v>8.7205966724039005E-3</v>
      </c>
      <c r="J37" s="15">
        <f t="shared" si="3"/>
        <v>0</v>
      </c>
      <c r="K37" s="15">
        <f t="shared" si="4"/>
        <v>0</v>
      </c>
      <c r="L37" s="15">
        <f t="shared" si="5"/>
        <v>0</v>
      </c>
      <c r="M37" s="15">
        <f t="shared" si="6"/>
        <v>0</v>
      </c>
      <c r="N37" s="15">
        <f t="shared" si="7"/>
        <v>0</v>
      </c>
      <c r="O37" s="15">
        <f t="shared" si="1"/>
        <v>2.4358974358974401</v>
      </c>
      <c r="P37" s="15">
        <f t="shared" si="2"/>
        <v>0.87205966724039008</v>
      </c>
    </row>
    <row r="38" spans="1:16" x14ac:dyDescent="0.3">
      <c r="A38" s="2" t="s">
        <v>103</v>
      </c>
      <c r="B38" s="3" t="s">
        <v>42</v>
      </c>
      <c r="C38" s="4">
        <v>0</v>
      </c>
      <c r="D38" s="4">
        <v>0</v>
      </c>
      <c r="E38" s="4">
        <v>0</v>
      </c>
      <c r="F38" s="4">
        <v>6.9491525423728802E-3</v>
      </c>
      <c r="G38" s="4">
        <v>6.5385131508319899E-2</v>
      </c>
      <c r="H38" s="4">
        <v>0</v>
      </c>
      <c r="I38" s="4">
        <v>1.9941566452535201E-2</v>
      </c>
      <c r="J38" s="15">
        <f t="shared" si="3"/>
        <v>0</v>
      </c>
      <c r="K38" s="15">
        <f t="shared" si="4"/>
        <v>0</v>
      </c>
      <c r="L38" s="15">
        <f t="shared" si="5"/>
        <v>0</v>
      </c>
      <c r="M38" s="15">
        <f t="shared" si="6"/>
        <v>0.69491525423728806</v>
      </c>
      <c r="N38" s="15">
        <f t="shared" si="7"/>
        <v>6.5385131508319896</v>
      </c>
      <c r="O38" s="15">
        <f t="shared" si="1"/>
        <v>0</v>
      </c>
      <c r="P38" s="15">
        <f t="shared" si="2"/>
        <v>1.9941566452535202</v>
      </c>
    </row>
    <row r="39" spans="1:16" x14ac:dyDescent="0.3">
      <c r="A39" s="2" t="s">
        <v>103</v>
      </c>
      <c r="B39" s="3" t="s">
        <v>43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15">
        <f t="shared" si="3"/>
        <v>0</v>
      </c>
      <c r="K39" s="15">
        <f t="shared" si="4"/>
        <v>0</v>
      </c>
      <c r="L39" s="15">
        <f t="shared" si="5"/>
        <v>0</v>
      </c>
      <c r="M39" s="15">
        <f t="shared" si="6"/>
        <v>0</v>
      </c>
      <c r="N39" s="15">
        <f t="shared" si="7"/>
        <v>0</v>
      </c>
      <c r="O39" s="15">
        <f t="shared" si="1"/>
        <v>0</v>
      </c>
      <c r="P39" s="15">
        <f t="shared" si="2"/>
        <v>0</v>
      </c>
    </row>
    <row r="40" spans="1:16" x14ac:dyDescent="0.3">
      <c r="A40" s="2" t="s">
        <v>103</v>
      </c>
      <c r="B40" s="3" t="s">
        <v>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3.3333333333333298E-2</v>
      </c>
      <c r="I40" s="4">
        <v>1.29551820728291E-2</v>
      </c>
      <c r="J40" s="15">
        <f t="shared" si="3"/>
        <v>0</v>
      </c>
      <c r="K40" s="15">
        <f t="shared" si="4"/>
        <v>0</v>
      </c>
      <c r="L40" s="15">
        <f t="shared" si="5"/>
        <v>0</v>
      </c>
      <c r="M40" s="15">
        <f t="shared" si="6"/>
        <v>0</v>
      </c>
      <c r="N40" s="15">
        <f t="shared" si="7"/>
        <v>0</v>
      </c>
      <c r="O40" s="15">
        <f t="shared" si="1"/>
        <v>3.3333333333333299</v>
      </c>
      <c r="P40" s="15">
        <f t="shared" si="2"/>
        <v>1.2955182072829099</v>
      </c>
    </row>
    <row r="41" spans="1:16" x14ac:dyDescent="0.3">
      <c r="A41" s="2" t="s">
        <v>103</v>
      </c>
      <c r="B41" s="3" t="s">
        <v>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2.6086956521739101E-2</v>
      </c>
      <c r="I41" s="4">
        <v>9.9815157116451003E-3</v>
      </c>
      <c r="J41" s="15">
        <f t="shared" si="3"/>
        <v>0</v>
      </c>
      <c r="K41" s="15">
        <f t="shared" si="4"/>
        <v>0</v>
      </c>
      <c r="L41" s="15">
        <f t="shared" si="5"/>
        <v>0</v>
      </c>
      <c r="M41" s="15">
        <f t="shared" si="6"/>
        <v>0</v>
      </c>
      <c r="N41" s="15">
        <f t="shared" si="7"/>
        <v>0</v>
      </c>
      <c r="O41" s="15">
        <f t="shared" si="1"/>
        <v>2.60869565217391</v>
      </c>
      <c r="P41" s="15">
        <f t="shared" si="2"/>
        <v>0.99815157116451003</v>
      </c>
    </row>
    <row r="42" spans="1:16" x14ac:dyDescent="0.3">
      <c r="A42" s="2" t="s">
        <v>103</v>
      </c>
      <c r="B42" s="3" t="s">
        <v>46</v>
      </c>
      <c r="C42" s="4">
        <v>0</v>
      </c>
      <c r="D42" s="4">
        <v>0</v>
      </c>
      <c r="E42" s="4">
        <v>8.3333333333333301E-2</v>
      </c>
      <c r="F42" s="4">
        <v>4.60448642266824E-2</v>
      </c>
      <c r="G42" s="4">
        <v>0</v>
      </c>
      <c r="H42" s="4">
        <v>4.1967664258685901E-2</v>
      </c>
      <c r="I42" s="4">
        <v>2.66407389402042E-2</v>
      </c>
      <c r="J42" s="15">
        <f t="shared" si="3"/>
        <v>0</v>
      </c>
      <c r="K42" s="15">
        <f t="shared" si="4"/>
        <v>0</v>
      </c>
      <c r="L42" s="15">
        <f t="shared" si="5"/>
        <v>8.3333333333333304</v>
      </c>
      <c r="M42" s="15">
        <f t="shared" si="6"/>
        <v>4.6044864226682396</v>
      </c>
      <c r="N42" s="15">
        <f t="shared" si="7"/>
        <v>0</v>
      </c>
      <c r="O42" s="15">
        <f t="shared" si="1"/>
        <v>4.1967664258685904</v>
      </c>
      <c r="P42" s="15">
        <f t="shared" si="2"/>
        <v>2.6640738940204201</v>
      </c>
    </row>
    <row r="43" spans="1:16" x14ac:dyDescent="0.3">
      <c r="A43" s="2" t="s">
        <v>103</v>
      </c>
      <c r="B43" s="3" t="s">
        <v>47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15">
        <f t="shared" si="3"/>
        <v>0</v>
      </c>
      <c r="K43" s="15">
        <f t="shared" si="4"/>
        <v>0</v>
      </c>
      <c r="L43" s="15">
        <f t="shared" si="5"/>
        <v>0</v>
      </c>
      <c r="M43" s="15">
        <f t="shared" si="6"/>
        <v>0</v>
      </c>
      <c r="N43" s="15">
        <f t="shared" si="7"/>
        <v>0</v>
      </c>
      <c r="O43" s="15">
        <f t="shared" si="1"/>
        <v>0</v>
      </c>
      <c r="P43" s="15">
        <f t="shared" si="2"/>
        <v>0</v>
      </c>
    </row>
    <row r="44" spans="1:16" x14ac:dyDescent="0.3">
      <c r="A44" s="2" t="s">
        <v>103</v>
      </c>
      <c r="B44" s="3" t="s">
        <v>48</v>
      </c>
      <c r="C44" s="4">
        <v>0</v>
      </c>
      <c r="D44" s="4">
        <v>0.66666666666666696</v>
      </c>
      <c r="E44" s="4">
        <v>2.4509803921568599E-2</v>
      </c>
      <c r="F44" s="4">
        <v>0</v>
      </c>
      <c r="G44" s="4">
        <v>8.7191785033511604E-2</v>
      </c>
      <c r="H44" s="4">
        <v>4.8275862068965503E-2</v>
      </c>
      <c r="I44" s="4">
        <v>6.8780749479278896E-2</v>
      </c>
      <c r="J44" s="15">
        <f t="shared" si="3"/>
        <v>0</v>
      </c>
      <c r="K44" s="15">
        <f t="shared" si="4"/>
        <v>66.6666666666667</v>
      </c>
      <c r="L44" s="15">
        <f t="shared" si="5"/>
        <v>2.4509803921568598</v>
      </c>
      <c r="M44" s="15">
        <f t="shared" si="6"/>
        <v>0</v>
      </c>
      <c r="N44" s="15">
        <f t="shared" si="7"/>
        <v>8.7191785033511611</v>
      </c>
      <c r="O44" s="15">
        <f t="shared" si="1"/>
        <v>4.8275862068965498</v>
      </c>
      <c r="P44" s="15">
        <f t="shared" si="2"/>
        <v>6.8780749479278898</v>
      </c>
    </row>
    <row r="45" spans="1:16" x14ac:dyDescent="0.3">
      <c r="A45" s="2" t="s">
        <v>103</v>
      </c>
      <c r="B45" s="3" t="s">
        <v>49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15">
        <f t="shared" si="3"/>
        <v>0</v>
      </c>
      <c r="K45" s="15">
        <f t="shared" si="4"/>
        <v>0</v>
      </c>
      <c r="L45" s="15">
        <f t="shared" si="5"/>
        <v>0</v>
      </c>
      <c r="M45" s="15">
        <f t="shared" si="6"/>
        <v>0</v>
      </c>
      <c r="N45" s="15">
        <f t="shared" si="7"/>
        <v>0</v>
      </c>
      <c r="O45" s="15">
        <f t="shared" si="1"/>
        <v>0</v>
      </c>
      <c r="P45" s="15">
        <f t="shared" si="2"/>
        <v>0</v>
      </c>
    </row>
    <row r="46" spans="1:16" x14ac:dyDescent="0.3">
      <c r="A46" s="2" t="s">
        <v>103</v>
      </c>
      <c r="B46" s="3" t="s">
        <v>50</v>
      </c>
      <c r="C46" s="4">
        <v>0</v>
      </c>
      <c r="D46" s="4">
        <v>0</v>
      </c>
      <c r="E46" s="4">
        <v>0.125</v>
      </c>
      <c r="F46" s="4">
        <v>0</v>
      </c>
      <c r="G46" s="4">
        <v>3.4171502256608602E-2</v>
      </c>
      <c r="H46" s="4">
        <v>2.756052141527E-2</v>
      </c>
      <c r="I46" s="4">
        <v>2.5357347055460298E-2</v>
      </c>
      <c r="J46" s="15">
        <f t="shared" si="3"/>
        <v>0</v>
      </c>
      <c r="K46" s="15">
        <f t="shared" si="4"/>
        <v>0</v>
      </c>
      <c r="L46" s="15">
        <f t="shared" si="5"/>
        <v>12.5</v>
      </c>
      <c r="M46" s="15">
        <f t="shared" si="6"/>
        <v>0</v>
      </c>
      <c r="N46" s="15">
        <f t="shared" si="7"/>
        <v>3.4171502256608601</v>
      </c>
      <c r="O46" s="15">
        <f t="shared" si="1"/>
        <v>2.7560521415269998</v>
      </c>
      <c r="P46" s="15">
        <f t="shared" si="2"/>
        <v>2.5357347055460298</v>
      </c>
    </row>
    <row r="47" spans="1:16" x14ac:dyDescent="0.3">
      <c r="A47" s="2" t="s">
        <v>103</v>
      </c>
      <c r="B47" s="3" t="s">
        <v>51</v>
      </c>
      <c r="C47" s="4">
        <v>0</v>
      </c>
      <c r="D47" s="4">
        <v>0</v>
      </c>
      <c r="E47" s="4">
        <v>0</v>
      </c>
      <c r="F47" s="4">
        <v>1.3501742160278701E-2</v>
      </c>
      <c r="G47" s="4">
        <v>1.9599999999999999E-2</v>
      </c>
      <c r="H47" s="4">
        <v>0.11539115646258501</v>
      </c>
      <c r="I47" s="4">
        <v>5.8817549491706797E-2</v>
      </c>
      <c r="J47" s="15">
        <f t="shared" si="3"/>
        <v>0</v>
      </c>
      <c r="K47" s="15">
        <f t="shared" si="4"/>
        <v>0</v>
      </c>
      <c r="L47" s="15">
        <f t="shared" si="5"/>
        <v>0</v>
      </c>
      <c r="M47" s="15">
        <f t="shared" si="6"/>
        <v>1.35017421602787</v>
      </c>
      <c r="N47" s="15">
        <f t="shared" si="7"/>
        <v>1.96</v>
      </c>
      <c r="O47" s="15">
        <f t="shared" si="1"/>
        <v>11.5391156462585</v>
      </c>
      <c r="P47" s="15">
        <f t="shared" si="2"/>
        <v>5.8817549491706798</v>
      </c>
    </row>
    <row r="48" spans="1:16" x14ac:dyDescent="0.3">
      <c r="A48" s="2" t="s">
        <v>103</v>
      </c>
      <c r="B48" s="3" t="s">
        <v>52</v>
      </c>
      <c r="C48" s="4">
        <v>0</v>
      </c>
      <c r="D48" s="4">
        <v>0</v>
      </c>
      <c r="E48" s="4">
        <v>0</v>
      </c>
      <c r="F48" s="4">
        <v>0</v>
      </c>
      <c r="G48" s="4">
        <v>6.5755832534356004E-2</v>
      </c>
      <c r="H48" s="4">
        <v>3.0230978260869599E-2</v>
      </c>
      <c r="I48" s="4">
        <v>3.3684471595655803E-2</v>
      </c>
      <c r="J48" s="15">
        <f t="shared" si="3"/>
        <v>0</v>
      </c>
      <c r="K48" s="15">
        <f t="shared" si="4"/>
        <v>0</v>
      </c>
      <c r="L48" s="15">
        <f t="shared" si="5"/>
        <v>0</v>
      </c>
      <c r="M48" s="15">
        <f t="shared" si="6"/>
        <v>0</v>
      </c>
      <c r="N48" s="15">
        <f t="shared" si="7"/>
        <v>6.5755832534356005</v>
      </c>
      <c r="O48" s="15">
        <f t="shared" si="1"/>
        <v>3.0230978260869601</v>
      </c>
      <c r="P48" s="15">
        <f t="shared" si="2"/>
        <v>3.3684471595655805</v>
      </c>
    </row>
    <row r="49" spans="1:16" x14ac:dyDescent="0.3">
      <c r="A49" s="2" t="s">
        <v>103</v>
      </c>
      <c r="B49" s="3" t="s">
        <v>53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2.3096663815226699E-2</v>
      </c>
      <c r="I49" s="4">
        <v>8.7068687520154807E-3</v>
      </c>
      <c r="J49" s="15">
        <f t="shared" si="3"/>
        <v>0</v>
      </c>
      <c r="K49" s="15">
        <f t="shared" si="4"/>
        <v>0</v>
      </c>
      <c r="L49" s="15">
        <f t="shared" si="5"/>
        <v>0</v>
      </c>
      <c r="M49" s="15">
        <f t="shared" si="6"/>
        <v>0</v>
      </c>
      <c r="N49" s="15">
        <f t="shared" si="7"/>
        <v>0</v>
      </c>
      <c r="O49" s="15">
        <f t="shared" si="1"/>
        <v>2.3096663815226699</v>
      </c>
      <c r="P49" s="15">
        <f t="shared" si="2"/>
        <v>0.87068687520154808</v>
      </c>
    </row>
    <row r="50" spans="1:16" x14ac:dyDescent="0.3">
      <c r="A50" s="2" t="s">
        <v>103</v>
      </c>
      <c r="B50" s="3" t="s">
        <v>54</v>
      </c>
      <c r="C50" s="4">
        <v>0</v>
      </c>
      <c r="D50" s="4">
        <v>0</v>
      </c>
      <c r="E50" s="4">
        <v>0</v>
      </c>
      <c r="F50" s="4">
        <v>6.7502410800385701E-3</v>
      </c>
      <c r="G50" s="4">
        <v>0.1370908474193</v>
      </c>
      <c r="H50" s="4">
        <v>7.3699256718124606E-2</v>
      </c>
      <c r="I50" s="4">
        <v>7.0598592431135199E-2</v>
      </c>
      <c r="J50" s="15">
        <f t="shared" si="3"/>
        <v>0</v>
      </c>
      <c r="K50" s="15">
        <f t="shared" si="4"/>
        <v>0</v>
      </c>
      <c r="L50" s="15">
        <f t="shared" si="5"/>
        <v>0</v>
      </c>
      <c r="M50" s="15">
        <f t="shared" si="6"/>
        <v>0.67502410800385704</v>
      </c>
      <c r="N50" s="15">
        <f t="shared" si="7"/>
        <v>13.709084741929999</v>
      </c>
      <c r="O50" s="15">
        <f t="shared" si="1"/>
        <v>7.3699256718124602</v>
      </c>
      <c r="P50" s="15">
        <f t="shared" si="2"/>
        <v>7.0598592431135199</v>
      </c>
    </row>
    <row r="51" spans="1:16" x14ac:dyDescent="0.3">
      <c r="A51" s="2" t="s">
        <v>103</v>
      </c>
      <c r="B51" s="3" t="s">
        <v>55</v>
      </c>
      <c r="C51" s="4">
        <v>0</v>
      </c>
      <c r="D51" s="4">
        <v>0</v>
      </c>
      <c r="E51" s="4">
        <v>0.1</v>
      </c>
      <c r="F51" s="4">
        <v>6.5466448445171896E-2</v>
      </c>
      <c r="G51" s="4">
        <v>0</v>
      </c>
      <c r="H51" s="4">
        <v>7.7777777777777807E-2</v>
      </c>
      <c r="I51" s="4">
        <v>4.2539388322520903E-2</v>
      </c>
      <c r="J51" s="15">
        <f t="shared" si="3"/>
        <v>0</v>
      </c>
      <c r="K51" s="15">
        <f t="shared" si="4"/>
        <v>0</v>
      </c>
      <c r="L51" s="15">
        <f t="shared" si="5"/>
        <v>10</v>
      </c>
      <c r="M51" s="15">
        <f t="shared" si="6"/>
        <v>6.5466448445171892</v>
      </c>
      <c r="N51" s="15">
        <f t="shared" si="7"/>
        <v>0</v>
      </c>
      <c r="O51" s="15">
        <f t="shared" si="1"/>
        <v>7.7777777777777803</v>
      </c>
      <c r="P51" s="15">
        <f t="shared" si="2"/>
        <v>4.2539388322520901</v>
      </c>
    </row>
    <row r="52" spans="1:16" x14ac:dyDescent="0.3">
      <c r="A52" s="2" t="s">
        <v>103</v>
      </c>
      <c r="B52" s="3" t="s">
        <v>56</v>
      </c>
      <c r="C52" s="4">
        <v>0</v>
      </c>
      <c r="D52" s="4">
        <v>6.6666666666666693E-2</v>
      </c>
      <c r="E52" s="4">
        <v>0.21205357142857101</v>
      </c>
      <c r="F52" s="4">
        <v>0.149017836983518</v>
      </c>
      <c r="G52" s="4">
        <v>3.3314511575381102E-2</v>
      </c>
      <c r="H52" s="4">
        <v>4.0069686411149802E-2</v>
      </c>
      <c r="I52" s="4">
        <v>6.0984131026685602E-2</v>
      </c>
      <c r="J52" s="15">
        <f t="shared" si="3"/>
        <v>0</v>
      </c>
      <c r="K52" s="15">
        <f t="shared" si="4"/>
        <v>6.6666666666666696</v>
      </c>
      <c r="L52" s="15">
        <f t="shared" si="5"/>
        <v>21.2053571428571</v>
      </c>
      <c r="M52" s="15">
        <f t="shared" si="6"/>
        <v>14.9017836983518</v>
      </c>
      <c r="N52" s="15">
        <f t="shared" si="7"/>
        <v>3.3314511575381101</v>
      </c>
      <c r="O52" s="15">
        <f t="shared" si="1"/>
        <v>4.0069686411149803</v>
      </c>
      <c r="P52" s="15">
        <f t="shared" si="2"/>
        <v>6.0984131026685606</v>
      </c>
    </row>
    <row r="53" spans="1:16" x14ac:dyDescent="0.3">
      <c r="A53" s="2" t="s">
        <v>103</v>
      </c>
      <c r="B53" s="3" t="s">
        <v>57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4.1390728476821202E-2</v>
      </c>
      <c r="I53" s="4">
        <v>1.2677484787018301E-2</v>
      </c>
      <c r="J53" s="15">
        <f t="shared" si="3"/>
        <v>0</v>
      </c>
      <c r="K53" s="15">
        <f t="shared" si="4"/>
        <v>0</v>
      </c>
      <c r="L53" s="15">
        <f t="shared" si="5"/>
        <v>0</v>
      </c>
      <c r="M53" s="15">
        <f t="shared" si="6"/>
        <v>0</v>
      </c>
      <c r="N53" s="15">
        <f t="shared" si="7"/>
        <v>0</v>
      </c>
      <c r="O53" s="15">
        <f t="shared" si="1"/>
        <v>4.1390728476821206</v>
      </c>
      <c r="P53" s="15">
        <f t="shared" si="2"/>
        <v>1.2677484787018301</v>
      </c>
    </row>
    <row r="54" spans="1:16" x14ac:dyDescent="0.3">
      <c r="A54" s="2" t="s">
        <v>103</v>
      </c>
      <c r="B54" s="3" t="s">
        <v>58</v>
      </c>
      <c r="C54" s="4">
        <v>0</v>
      </c>
      <c r="D54" s="4">
        <v>0</v>
      </c>
      <c r="E54" s="4">
        <v>0</v>
      </c>
      <c r="F54" s="4">
        <v>0</v>
      </c>
      <c r="G54" s="4">
        <v>0.109230859627475</v>
      </c>
      <c r="H54" s="4">
        <v>0.114449213161659</v>
      </c>
      <c r="I54" s="4">
        <v>7.3706025242487594E-2</v>
      </c>
      <c r="J54" s="15">
        <f t="shared" si="3"/>
        <v>0</v>
      </c>
      <c r="K54" s="15">
        <f t="shared" si="4"/>
        <v>0</v>
      </c>
      <c r="L54" s="15">
        <f t="shared" si="5"/>
        <v>0</v>
      </c>
      <c r="M54" s="15">
        <f t="shared" si="6"/>
        <v>0</v>
      </c>
      <c r="N54" s="15">
        <f t="shared" si="7"/>
        <v>10.9230859627475</v>
      </c>
      <c r="O54" s="15">
        <f t="shared" si="1"/>
        <v>11.4449213161659</v>
      </c>
      <c r="P54" s="15">
        <f t="shared" si="2"/>
        <v>7.3706025242487598</v>
      </c>
    </row>
    <row r="55" spans="1:16" x14ac:dyDescent="0.3">
      <c r="A55" s="2" t="s">
        <v>103</v>
      </c>
      <c r="B55" s="3" t="s">
        <v>59</v>
      </c>
      <c r="C55" s="4">
        <v>0</v>
      </c>
      <c r="D55" s="4">
        <v>0</v>
      </c>
      <c r="E55" s="4">
        <v>0</v>
      </c>
      <c r="F55" s="4">
        <v>3.1339031339031299E-2</v>
      </c>
      <c r="G55" s="4">
        <v>0.17567563765123501</v>
      </c>
      <c r="H55" s="4">
        <v>0.112294818152559</v>
      </c>
      <c r="I55" s="4">
        <v>9.7888337799113406E-2</v>
      </c>
      <c r="J55" s="15">
        <f t="shared" si="3"/>
        <v>0</v>
      </c>
      <c r="K55" s="15">
        <f t="shared" si="4"/>
        <v>0</v>
      </c>
      <c r="L55" s="15">
        <f t="shared" si="5"/>
        <v>0</v>
      </c>
      <c r="M55" s="15">
        <f t="shared" si="6"/>
        <v>3.13390313390313</v>
      </c>
      <c r="N55" s="15">
        <f t="shared" si="7"/>
        <v>17.567563765123502</v>
      </c>
      <c r="O55" s="15">
        <f t="shared" si="1"/>
        <v>11.2294818152559</v>
      </c>
      <c r="P55" s="15">
        <f t="shared" si="2"/>
        <v>9.7888337799113412</v>
      </c>
    </row>
    <row r="56" spans="1:16" x14ac:dyDescent="0.3">
      <c r="A56" s="2" t="s">
        <v>103</v>
      </c>
      <c r="B56" s="3" t="s">
        <v>60</v>
      </c>
      <c r="C56" s="4">
        <v>0</v>
      </c>
      <c r="D56" s="4">
        <v>0</v>
      </c>
      <c r="E56" s="4">
        <v>0</v>
      </c>
      <c r="F56" s="4">
        <v>7.8082141162959098E-2</v>
      </c>
      <c r="G56" s="4">
        <v>0.17115641305666801</v>
      </c>
      <c r="H56" s="4">
        <v>3.20754716981132E-2</v>
      </c>
      <c r="I56" s="4">
        <v>8.25612819543005E-2</v>
      </c>
      <c r="J56" s="15">
        <f t="shared" si="3"/>
        <v>0</v>
      </c>
      <c r="K56" s="15">
        <f t="shared" si="4"/>
        <v>0</v>
      </c>
      <c r="L56" s="15">
        <f t="shared" si="5"/>
        <v>0</v>
      </c>
      <c r="M56" s="15">
        <f t="shared" si="6"/>
        <v>7.8082141162959102</v>
      </c>
      <c r="N56" s="15">
        <f t="shared" si="7"/>
        <v>17.115641305666802</v>
      </c>
      <c r="O56" s="15">
        <f t="shared" si="1"/>
        <v>3.20754716981132</v>
      </c>
      <c r="P56" s="15">
        <f t="shared" si="2"/>
        <v>8.2561281954300494</v>
      </c>
    </row>
    <row r="57" spans="1:16" x14ac:dyDescent="0.3">
      <c r="A57" s="2" t="s">
        <v>103</v>
      </c>
      <c r="B57" s="3" t="s">
        <v>61</v>
      </c>
      <c r="C57" s="4">
        <v>3.1395348837209298E-2</v>
      </c>
      <c r="D57" s="4">
        <v>0</v>
      </c>
      <c r="E57" s="4">
        <v>0</v>
      </c>
      <c r="F57" s="4">
        <v>9.4108019639934495E-2</v>
      </c>
      <c r="G57" s="4">
        <v>0.13198380566801601</v>
      </c>
      <c r="H57" s="4">
        <v>7.7719298245613994E-2</v>
      </c>
      <c r="I57" s="4">
        <v>8.5177236556546895E-2</v>
      </c>
      <c r="J57" s="15">
        <f t="shared" si="3"/>
        <v>3.13953488372093</v>
      </c>
      <c r="K57" s="15">
        <f t="shared" si="4"/>
        <v>0</v>
      </c>
      <c r="L57" s="15">
        <f t="shared" si="5"/>
        <v>0</v>
      </c>
      <c r="M57" s="15">
        <f t="shared" si="6"/>
        <v>9.4108019639934497</v>
      </c>
      <c r="N57" s="15">
        <f t="shared" si="7"/>
        <v>13.198380566801601</v>
      </c>
      <c r="O57" s="15">
        <f t="shared" si="1"/>
        <v>7.7719298245613997</v>
      </c>
      <c r="P57" s="15">
        <f t="shared" si="2"/>
        <v>8.5177236556546898</v>
      </c>
    </row>
    <row r="58" spans="1:16" x14ac:dyDescent="0.3">
      <c r="A58" s="2" t="s">
        <v>103</v>
      </c>
      <c r="B58" s="3" t="s">
        <v>62</v>
      </c>
      <c r="C58" s="4">
        <v>0</v>
      </c>
      <c r="D58" s="4">
        <v>0.431034482758621</v>
      </c>
      <c r="E58" s="4">
        <v>0.176339285714286</v>
      </c>
      <c r="F58" s="4">
        <v>0.142414860681115</v>
      </c>
      <c r="G58" s="4">
        <v>7.1965456580841206E-2</v>
      </c>
      <c r="H58" s="4">
        <v>0.13316464237516901</v>
      </c>
      <c r="I58" s="4">
        <v>0.118365739568549</v>
      </c>
      <c r="J58" s="15">
        <f t="shared" si="3"/>
        <v>0</v>
      </c>
      <c r="K58" s="15">
        <f t="shared" si="4"/>
        <v>43.1034482758621</v>
      </c>
      <c r="L58" s="15">
        <f t="shared" si="5"/>
        <v>17.633928571428601</v>
      </c>
      <c r="M58" s="15">
        <f t="shared" si="6"/>
        <v>14.241486068111501</v>
      </c>
      <c r="N58" s="15">
        <f t="shared" si="7"/>
        <v>7.1965456580841209</v>
      </c>
      <c r="O58" s="15">
        <f t="shared" si="1"/>
        <v>13.3164642375169</v>
      </c>
      <c r="P58" s="15">
        <f t="shared" si="2"/>
        <v>11.836573956854899</v>
      </c>
    </row>
    <row r="59" spans="1:16" x14ac:dyDescent="0.3">
      <c r="A59" s="2" t="s">
        <v>103</v>
      </c>
      <c r="B59" s="3" t="s">
        <v>63</v>
      </c>
      <c r="C59" s="4">
        <v>7.0000000000000007E-2</v>
      </c>
      <c r="D59" s="4">
        <v>0</v>
      </c>
      <c r="E59" s="4">
        <v>0</v>
      </c>
      <c r="F59" s="4">
        <v>1.22938530734633E-2</v>
      </c>
      <c r="G59" s="4">
        <v>0.100206611570248</v>
      </c>
      <c r="H59" s="4">
        <v>8.8154269972451793E-2</v>
      </c>
      <c r="I59" s="4">
        <v>6.8491179448915404E-2</v>
      </c>
      <c r="J59" s="15">
        <f t="shared" si="3"/>
        <v>7.0000000000000009</v>
      </c>
      <c r="K59" s="15">
        <f t="shared" si="4"/>
        <v>0</v>
      </c>
      <c r="L59" s="15">
        <f t="shared" si="5"/>
        <v>0</v>
      </c>
      <c r="M59" s="15">
        <f t="shared" si="6"/>
        <v>1.2293853073463301</v>
      </c>
      <c r="N59" s="15">
        <f t="shared" si="7"/>
        <v>10.020661157024801</v>
      </c>
      <c r="O59" s="15">
        <f t="shared" si="1"/>
        <v>8.8154269972451793</v>
      </c>
      <c r="P59" s="15">
        <f t="shared" si="2"/>
        <v>6.8491179448915407</v>
      </c>
    </row>
    <row r="60" spans="1:16" x14ac:dyDescent="0.3">
      <c r="A60" s="2" t="s">
        <v>103</v>
      </c>
      <c r="B60" s="3" t="s">
        <v>64</v>
      </c>
      <c r="C60" s="4">
        <v>0</v>
      </c>
      <c r="D60" s="4">
        <v>0.16153846153846199</v>
      </c>
      <c r="E60" s="4">
        <v>0.10507246376811601</v>
      </c>
      <c r="F60" s="4">
        <v>0.13560687432867899</v>
      </c>
      <c r="G60" s="4">
        <v>0.19918487576338501</v>
      </c>
      <c r="H60" s="4">
        <v>0.256128486897718</v>
      </c>
      <c r="I60" s="4">
        <v>0.18207227334766299</v>
      </c>
      <c r="J60" s="15">
        <f t="shared" si="3"/>
        <v>0</v>
      </c>
      <c r="K60" s="15">
        <f t="shared" si="4"/>
        <v>16.153846153846199</v>
      </c>
      <c r="L60" s="15">
        <f t="shared" si="5"/>
        <v>10.507246376811601</v>
      </c>
      <c r="M60" s="15">
        <f t="shared" si="6"/>
        <v>13.560687432867899</v>
      </c>
      <c r="N60" s="15">
        <f t="shared" si="7"/>
        <v>19.918487576338499</v>
      </c>
      <c r="O60" s="15">
        <f t="shared" si="1"/>
        <v>25.612848689771798</v>
      </c>
      <c r="P60" s="15">
        <f t="shared" si="2"/>
        <v>18.207227334766298</v>
      </c>
    </row>
    <row r="61" spans="1:16" x14ac:dyDescent="0.3">
      <c r="A61" s="2" t="s">
        <v>103</v>
      </c>
      <c r="B61" s="3" t="s">
        <v>65</v>
      </c>
      <c r="C61" s="4">
        <v>0</v>
      </c>
      <c r="D61" s="4">
        <v>0.484615384615385</v>
      </c>
      <c r="E61" s="4">
        <v>0.33407407407407402</v>
      </c>
      <c r="F61" s="4">
        <v>0.36624989184044299</v>
      </c>
      <c r="G61" s="4">
        <v>0.19709778948909401</v>
      </c>
      <c r="H61" s="4">
        <v>0.15288753799392099</v>
      </c>
      <c r="I61" s="4">
        <v>0.19812134560039599</v>
      </c>
      <c r="J61" s="15">
        <f t="shared" si="3"/>
        <v>0</v>
      </c>
      <c r="K61" s="15">
        <f t="shared" si="4"/>
        <v>48.461538461538503</v>
      </c>
      <c r="L61" s="15">
        <f t="shared" si="5"/>
        <v>33.407407407407405</v>
      </c>
      <c r="M61" s="15">
        <f t="shared" si="6"/>
        <v>36.624989184044296</v>
      </c>
      <c r="N61" s="15">
        <f t="shared" si="7"/>
        <v>19.709778948909403</v>
      </c>
      <c r="O61" s="15">
        <f t="shared" si="1"/>
        <v>15.288753799392099</v>
      </c>
      <c r="P61" s="15">
        <f t="shared" si="2"/>
        <v>19.812134560039599</v>
      </c>
    </row>
    <row r="62" spans="1:16" x14ac:dyDescent="0.3">
      <c r="A62" s="2" t="s">
        <v>103</v>
      </c>
      <c r="B62" s="3" t="s">
        <v>66</v>
      </c>
      <c r="C62" s="4">
        <v>0.303459119496855</v>
      </c>
      <c r="D62" s="4">
        <v>0.54054054054054101</v>
      </c>
      <c r="E62" s="4">
        <v>0.393241626794258</v>
      </c>
      <c r="F62" s="4">
        <v>0.34498640893989702</v>
      </c>
      <c r="G62" s="4">
        <v>0.24811502366246899</v>
      </c>
      <c r="H62" s="4">
        <v>0.16265985476511799</v>
      </c>
      <c r="I62" s="4">
        <v>0.26171564719350199</v>
      </c>
      <c r="J62" s="15">
        <f t="shared" si="3"/>
        <v>30.345911949685501</v>
      </c>
      <c r="K62" s="15">
        <f t="shared" si="4"/>
        <v>54.054054054054099</v>
      </c>
      <c r="L62" s="15">
        <f t="shared" si="5"/>
        <v>39.324162679425797</v>
      </c>
      <c r="M62" s="15">
        <f t="shared" si="6"/>
        <v>34.498640893989702</v>
      </c>
      <c r="N62" s="15">
        <f t="shared" si="7"/>
        <v>24.811502366246899</v>
      </c>
      <c r="O62" s="15">
        <f t="shared" si="1"/>
        <v>16.265985476511798</v>
      </c>
      <c r="P62" s="15">
        <f t="shared" si="2"/>
        <v>26.171564719350197</v>
      </c>
    </row>
    <row r="63" spans="1:16" x14ac:dyDescent="0.3">
      <c r="A63" s="2" t="s">
        <v>103</v>
      </c>
      <c r="B63" s="3" t="s">
        <v>67</v>
      </c>
      <c r="C63" s="4">
        <v>0.37646459500764101</v>
      </c>
      <c r="D63" s="4">
        <v>0.64772727272727304</v>
      </c>
      <c r="E63" s="4">
        <v>0.50458365164247498</v>
      </c>
      <c r="F63" s="4">
        <v>0.42482278650487398</v>
      </c>
      <c r="G63" s="4">
        <v>0.45860665495153302</v>
      </c>
      <c r="H63" s="4">
        <v>0.36757428820091997</v>
      </c>
      <c r="I63" s="4">
        <v>0.41960552025002501</v>
      </c>
      <c r="J63" s="15">
        <f t="shared" si="3"/>
        <v>37.646459500764102</v>
      </c>
      <c r="K63" s="15">
        <f t="shared" si="4"/>
        <v>64.772727272727309</v>
      </c>
      <c r="L63" s="15">
        <f t="shared" si="5"/>
        <v>50.458365164247496</v>
      </c>
      <c r="M63" s="15">
        <f t="shared" si="6"/>
        <v>42.482278650487402</v>
      </c>
      <c r="N63" s="15">
        <f t="shared" si="7"/>
        <v>45.860665495153299</v>
      </c>
      <c r="O63" s="15">
        <f t="shared" si="1"/>
        <v>36.757428820091995</v>
      </c>
      <c r="P63" s="15">
        <f t="shared" si="2"/>
        <v>41.960552025002499</v>
      </c>
    </row>
    <row r="64" spans="1:16" x14ac:dyDescent="0.3">
      <c r="A64" s="2" t="s">
        <v>103</v>
      </c>
      <c r="B64" s="3" t="s">
        <v>68</v>
      </c>
      <c r="C64" s="4">
        <v>0.18332797599914299</v>
      </c>
      <c r="D64" s="4">
        <v>0.68571428571428605</v>
      </c>
      <c r="E64" s="4">
        <v>0.58035557120225301</v>
      </c>
      <c r="F64" s="4">
        <v>0.46557026583577799</v>
      </c>
      <c r="G64" s="4">
        <v>0.51293651324591905</v>
      </c>
      <c r="H64" s="4">
        <v>0.434639521903673</v>
      </c>
      <c r="I64" s="4">
        <v>0.43847049026400903</v>
      </c>
      <c r="J64" s="15">
        <f t="shared" si="3"/>
        <v>18.332797599914301</v>
      </c>
      <c r="K64" s="15">
        <f t="shared" si="4"/>
        <v>68.571428571428612</v>
      </c>
      <c r="L64" s="15">
        <f t="shared" si="5"/>
        <v>58.035557120225299</v>
      </c>
      <c r="M64" s="15">
        <f t="shared" si="6"/>
        <v>46.557026583577802</v>
      </c>
      <c r="N64" s="15">
        <f t="shared" si="7"/>
        <v>51.293651324591906</v>
      </c>
      <c r="O64" s="15">
        <f t="shared" si="1"/>
        <v>43.463952190367301</v>
      </c>
      <c r="P64" s="15">
        <f t="shared" si="2"/>
        <v>43.847049026400903</v>
      </c>
    </row>
    <row r="65" spans="1:16" x14ac:dyDescent="0.3">
      <c r="A65" s="2" t="s">
        <v>103</v>
      </c>
      <c r="B65" s="3" t="s">
        <v>69</v>
      </c>
      <c r="C65" s="4">
        <v>0.366760459430786</v>
      </c>
      <c r="D65" s="4">
        <v>0.597321428571429</v>
      </c>
      <c r="E65" s="4">
        <v>0.56043771043771096</v>
      </c>
      <c r="F65" s="4">
        <v>0.49249310887241898</v>
      </c>
      <c r="G65" s="4">
        <v>0.51324712132003802</v>
      </c>
      <c r="H65" s="4">
        <v>0.33371518897413999</v>
      </c>
      <c r="I65" s="4">
        <v>0.43214573232007197</v>
      </c>
      <c r="J65" s="15">
        <f t="shared" si="3"/>
        <v>36.676045943078599</v>
      </c>
      <c r="K65" s="15">
        <f t="shared" si="4"/>
        <v>59.732142857142904</v>
      </c>
      <c r="L65" s="15">
        <f t="shared" si="5"/>
        <v>56.043771043771095</v>
      </c>
      <c r="M65" s="15">
        <f t="shared" si="6"/>
        <v>49.249310887241897</v>
      </c>
      <c r="N65" s="15">
        <f t="shared" si="7"/>
        <v>51.324712132003803</v>
      </c>
      <c r="O65" s="15">
        <f t="shared" si="1"/>
        <v>33.371518897413999</v>
      </c>
      <c r="P65" s="15">
        <f t="shared" si="2"/>
        <v>43.214573232007197</v>
      </c>
    </row>
    <row r="66" spans="1:16" x14ac:dyDescent="0.3">
      <c r="A66" s="2" t="s">
        <v>103</v>
      </c>
      <c r="B66" s="3" t="s">
        <v>70</v>
      </c>
      <c r="C66" s="4">
        <v>0.233160621761658</v>
      </c>
      <c r="D66" s="4">
        <v>0.92857142857142905</v>
      </c>
      <c r="E66" s="4">
        <v>0.30613535736875402</v>
      </c>
      <c r="F66" s="4">
        <v>0.38660546921737299</v>
      </c>
      <c r="G66" s="4">
        <v>0.50560193614651505</v>
      </c>
      <c r="H66" s="4">
        <v>0.400383546414675</v>
      </c>
      <c r="I66" s="4">
        <v>0.41568465601800197</v>
      </c>
      <c r="J66" s="15">
        <f t="shared" si="3"/>
        <v>23.316062176165801</v>
      </c>
      <c r="K66" s="15">
        <f t="shared" si="4"/>
        <v>92.857142857142904</v>
      </c>
      <c r="L66" s="15">
        <f t="shared" si="5"/>
        <v>30.613535736875402</v>
      </c>
      <c r="M66" s="15">
        <f t="shared" si="6"/>
        <v>38.6605469217373</v>
      </c>
      <c r="N66" s="15">
        <f t="shared" si="7"/>
        <v>50.560193614651503</v>
      </c>
      <c r="O66" s="15">
        <f t="shared" si="7"/>
        <v>40.0383546414675</v>
      </c>
      <c r="P66" s="15">
        <f t="shared" si="7"/>
        <v>41.568465601800199</v>
      </c>
    </row>
  </sheetData>
  <autoFilter ref="A1:P1" xr:uid="{2C581996-886C-4D8C-BEC1-2B460038DFB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P66"/>
  <sheetViews>
    <sheetView tabSelected="1"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K18" sqref="K18"/>
    </sheetView>
  </sheetViews>
  <sheetFormatPr defaultColWidth="8.88671875" defaultRowHeight="14.4" x14ac:dyDescent="0.3"/>
  <cols>
    <col min="1" max="1" width="8.88671875" style="2"/>
    <col min="2" max="2" width="16.6640625" style="2" customWidth="1"/>
    <col min="3" max="9" width="8.88671875" style="5"/>
    <col min="10" max="10" width="11.44140625" style="2" bestFit="1" customWidth="1"/>
    <col min="11" max="11" width="12.44140625" style="2" bestFit="1" customWidth="1"/>
    <col min="12" max="13" width="13.5546875" style="2" bestFit="1" customWidth="1"/>
    <col min="14" max="14" width="13.33203125" style="2" bestFit="1" customWidth="1"/>
    <col min="15" max="15" width="14.109375" style="2" bestFit="1" customWidth="1"/>
    <col min="16" max="16" width="12.44140625" style="2" bestFit="1" customWidth="1"/>
    <col min="17" max="16384" width="8.88671875" style="2"/>
  </cols>
  <sheetData>
    <row r="1" spans="1:16" x14ac:dyDescent="0.3">
      <c r="A1" s="2" t="s">
        <v>102</v>
      </c>
      <c r="B1" s="6" t="s">
        <v>101</v>
      </c>
      <c r="C1" s="1" t="s">
        <v>1</v>
      </c>
      <c r="D1" s="1" t="s">
        <v>18</v>
      </c>
      <c r="E1" s="1" t="s">
        <v>2</v>
      </c>
      <c r="F1" s="1" t="s">
        <v>3</v>
      </c>
      <c r="G1" s="1" t="s">
        <v>76</v>
      </c>
      <c r="H1" s="1" t="s">
        <v>75</v>
      </c>
      <c r="I1" s="1" t="s">
        <v>4</v>
      </c>
      <c r="J1" s="1" t="s">
        <v>118</v>
      </c>
      <c r="K1" s="16" t="s">
        <v>119</v>
      </c>
      <c r="L1" s="1" t="s">
        <v>120</v>
      </c>
      <c r="M1" s="1" t="s">
        <v>121</v>
      </c>
      <c r="N1" s="1" t="s">
        <v>124</v>
      </c>
      <c r="O1" s="1" t="s">
        <v>122</v>
      </c>
      <c r="P1" s="1" t="s">
        <v>123</v>
      </c>
    </row>
    <row r="2" spans="1:16" x14ac:dyDescent="0.3">
      <c r="A2" s="2" t="s">
        <v>103</v>
      </c>
      <c r="B2" s="3" t="s">
        <v>5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15">
        <f>C2*100</f>
        <v>0</v>
      </c>
      <c r="K2" s="15">
        <f t="shared" ref="K2:P2" si="0">D2*100</f>
        <v>0</v>
      </c>
      <c r="L2" s="15">
        <f t="shared" si="0"/>
        <v>0</v>
      </c>
      <c r="M2" s="15">
        <f t="shared" si="0"/>
        <v>0</v>
      </c>
      <c r="N2" s="15">
        <f t="shared" si="0"/>
        <v>0</v>
      </c>
      <c r="O2" s="15">
        <f t="shared" si="0"/>
        <v>0</v>
      </c>
      <c r="P2" s="15">
        <f t="shared" si="0"/>
        <v>0</v>
      </c>
    </row>
    <row r="3" spans="1:16" x14ac:dyDescent="0.3">
      <c r="A3" s="2" t="s">
        <v>103</v>
      </c>
      <c r="B3" s="3" t="s">
        <v>6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15">
        <f t="shared" ref="J3:J66" si="1">C3*100</f>
        <v>0</v>
      </c>
      <c r="K3" s="15">
        <f t="shared" ref="K3:K66" si="2">D3*100</f>
        <v>0</v>
      </c>
      <c r="L3" s="15">
        <f t="shared" ref="L3:L66" si="3">E3*100</f>
        <v>0</v>
      </c>
      <c r="M3" s="15">
        <f t="shared" ref="M3:M66" si="4">F3*100</f>
        <v>0</v>
      </c>
      <c r="N3" s="15">
        <f t="shared" ref="N3:N66" si="5">G3*100</f>
        <v>0</v>
      </c>
      <c r="O3" s="15">
        <f t="shared" ref="O3:O66" si="6">H3*100</f>
        <v>0</v>
      </c>
      <c r="P3" s="15">
        <f t="shared" ref="P3:P66" si="7">I3*100</f>
        <v>0</v>
      </c>
    </row>
    <row r="4" spans="1:16" x14ac:dyDescent="0.3">
      <c r="A4" s="2" t="s">
        <v>103</v>
      </c>
      <c r="B4" s="3" t="s">
        <v>7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1.9642857142857101E-2</v>
      </c>
      <c r="I4" s="4">
        <v>7.0272572402044304E-3</v>
      </c>
      <c r="J4" s="15">
        <f t="shared" si="1"/>
        <v>0</v>
      </c>
      <c r="K4" s="15">
        <f t="shared" si="2"/>
        <v>0</v>
      </c>
      <c r="L4" s="15">
        <f t="shared" si="3"/>
        <v>0</v>
      </c>
      <c r="M4" s="15">
        <f t="shared" si="4"/>
        <v>0</v>
      </c>
      <c r="N4" s="15">
        <f t="shared" si="5"/>
        <v>0</v>
      </c>
      <c r="O4" s="15">
        <f t="shared" si="6"/>
        <v>1.96428571428571</v>
      </c>
      <c r="P4" s="15">
        <f t="shared" si="7"/>
        <v>0.70272572402044309</v>
      </c>
    </row>
    <row r="5" spans="1:16" x14ac:dyDescent="0.3">
      <c r="A5" s="2" t="s">
        <v>103</v>
      </c>
      <c r="B5" s="3" t="s">
        <v>8</v>
      </c>
      <c r="C5" s="4">
        <v>5.4409005628517797E-2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7.1499013806706098E-3</v>
      </c>
      <c r="J5" s="15">
        <f t="shared" si="1"/>
        <v>5.4409005628517795</v>
      </c>
      <c r="K5" s="15">
        <f t="shared" si="2"/>
        <v>0</v>
      </c>
      <c r="L5" s="15">
        <f t="shared" si="3"/>
        <v>0</v>
      </c>
      <c r="M5" s="15">
        <f t="shared" si="4"/>
        <v>0</v>
      </c>
      <c r="N5" s="15">
        <f t="shared" si="5"/>
        <v>0</v>
      </c>
      <c r="O5" s="15">
        <f t="shared" si="6"/>
        <v>0</v>
      </c>
      <c r="P5" s="15">
        <f t="shared" si="7"/>
        <v>0.71499013806706102</v>
      </c>
    </row>
    <row r="6" spans="1:16" x14ac:dyDescent="0.3">
      <c r="A6" s="2" t="s">
        <v>103</v>
      </c>
      <c r="B6" s="3" t="s">
        <v>9</v>
      </c>
      <c r="C6" s="4">
        <v>4.9717514124293802E-2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4.7852093529091901E-3</v>
      </c>
      <c r="J6" s="15">
        <f t="shared" si="1"/>
        <v>4.9717514124293798</v>
      </c>
      <c r="K6" s="15">
        <f t="shared" si="2"/>
        <v>0</v>
      </c>
      <c r="L6" s="15">
        <f t="shared" si="3"/>
        <v>0</v>
      </c>
      <c r="M6" s="15">
        <f t="shared" si="4"/>
        <v>0</v>
      </c>
      <c r="N6" s="15">
        <f t="shared" si="5"/>
        <v>0</v>
      </c>
      <c r="O6" s="15">
        <f t="shared" si="6"/>
        <v>0</v>
      </c>
      <c r="P6" s="15">
        <f t="shared" si="7"/>
        <v>0.47852093529091899</v>
      </c>
    </row>
    <row r="7" spans="1:16" x14ac:dyDescent="0.3">
      <c r="A7" s="2" t="s">
        <v>103</v>
      </c>
      <c r="B7" s="3" t="s">
        <v>10</v>
      </c>
      <c r="C7" s="4">
        <v>0.40681818181818202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3.7353923205342199E-2</v>
      </c>
      <c r="J7" s="15">
        <f t="shared" si="1"/>
        <v>40.681818181818201</v>
      </c>
      <c r="K7" s="15">
        <f t="shared" si="2"/>
        <v>0</v>
      </c>
      <c r="L7" s="15">
        <f t="shared" si="3"/>
        <v>0</v>
      </c>
      <c r="M7" s="15">
        <f t="shared" si="4"/>
        <v>0</v>
      </c>
      <c r="N7" s="15">
        <f t="shared" si="5"/>
        <v>0</v>
      </c>
      <c r="O7" s="15">
        <f t="shared" si="6"/>
        <v>0</v>
      </c>
      <c r="P7" s="15">
        <f t="shared" si="7"/>
        <v>3.7353923205342197</v>
      </c>
    </row>
    <row r="8" spans="1:16" x14ac:dyDescent="0.3">
      <c r="A8" s="2" t="s">
        <v>103</v>
      </c>
      <c r="B8" s="3" t="s">
        <v>11</v>
      </c>
      <c r="C8" s="4">
        <v>0.266129032258065</v>
      </c>
      <c r="D8" s="4">
        <v>0</v>
      </c>
      <c r="E8" s="4">
        <v>0</v>
      </c>
      <c r="F8" s="4">
        <v>0</v>
      </c>
      <c r="G8" s="4">
        <v>0</v>
      </c>
      <c r="H8" s="4">
        <v>7.43589743589744E-2</v>
      </c>
      <c r="I8" s="4">
        <v>5.3173241852487098E-2</v>
      </c>
      <c r="J8" s="15">
        <f t="shared" si="1"/>
        <v>26.612903225806502</v>
      </c>
      <c r="K8" s="15">
        <f t="shared" si="2"/>
        <v>0</v>
      </c>
      <c r="L8" s="15">
        <f t="shared" si="3"/>
        <v>0</v>
      </c>
      <c r="M8" s="15">
        <f t="shared" si="4"/>
        <v>0</v>
      </c>
      <c r="N8" s="15">
        <f t="shared" si="5"/>
        <v>0</v>
      </c>
      <c r="O8" s="15">
        <f t="shared" si="6"/>
        <v>7.4358974358974397</v>
      </c>
      <c r="P8" s="15">
        <f t="shared" si="7"/>
        <v>5.3173241852487099</v>
      </c>
    </row>
    <row r="9" spans="1:16" x14ac:dyDescent="0.3">
      <c r="A9" s="2" t="s">
        <v>103</v>
      </c>
      <c r="B9" s="3" t="s">
        <v>12</v>
      </c>
      <c r="C9" s="4">
        <v>0.44042553191489398</v>
      </c>
      <c r="D9" s="4">
        <v>9.375E-2</v>
      </c>
      <c r="E9" s="4">
        <v>2.1428571428571401E-2</v>
      </c>
      <c r="F9" s="4">
        <v>0</v>
      </c>
      <c r="G9" s="4">
        <v>2.3558368495077399E-2</v>
      </c>
      <c r="H9" s="4">
        <v>2.60613703236654E-2</v>
      </c>
      <c r="I9" s="4">
        <v>8.5403227973982698E-2</v>
      </c>
      <c r="J9" s="15">
        <f t="shared" si="1"/>
        <v>44.042553191489397</v>
      </c>
      <c r="K9" s="15">
        <f t="shared" si="2"/>
        <v>9.375</v>
      </c>
      <c r="L9" s="15">
        <f t="shared" si="3"/>
        <v>2.1428571428571401</v>
      </c>
      <c r="M9" s="15">
        <f t="shared" si="4"/>
        <v>0</v>
      </c>
      <c r="N9" s="15">
        <f t="shared" si="5"/>
        <v>2.3558368495077397</v>
      </c>
      <c r="O9" s="15">
        <f t="shared" si="6"/>
        <v>2.60613703236654</v>
      </c>
      <c r="P9" s="15">
        <f t="shared" si="7"/>
        <v>8.5403227973982698</v>
      </c>
    </row>
    <row r="10" spans="1:16" x14ac:dyDescent="0.3">
      <c r="A10" s="2" t="s">
        <v>103</v>
      </c>
      <c r="B10" s="3" t="s">
        <v>13</v>
      </c>
      <c r="C10" s="4">
        <v>0.81932773109243695</v>
      </c>
      <c r="D10" s="4">
        <v>0</v>
      </c>
      <c r="E10" s="4">
        <v>6.5789473684210495E-2</v>
      </c>
      <c r="F10" s="4">
        <v>0.16312056737588701</v>
      </c>
      <c r="G10" s="4">
        <v>2.6229508196721301E-2</v>
      </c>
      <c r="H10" s="4">
        <v>5.1298701298701302E-2</v>
      </c>
      <c r="I10" s="4">
        <v>0.192239489938235</v>
      </c>
      <c r="J10" s="15">
        <f t="shared" si="1"/>
        <v>81.932773109243698</v>
      </c>
      <c r="K10" s="15">
        <f t="shared" si="2"/>
        <v>0</v>
      </c>
      <c r="L10" s="15">
        <f t="shared" si="3"/>
        <v>6.5789473684210495</v>
      </c>
      <c r="M10" s="15">
        <f t="shared" si="4"/>
        <v>16.312056737588701</v>
      </c>
      <c r="N10" s="15">
        <f t="shared" si="5"/>
        <v>2.6229508196721301</v>
      </c>
      <c r="O10" s="15">
        <f t="shared" si="6"/>
        <v>5.1298701298701301</v>
      </c>
      <c r="P10" s="15">
        <f t="shared" si="7"/>
        <v>19.223948993823502</v>
      </c>
    </row>
    <row r="11" spans="1:16" x14ac:dyDescent="0.3">
      <c r="A11" s="2" t="s">
        <v>103</v>
      </c>
      <c r="B11" s="3" t="s">
        <v>14</v>
      </c>
      <c r="C11" s="4">
        <v>0.56267293857221901</v>
      </c>
      <c r="D11" s="4">
        <v>0</v>
      </c>
      <c r="E11" s="4">
        <v>2.02020202020202E-2</v>
      </c>
      <c r="F11" s="4">
        <v>3.16483516483516E-2</v>
      </c>
      <c r="G11" s="4">
        <v>2.8673835125448001E-2</v>
      </c>
      <c r="H11" s="4">
        <v>2.7826086956521699E-2</v>
      </c>
      <c r="I11" s="4">
        <v>0.12665678795357899</v>
      </c>
      <c r="J11" s="15">
        <f t="shared" si="1"/>
        <v>56.267293857221901</v>
      </c>
      <c r="K11" s="15">
        <f t="shared" si="2"/>
        <v>0</v>
      </c>
      <c r="L11" s="15">
        <f t="shared" si="3"/>
        <v>2.0202020202020199</v>
      </c>
      <c r="M11" s="15">
        <f t="shared" si="4"/>
        <v>3.1648351648351598</v>
      </c>
      <c r="N11" s="15">
        <f t="shared" si="5"/>
        <v>2.8673835125448002</v>
      </c>
      <c r="O11" s="15">
        <f t="shared" si="6"/>
        <v>2.7826086956521698</v>
      </c>
      <c r="P11" s="15">
        <f t="shared" si="7"/>
        <v>12.665678795357898</v>
      </c>
    </row>
    <row r="12" spans="1:16" x14ac:dyDescent="0.3">
      <c r="A12" s="2" t="s">
        <v>103</v>
      </c>
      <c r="B12" s="3" t="s">
        <v>15</v>
      </c>
      <c r="C12" s="4">
        <v>0.65486111111111101</v>
      </c>
      <c r="D12" s="4">
        <v>0.41666666666666702</v>
      </c>
      <c r="E12" s="4">
        <v>5.6547619047618999E-2</v>
      </c>
      <c r="F12" s="4">
        <v>1.37380061798666E-2</v>
      </c>
      <c r="G12" s="4">
        <v>4.0784747167725899E-2</v>
      </c>
      <c r="H12" s="4">
        <v>8.3545454545454506E-2</v>
      </c>
      <c r="I12" s="4">
        <v>0.16957074085071899</v>
      </c>
      <c r="J12" s="15">
        <f t="shared" si="1"/>
        <v>65.4861111111111</v>
      </c>
      <c r="K12" s="15">
        <f t="shared" si="2"/>
        <v>41.6666666666667</v>
      </c>
      <c r="L12" s="15">
        <f t="shared" si="3"/>
        <v>5.6547619047618998</v>
      </c>
      <c r="M12" s="15">
        <f t="shared" si="4"/>
        <v>1.37380061798666</v>
      </c>
      <c r="N12" s="15">
        <f t="shared" si="5"/>
        <v>4.0784747167725897</v>
      </c>
      <c r="O12" s="15">
        <f t="shared" si="6"/>
        <v>8.3545454545454501</v>
      </c>
      <c r="P12" s="15">
        <f t="shared" si="7"/>
        <v>16.957074085071898</v>
      </c>
    </row>
    <row r="13" spans="1:16" x14ac:dyDescent="0.3">
      <c r="A13" s="2" t="s">
        <v>103</v>
      </c>
      <c r="B13" s="3" t="s">
        <v>16</v>
      </c>
      <c r="C13" s="4">
        <v>0.50339321357285405</v>
      </c>
      <c r="D13" s="4">
        <v>0.11111111111111099</v>
      </c>
      <c r="E13" s="4">
        <v>0.02</v>
      </c>
      <c r="F13" s="4">
        <v>5.15538895296681E-2</v>
      </c>
      <c r="G13" s="4">
        <v>6.1934610806791301E-2</v>
      </c>
      <c r="H13" s="4">
        <v>0.22203765227021</v>
      </c>
      <c r="I13" s="4">
        <v>0.19307012123824699</v>
      </c>
      <c r="J13" s="15">
        <f t="shared" si="1"/>
        <v>50.339321357285407</v>
      </c>
      <c r="K13" s="15">
        <f t="shared" si="2"/>
        <v>11.1111111111111</v>
      </c>
      <c r="L13" s="15">
        <f t="shared" si="3"/>
        <v>2</v>
      </c>
      <c r="M13" s="15">
        <f t="shared" si="4"/>
        <v>5.1553889529668098</v>
      </c>
      <c r="N13" s="15">
        <f t="shared" si="5"/>
        <v>6.1934610806791301</v>
      </c>
      <c r="O13" s="15">
        <f t="shared" si="6"/>
        <v>22.203765227020998</v>
      </c>
      <c r="P13" s="15">
        <f t="shared" si="7"/>
        <v>19.307012123824698</v>
      </c>
    </row>
    <row r="14" spans="1:16" x14ac:dyDescent="0.3">
      <c r="A14" s="2" t="s">
        <v>103</v>
      </c>
      <c r="B14" s="3" t="s">
        <v>17</v>
      </c>
      <c r="C14" s="4">
        <v>0.49539394951434701</v>
      </c>
      <c r="D14" s="4">
        <v>0.14285714285714299</v>
      </c>
      <c r="E14" s="4">
        <v>0.12626262626262599</v>
      </c>
      <c r="F14" s="4">
        <v>6.7579651286509196E-2</v>
      </c>
      <c r="G14" s="4">
        <v>8.7301843251920697E-2</v>
      </c>
      <c r="H14" s="4">
        <v>0.195554798188812</v>
      </c>
      <c r="I14" s="4">
        <v>0.185319052113919</v>
      </c>
      <c r="J14" s="15">
        <f t="shared" si="1"/>
        <v>49.539394951434701</v>
      </c>
      <c r="K14" s="15">
        <f t="shared" si="2"/>
        <v>14.285714285714299</v>
      </c>
      <c r="L14" s="15">
        <f t="shared" si="3"/>
        <v>12.6262626262626</v>
      </c>
      <c r="M14" s="15">
        <f t="shared" si="4"/>
        <v>6.7579651286509197</v>
      </c>
      <c r="N14" s="15">
        <f t="shared" si="5"/>
        <v>8.7301843251920701</v>
      </c>
      <c r="O14" s="15">
        <f t="shared" si="6"/>
        <v>19.555479818881199</v>
      </c>
      <c r="P14" s="15">
        <f t="shared" si="7"/>
        <v>18.531905211391901</v>
      </c>
    </row>
    <row r="15" spans="1:16" x14ac:dyDescent="0.3">
      <c r="A15" s="2" t="s">
        <v>103</v>
      </c>
      <c r="B15" s="3" t="s">
        <v>19</v>
      </c>
      <c r="C15" s="4">
        <v>0.76923076923076905</v>
      </c>
      <c r="D15" s="4">
        <v>0</v>
      </c>
      <c r="E15" s="4">
        <v>6.3529411764705904E-2</v>
      </c>
      <c r="F15" s="4">
        <v>0.14228508377444499</v>
      </c>
      <c r="G15" s="4">
        <v>0.15093147593147599</v>
      </c>
      <c r="H15" s="4">
        <v>0.112906886074588</v>
      </c>
      <c r="I15" s="4">
        <v>0.19696058982509901</v>
      </c>
      <c r="J15" s="15">
        <f t="shared" si="1"/>
        <v>76.923076923076906</v>
      </c>
      <c r="K15" s="15">
        <f t="shared" si="2"/>
        <v>0</v>
      </c>
      <c r="L15" s="15">
        <f t="shared" si="3"/>
        <v>6.3529411764705905</v>
      </c>
      <c r="M15" s="15">
        <f t="shared" si="4"/>
        <v>14.228508377444498</v>
      </c>
      <c r="N15" s="15">
        <f t="shared" si="5"/>
        <v>15.093147593147599</v>
      </c>
      <c r="O15" s="15">
        <f t="shared" si="6"/>
        <v>11.290688607458801</v>
      </c>
      <c r="P15" s="15">
        <f t="shared" si="7"/>
        <v>19.6960589825099</v>
      </c>
    </row>
    <row r="16" spans="1:16" x14ac:dyDescent="0.3">
      <c r="A16" s="2" t="s">
        <v>103</v>
      </c>
      <c r="B16" s="3" t="s">
        <v>20</v>
      </c>
      <c r="C16" s="4">
        <v>0.34840499306518702</v>
      </c>
      <c r="D16" s="4">
        <v>0</v>
      </c>
      <c r="E16" s="4">
        <v>0.102564102564103</v>
      </c>
      <c r="F16" s="4">
        <v>0.114019924487104</v>
      </c>
      <c r="G16" s="4">
        <v>0.17732314966357501</v>
      </c>
      <c r="H16" s="4">
        <v>9.3053289483778903E-2</v>
      </c>
      <c r="I16" s="4">
        <v>0.14097567171158301</v>
      </c>
      <c r="J16" s="15">
        <f t="shared" si="1"/>
        <v>34.840499306518701</v>
      </c>
      <c r="K16" s="15">
        <f t="shared" si="2"/>
        <v>0</v>
      </c>
      <c r="L16" s="15">
        <f t="shared" si="3"/>
        <v>10.2564102564103</v>
      </c>
      <c r="M16" s="15">
        <f t="shared" si="4"/>
        <v>11.4019924487104</v>
      </c>
      <c r="N16" s="15">
        <f t="shared" si="5"/>
        <v>17.732314966357503</v>
      </c>
      <c r="O16" s="15">
        <f t="shared" si="6"/>
        <v>9.3053289483778912</v>
      </c>
      <c r="P16" s="15">
        <f t="shared" si="7"/>
        <v>14.097567171158301</v>
      </c>
    </row>
    <row r="17" spans="1:16" x14ac:dyDescent="0.3">
      <c r="A17" s="2" t="s">
        <v>103</v>
      </c>
      <c r="B17" s="3" t="s">
        <v>21</v>
      </c>
      <c r="C17" s="4">
        <v>0.41581632653061201</v>
      </c>
      <c r="D17" s="4">
        <v>0</v>
      </c>
      <c r="E17" s="4">
        <v>1.1111111111111099E-2</v>
      </c>
      <c r="F17" s="4">
        <v>4.4802348431763103E-2</v>
      </c>
      <c r="G17" s="4">
        <v>4.6861868872140298E-2</v>
      </c>
      <c r="H17" s="4">
        <v>0.15163599621635601</v>
      </c>
      <c r="I17" s="4">
        <v>0.115987016618599</v>
      </c>
      <c r="J17" s="15">
        <f t="shared" si="1"/>
        <v>41.581632653061199</v>
      </c>
      <c r="K17" s="15">
        <f t="shared" si="2"/>
        <v>0</v>
      </c>
      <c r="L17" s="15">
        <f t="shared" si="3"/>
        <v>1.1111111111111098</v>
      </c>
      <c r="M17" s="15">
        <f t="shared" si="4"/>
        <v>4.4802348431763104</v>
      </c>
      <c r="N17" s="15">
        <f t="shared" si="5"/>
        <v>4.6861868872140295</v>
      </c>
      <c r="O17" s="15">
        <f t="shared" si="6"/>
        <v>15.163599621635601</v>
      </c>
      <c r="P17" s="15">
        <f t="shared" si="7"/>
        <v>11.5987016618599</v>
      </c>
    </row>
    <row r="18" spans="1:16" x14ac:dyDescent="0.3">
      <c r="A18" s="2" t="s">
        <v>103</v>
      </c>
      <c r="B18" s="3" t="s">
        <v>22</v>
      </c>
      <c r="C18" s="4">
        <v>0.34285714285714303</v>
      </c>
      <c r="D18" s="4">
        <v>0</v>
      </c>
      <c r="E18" s="4">
        <v>4.13793103448276E-2</v>
      </c>
      <c r="F18" s="4">
        <v>6.20670027646772E-2</v>
      </c>
      <c r="G18" s="4">
        <v>0.12223062953995199</v>
      </c>
      <c r="H18" s="4">
        <v>0.14269043995071401</v>
      </c>
      <c r="I18" s="4">
        <v>0.135586602345176</v>
      </c>
      <c r="J18" s="15">
        <f t="shared" si="1"/>
        <v>34.285714285714306</v>
      </c>
      <c r="K18" s="15">
        <f t="shared" si="2"/>
        <v>0</v>
      </c>
      <c r="L18" s="15">
        <f t="shared" si="3"/>
        <v>4.1379310344827598</v>
      </c>
      <c r="M18" s="15">
        <f t="shared" si="4"/>
        <v>6.2067002764677204</v>
      </c>
      <c r="N18" s="15">
        <f t="shared" si="5"/>
        <v>12.2230629539952</v>
      </c>
      <c r="O18" s="15">
        <f t="shared" si="6"/>
        <v>14.269043995071401</v>
      </c>
      <c r="P18" s="15">
        <f t="shared" si="7"/>
        <v>13.5586602345176</v>
      </c>
    </row>
    <row r="19" spans="1:16" x14ac:dyDescent="0.3">
      <c r="A19" s="2" t="s">
        <v>103</v>
      </c>
      <c r="B19" s="3" t="s">
        <v>23</v>
      </c>
      <c r="C19" s="4">
        <v>0.39479166666666698</v>
      </c>
      <c r="D19" s="4">
        <v>2.3584905660377398E-2</v>
      </c>
      <c r="E19" s="4">
        <v>3.6497201492537303E-2</v>
      </c>
      <c r="F19" s="4">
        <v>4.65686274509804E-2</v>
      </c>
      <c r="G19" s="4">
        <v>5.9419515669515699E-2</v>
      </c>
      <c r="H19" s="4">
        <v>8.9637789395070902E-2</v>
      </c>
      <c r="I19" s="4">
        <v>0.102800004762252</v>
      </c>
      <c r="J19" s="15">
        <f t="shared" si="1"/>
        <v>39.4791666666667</v>
      </c>
      <c r="K19" s="15">
        <f t="shared" si="2"/>
        <v>2.35849056603774</v>
      </c>
      <c r="L19" s="15">
        <f t="shared" si="3"/>
        <v>3.6497201492537301</v>
      </c>
      <c r="M19" s="15">
        <f t="shared" si="4"/>
        <v>4.6568627450980404</v>
      </c>
      <c r="N19" s="15">
        <f t="shared" si="5"/>
        <v>5.9419515669515697</v>
      </c>
      <c r="O19" s="15">
        <f t="shared" si="6"/>
        <v>8.9637789395070904</v>
      </c>
      <c r="P19" s="15">
        <f t="shared" si="7"/>
        <v>10.280000476225199</v>
      </c>
    </row>
    <row r="20" spans="1:16" x14ac:dyDescent="0.3">
      <c r="A20" s="2" t="s">
        <v>103</v>
      </c>
      <c r="B20" s="3" t="s">
        <v>24</v>
      </c>
      <c r="C20" s="4">
        <v>0.27395577395577397</v>
      </c>
      <c r="D20" s="4">
        <v>9.6774193548387094E-2</v>
      </c>
      <c r="E20" s="4">
        <v>0.16800548589341699</v>
      </c>
      <c r="F20" s="4">
        <v>0.14567597141034</v>
      </c>
      <c r="G20" s="4">
        <v>3.0389363722697099E-2</v>
      </c>
      <c r="H20" s="4">
        <v>0.14990818949687801</v>
      </c>
      <c r="I20" s="4">
        <v>0.12669405074203799</v>
      </c>
      <c r="J20" s="15">
        <f t="shared" si="1"/>
        <v>27.395577395577398</v>
      </c>
      <c r="K20" s="15">
        <f t="shared" si="2"/>
        <v>9.67741935483871</v>
      </c>
      <c r="L20" s="15">
        <f t="shared" si="3"/>
        <v>16.800548589341698</v>
      </c>
      <c r="M20" s="15">
        <f t="shared" si="4"/>
        <v>14.567597141034</v>
      </c>
      <c r="N20" s="15">
        <f t="shared" si="5"/>
        <v>3.0389363722697098</v>
      </c>
      <c r="O20" s="15">
        <f t="shared" si="6"/>
        <v>14.990818949687801</v>
      </c>
      <c r="P20" s="15">
        <f t="shared" si="7"/>
        <v>12.669405074203798</v>
      </c>
    </row>
    <row r="21" spans="1:16" x14ac:dyDescent="0.3">
      <c r="A21" s="2" t="s">
        <v>103</v>
      </c>
      <c r="B21" s="3" t="s">
        <v>25</v>
      </c>
      <c r="C21" s="4">
        <v>0.381818181818182</v>
      </c>
      <c r="D21" s="4">
        <v>0</v>
      </c>
      <c r="E21" s="4">
        <v>0</v>
      </c>
      <c r="F21" s="4">
        <v>1.04904813105827E-2</v>
      </c>
      <c r="G21" s="4">
        <v>9.8043452769820905E-2</v>
      </c>
      <c r="H21" s="4">
        <v>0.11761296119178</v>
      </c>
      <c r="I21" s="4">
        <v>0.10981008938560601</v>
      </c>
      <c r="J21" s="15">
        <f t="shared" si="1"/>
        <v>38.181818181818201</v>
      </c>
      <c r="K21" s="15">
        <f t="shared" si="2"/>
        <v>0</v>
      </c>
      <c r="L21" s="15">
        <f t="shared" si="3"/>
        <v>0</v>
      </c>
      <c r="M21" s="15">
        <f t="shared" si="4"/>
        <v>1.04904813105827</v>
      </c>
      <c r="N21" s="15">
        <f t="shared" si="5"/>
        <v>9.8043452769820902</v>
      </c>
      <c r="O21" s="15">
        <f t="shared" si="6"/>
        <v>11.761296119177999</v>
      </c>
      <c r="P21" s="15">
        <f t="shared" si="7"/>
        <v>10.981008938560601</v>
      </c>
    </row>
    <row r="22" spans="1:16" x14ac:dyDescent="0.3">
      <c r="A22" s="2" t="s">
        <v>103</v>
      </c>
      <c r="B22" s="3" t="s">
        <v>26</v>
      </c>
      <c r="C22" s="4">
        <v>0.20538720538720501</v>
      </c>
      <c r="D22" s="4">
        <v>0</v>
      </c>
      <c r="E22" s="4">
        <v>5.6666666666666698E-2</v>
      </c>
      <c r="F22" s="4">
        <v>5.9861021563149201E-2</v>
      </c>
      <c r="G22" s="4">
        <v>0.103064510762301</v>
      </c>
      <c r="H22" s="4">
        <v>3.3750680457267299E-2</v>
      </c>
      <c r="I22" s="4">
        <v>7.5841782275764297E-2</v>
      </c>
      <c r="J22" s="15">
        <f t="shared" si="1"/>
        <v>20.538720538720501</v>
      </c>
      <c r="K22" s="15">
        <f t="shared" si="2"/>
        <v>0</v>
      </c>
      <c r="L22" s="15">
        <f t="shared" si="3"/>
        <v>5.6666666666666696</v>
      </c>
      <c r="M22" s="15">
        <f t="shared" si="4"/>
        <v>5.9861021563149199</v>
      </c>
      <c r="N22" s="15">
        <f t="shared" si="5"/>
        <v>10.3064510762301</v>
      </c>
      <c r="O22" s="15">
        <f t="shared" si="6"/>
        <v>3.3750680457267297</v>
      </c>
      <c r="P22" s="15">
        <f t="shared" si="7"/>
        <v>7.5841782275764293</v>
      </c>
    </row>
    <row r="23" spans="1:16" x14ac:dyDescent="0.3">
      <c r="A23" s="2" t="s">
        <v>103</v>
      </c>
      <c r="B23" s="3" t="s">
        <v>27</v>
      </c>
      <c r="C23" s="4">
        <v>0.19867986798679901</v>
      </c>
      <c r="D23" s="4">
        <v>9.6296296296296297E-2</v>
      </c>
      <c r="E23" s="4">
        <v>2.5341130604288501E-2</v>
      </c>
      <c r="F23" s="4">
        <v>4.3816137566137598E-3</v>
      </c>
      <c r="G23" s="4">
        <v>7.25806451612903E-2</v>
      </c>
      <c r="H23" s="4">
        <v>3.8328061852047103E-2</v>
      </c>
      <c r="I23" s="4">
        <v>6.4200631943598693E-2</v>
      </c>
      <c r="J23" s="15">
        <f t="shared" si="1"/>
        <v>19.867986798679901</v>
      </c>
      <c r="K23" s="15">
        <f t="shared" si="2"/>
        <v>9.6296296296296298</v>
      </c>
      <c r="L23" s="15">
        <f t="shared" si="3"/>
        <v>2.53411306042885</v>
      </c>
      <c r="M23" s="15">
        <f t="shared" si="4"/>
        <v>0.43816137566137597</v>
      </c>
      <c r="N23" s="15">
        <f t="shared" si="5"/>
        <v>7.2580645161290303</v>
      </c>
      <c r="O23" s="15">
        <f t="shared" si="6"/>
        <v>3.8328061852047104</v>
      </c>
      <c r="P23" s="15">
        <f t="shared" si="7"/>
        <v>6.4200631943598694</v>
      </c>
    </row>
    <row r="24" spans="1:16" x14ac:dyDescent="0.3">
      <c r="A24" s="2" t="s">
        <v>103</v>
      </c>
      <c r="B24" s="3" t="s">
        <v>28</v>
      </c>
      <c r="C24" s="4">
        <v>0.12596006144393199</v>
      </c>
      <c r="D24" s="4">
        <v>0</v>
      </c>
      <c r="E24" s="4">
        <v>9.9047619047619107E-2</v>
      </c>
      <c r="F24" s="4">
        <v>7.6503357753357801E-2</v>
      </c>
      <c r="G24" s="4">
        <v>7.0104529616724698E-2</v>
      </c>
      <c r="H24" s="4">
        <v>7.8128987800520605E-2</v>
      </c>
      <c r="I24" s="4">
        <v>7.9576529451199599E-2</v>
      </c>
      <c r="J24" s="15">
        <f t="shared" si="1"/>
        <v>12.596006144393199</v>
      </c>
      <c r="K24" s="15">
        <f t="shared" si="2"/>
        <v>0</v>
      </c>
      <c r="L24" s="15">
        <f t="shared" si="3"/>
        <v>9.9047619047619104</v>
      </c>
      <c r="M24" s="15">
        <f t="shared" si="4"/>
        <v>7.6503357753357797</v>
      </c>
      <c r="N24" s="15">
        <f t="shared" si="5"/>
        <v>7.0104529616724696</v>
      </c>
      <c r="O24" s="15">
        <f t="shared" si="6"/>
        <v>7.8128987800520608</v>
      </c>
      <c r="P24" s="15">
        <f t="shared" si="7"/>
        <v>7.9576529451199596</v>
      </c>
    </row>
    <row r="25" spans="1:16" x14ac:dyDescent="0.3">
      <c r="A25" s="2" t="s">
        <v>103</v>
      </c>
      <c r="B25" s="3" t="s">
        <v>29</v>
      </c>
      <c r="C25" s="4">
        <v>0.12011316872428</v>
      </c>
      <c r="D25" s="4">
        <v>0</v>
      </c>
      <c r="E25" s="4">
        <v>3.9408866995073899E-2</v>
      </c>
      <c r="F25" s="4">
        <v>4.2117862234056898E-2</v>
      </c>
      <c r="G25" s="4">
        <v>2.1164021164021201E-2</v>
      </c>
      <c r="H25" s="4">
        <v>1.6001293033780499E-2</v>
      </c>
      <c r="I25" s="4">
        <v>3.6923645066753601E-2</v>
      </c>
      <c r="J25" s="15">
        <f t="shared" si="1"/>
        <v>12.011316872428001</v>
      </c>
      <c r="K25" s="15">
        <f t="shared" si="2"/>
        <v>0</v>
      </c>
      <c r="L25" s="15">
        <f t="shared" si="3"/>
        <v>3.9408866995073897</v>
      </c>
      <c r="M25" s="15">
        <f t="shared" si="4"/>
        <v>4.2117862234056895</v>
      </c>
      <c r="N25" s="15">
        <f t="shared" si="5"/>
        <v>2.1164021164021203</v>
      </c>
      <c r="O25" s="15">
        <f t="shared" si="6"/>
        <v>1.6001293033780499</v>
      </c>
      <c r="P25" s="15">
        <f t="shared" si="7"/>
        <v>3.6923645066753599</v>
      </c>
    </row>
    <row r="26" spans="1:16" x14ac:dyDescent="0.3">
      <c r="A26" s="2" t="s">
        <v>103</v>
      </c>
      <c r="B26" s="3" t="s">
        <v>30</v>
      </c>
      <c r="C26" s="4">
        <v>0.15301587301587299</v>
      </c>
      <c r="D26" s="4">
        <v>0.33333333333333298</v>
      </c>
      <c r="E26" s="4">
        <v>4.2328042328042298E-2</v>
      </c>
      <c r="F26" s="4">
        <v>5.1669316375198698E-3</v>
      </c>
      <c r="G26" s="4">
        <v>7.0557514035774899E-2</v>
      </c>
      <c r="H26" s="4">
        <v>7.1963956584067207E-2</v>
      </c>
      <c r="I26" s="4">
        <v>7.7309678935662804E-2</v>
      </c>
      <c r="J26" s="15">
        <f t="shared" si="1"/>
        <v>15.301587301587299</v>
      </c>
      <c r="K26" s="15">
        <f t="shared" si="2"/>
        <v>33.3333333333333</v>
      </c>
      <c r="L26" s="15">
        <f t="shared" si="3"/>
        <v>4.2328042328042299</v>
      </c>
      <c r="M26" s="15">
        <f t="shared" si="4"/>
        <v>0.51669316375198693</v>
      </c>
      <c r="N26" s="15">
        <f t="shared" si="5"/>
        <v>7.0557514035774895</v>
      </c>
      <c r="O26" s="15">
        <f t="shared" si="6"/>
        <v>7.196395658406721</v>
      </c>
      <c r="P26" s="15">
        <f t="shared" si="7"/>
        <v>7.7309678935662802</v>
      </c>
    </row>
    <row r="27" spans="1:16" x14ac:dyDescent="0.3">
      <c r="A27" s="2" t="s">
        <v>103</v>
      </c>
      <c r="B27" s="3" t="s">
        <v>31</v>
      </c>
      <c r="C27" s="4">
        <v>0</v>
      </c>
      <c r="D27" s="4">
        <v>0</v>
      </c>
      <c r="E27" s="4">
        <v>0</v>
      </c>
      <c r="F27" s="4">
        <v>4.6666666666666697E-2</v>
      </c>
      <c r="G27" s="4">
        <v>8.02906770648706E-2</v>
      </c>
      <c r="H27" s="4">
        <v>5.59096121670144E-2</v>
      </c>
      <c r="I27" s="4">
        <v>4.9490369300057901E-2</v>
      </c>
      <c r="J27" s="15">
        <f t="shared" si="1"/>
        <v>0</v>
      </c>
      <c r="K27" s="15">
        <f t="shared" si="2"/>
        <v>0</v>
      </c>
      <c r="L27" s="15">
        <f t="shared" si="3"/>
        <v>0</v>
      </c>
      <c r="M27" s="15">
        <f t="shared" si="4"/>
        <v>4.6666666666666696</v>
      </c>
      <c r="N27" s="15">
        <f t="shared" si="5"/>
        <v>8.0290677064870604</v>
      </c>
      <c r="O27" s="15">
        <f t="shared" si="6"/>
        <v>5.59096121670144</v>
      </c>
      <c r="P27" s="15">
        <f t="shared" si="7"/>
        <v>4.9490369300057901</v>
      </c>
    </row>
    <row r="28" spans="1:16" x14ac:dyDescent="0.3">
      <c r="A28" s="2" t="s">
        <v>103</v>
      </c>
      <c r="B28" s="3" t="s">
        <v>32</v>
      </c>
      <c r="C28" s="4">
        <v>0.1189790931306</v>
      </c>
      <c r="D28" s="4">
        <v>0</v>
      </c>
      <c r="E28" s="4">
        <v>3.0769230769230799E-2</v>
      </c>
      <c r="F28" s="4">
        <v>2.8624436787702101E-2</v>
      </c>
      <c r="G28" s="4">
        <v>0</v>
      </c>
      <c r="H28" s="4">
        <v>1.3377926421404699E-2</v>
      </c>
      <c r="I28" s="4">
        <v>2.80258948316379E-2</v>
      </c>
      <c r="J28" s="15">
        <f t="shared" si="1"/>
        <v>11.89790931306</v>
      </c>
      <c r="K28" s="15">
        <f t="shared" si="2"/>
        <v>0</v>
      </c>
      <c r="L28" s="15">
        <f t="shared" si="3"/>
        <v>3.0769230769230798</v>
      </c>
      <c r="M28" s="15">
        <f t="shared" si="4"/>
        <v>2.8624436787702101</v>
      </c>
      <c r="N28" s="15">
        <f t="shared" si="5"/>
        <v>0</v>
      </c>
      <c r="O28" s="15">
        <f t="shared" si="6"/>
        <v>1.33779264214047</v>
      </c>
      <c r="P28" s="15">
        <f t="shared" si="7"/>
        <v>2.8025894831637901</v>
      </c>
    </row>
    <row r="29" spans="1:16" x14ac:dyDescent="0.3">
      <c r="A29" s="2" t="s">
        <v>103</v>
      </c>
      <c r="B29" s="3" t="s">
        <v>33</v>
      </c>
      <c r="C29" s="4">
        <v>0</v>
      </c>
      <c r="D29" s="4">
        <v>0</v>
      </c>
      <c r="E29" s="4">
        <v>0</v>
      </c>
      <c r="F29" s="4">
        <v>5.7271195957327298E-3</v>
      </c>
      <c r="G29" s="4">
        <v>4.8870447210696201E-2</v>
      </c>
      <c r="H29" s="4">
        <v>3.4123770965876203E-2</v>
      </c>
      <c r="I29" s="4">
        <v>2.7049145299145299E-2</v>
      </c>
      <c r="J29" s="15">
        <f t="shared" si="1"/>
        <v>0</v>
      </c>
      <c r="K29" s="15">
        <f t="shared" si="2"/>
        <v>0</v>
      </c>
      <c r="L29" s="15">
        <f t="shared" si="3"/>
        <v>0</v>
      </c>
      <c r="M29" s="15">
        <f t="shared" si="4"/>
        <v>0.57271195957327303</v>
      </c>
      <c r="N29" s="15">
        <f t="shared" si="5"/>
        <v>4.8870447210696204</v>
      </c>
      <c r="O29" s="15">
        <f t="shared" si="6"/>
        <v>3.4123770965876203</v>
      </c>
      <c r="P29" s="15">
        <f t="shared" si="7"/>
        <v>2.7049145299145301</v>
      </c>
    </row>
    <row r="30" spans="1:16" x14ac:dyDescent="0.3">
      <c r="A30" s="2" t="s">
        <v>103</v>
      </c>
      <c r="B30" s="3" t="s">
        <v>34</v>
      </c>
      <c r="C30" s="4">
        <v>0</v>
      </c>
      <c r="D30" s="4">
        <v>0</v>
      </c>
      <c r="E30" s="4">
        <v>0</v>
      </c>
      <c r="F30" s="4">
        <v>6.1032863849765301E-3</v>
      </c>
      <c r="G30" s="4">
        <v>9.8619329388560106E-3</v>
      </c>
      <c r="H30" s="4">
        <v>0</v>
      </c>
      <c r="I30" s="4">
        <v>4.07239819004525E-3</v>
      </c>
      <c r="J30" s="15">
        <f t="shared" si="1"/>
        <v>0</v>
      </c>
      <c r="K30" s="15">
        <f t="shared" si="2"/>
        <v>0</v>
      </c>
      <c r="L30" s="15">
        <f t="shared" si="3"/>
        <v>0</v>
      </c>
      <c r="M30" s="15">
        <f t="shared" si="4"/>
        <v>0.61032863849765306</v>
      </c>
      <c r="N30" s="15">
        <f t="shared" si="5"/>
        <v>0.98619329388560106</v>
      </c>
      <c r="O30" s="15">
        <f t="shared" si="6"/>
        <v>0</v>
      </c>
      <c r="P30" s="15">
        <f t="shared" si="7"/>
        <v>0.40723981900452499</v>
      </c>
    </row>
    <row r="31" spans="1:16" x14ac:dyDescent="0.3">
      <c r="A31" s="2" t="s">
        <v>103</v>
      </c>
      <c r="B31" s="3" t="s">
        <v>35</v>
      </c>
      <c r="C31" s="4">
        <v>0</v>
      </c>
      <c r="D31" s="4">
        <v>0</v>
      </c>
      <c r="E31" s="4">
        <v>9.1533180778032006E-2</v>
      </c>
      <c r="F31" s="4">
        <v>9.0198046719785804E-2</v>
      </c>
      <c r="G31" s="4">
        <v>1.4715719063545201E-2</v>
      </c>
      <c r="H31" s="4">
        <v>3.7156181917211303E-2</v>
      </c>
      <c r="I31" s="4">
        <v>3.4027935107236999E-2</v>
      </c>
      <c r="J31" s="15">
        <f t="shared" si="1"/>
        <v>0</v>
      </c>
      <c r="K31" s="15">
        <f t="shared" si="2"/>
        <v>0</v>
      </c>
      <c r="L31" s="15">
        <f t="shared" si="3"/>
        <v>9.1533180778032008</v>
      </c>
      <c r="M31" s="15">
        <f t="shared" si="4"/>
        <v>9.01980467197858</v>
      </c>
      <c r="N31" s="15">
        <f t="shared" si="5"/>
        <v>1.4715719063545201</v>
      </c>
      <c r="O31" s="15">
        <f t="shared" si="6"/>
        <v>3.7156181917211302</v>
      </c>
      <c r="P31" s="15">
        <f t="shared" si="7"/>
        <v>3.4027935107236997</v>
      </c>
    </row>
    <row r="32" spans="1:16" x14ac:dyDescent="0.3">
      <c r="A32" s="2" t="s">
        <v>103</v>
      </c>
      <c r="B32" s="3" t="s">
        <v>36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15">
        <f t="shared" si="1"/>
        <v>0</v>
      </c>
      <c r="K32" s="15">
        <f t="shared" si="2"/>
        <v>0</v>
      </c>
      <c r="L32" s="15">
        <f t="shared" si="3"/>
        <v>0</v>
      </c>
      <c r="M32" s="15">
        <f t="shared" si="4"/>
        <v>0</v>
      </c>
      <c r="N32" s="15">
        <f t="shared" si="5"/>
        <v>0</v>
      </c>
      <c r="O32" s="15">
        <f t="shared" si="6"/>
        <v>0</v>
      </c>
      <c r="P32" s="15">
        <f t="shared" si="7"/>
        <v>0</v>
      </c>
    </row>
    <row r="33" spans="1:16" x14ac:dyDescent="0.3">
      <c r="A33" s="2" t="s">
        <v>103</v>
      </c>
      <c r="B33" s="3" t="s">
        <v>37</v>
      </c>
      <c r="C33" s="4">
        <v>0.114583333333333</v>
      </c>
      <c r="D33" s="4">
        <v>0</v>
      </c>
      <c r="E33" s="4">
        <v>0</v>
      </c>
      <c r="F33" s="4">
        <v>0</v>
      </c>
      <c r="G33" s="4">
        <v>1.52262794304244E-2</v>
      </c>
      <c r="H33" s="4">
        <v>2.1367521367521399E-2</v>
      </c>
      <c r="I33" s="4">
        <v>2.45644444732975E-2</v>
      </c>
      <c r="J33" s="15">
        <f t="shared" si="1"/>
        <v>11.4583333333333</v>
      </c>
      <c r="K33" s="15">
        <f t="shared" si="2"/>
        <v>0</v>
      </c>
      <c r="L33" s="15">
        <f t="shared" si="3"/>
        <v>0</v>
      </c>
      <c r="M33" s="15">
        <f t="shared" si="4"/>
        <v>0</v>
      </c>
      <c r="N33" s="15">
        <f t="shared" si="5"/>
        <v>1.5226279430424401</v>
      </c>
      <c r="O33" s="15">
        <f t="shared" si="6"/>
        <v>2.1367521367521398</v>
      </c>
      <c r="P33" s="15">
        <f t="shared" si="7"/>
        <v>2.45644444732975</v>
      </c>
    </row>
    <row r="34" spans="1:16" x14ac:dyDescent="0.3">
      <c r="A34" s="2" t="s">
        <v>103</v>
      </c>
      <c r="B34" s="3" t="s">
        <v>38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15">
        <f t="shared" si="1"/>
        <v>0</v>
      </c>
      <c r="K34" s="15">
        <f t="shared" si="2"/>
        <v>0</v>
      </c>
      <c r="L34" s="15">
        <f t="shared" si="3"/>
        <v>0</v>
      </c>
      <c r="M34" s="15">
        <f t="shared" si="4"/>
        <v>0</v>
      </c>
      <c r="N34" s="15">
        <f t="shared" si="5"/>
        <v>0</v>
      </c>
      <c r="O34" s="15">
        <f t="shared" si="6"/>
        <v>0</v>
      </c>
      <c r="P34" s="15">
        <f t="shared" si="7"/>
        <v>0</v>
      </c>
    </row>
    <row r="35" spans="1:16" x14ac:dyDescent="0.3">
      <c r="A35" s="2" t="s">
        <v>103</v>
      </c>
      <c r="B35" s="3" t="s">
        <v>39</v>
      </c>
      <c r="C35" s="4">
        <v>6.1249999999999999E-2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8.2077051926298192E-3</v>
      </c>
      <c r="J35" s="15">
        <f t="shared" si="1"/>
        <v>6.125</v>
      </c>
      <c r="K35" s="15">
        <f t="shared" si="2"/>
        <v>0</v>
      </c>
      <c r="L35" s="15">
        <f t="shared" si="3"/>
        <v>0</v>
      </c>
      <c r="M35" s="15">
        <f t="shared" si="4"/>
        <v>0</v>
      </c>
      <c r="N35" s="15">
        <f t="shared" si="5"/>
        <v>0</v>
      </c>
      <c r="O35" s="15">
        <f t="shared" si="6"/>
        <v>0</v>
      </c>
      <c r="P35" s="15">
        <f t="shared" si="7"/>
        <v>0.82077051926298195</v>
      </c>
    </row>
    <row r="36" spans="1:16" x14ac:dyDescent="0.3">
      <c r="A36" s="2" t="s">
        <v>103</v>
      </c>
      <c r="B36" s="3" t="s">
        <v>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2.9733424470266601E-2</v>
      </c>
      <c r="I36" s="4">
        <v>1.0426653883029701E-2</v>
      </c>
      <c r="J36" s="15">
        <f t="shared" si="1"/>
        <v>0</v>
      </c>
      <c r="K36" s="15">
        <f t="shared" si="2"/>
        <v>0</v>
      </c>
      <c r="L36" s="15">
        <f t="shared" si="3"/>
        <v>0</v>
      </c>
      <c r="M36" s="15">
        <f t="shared" si="4"/>
        <v>0</v>
      </c>
      <c r="N36" s="15">
        <f t="shared" si="5"/>
        <v>0</v>
      </c>
      <c r="O36" s="15">
        <f t="shared" si="6"/>
        <v>2.9733424470266603</v>
      </c>
      <c r="P36" s="15">
        <f t="shared" si="7"/>
        <v>1.0426653883029702</v>
      </c>
    </row>
    <row r="37" spans="1:16" x14ac:dyDescent="0.3">
      <c r="A37" s="2" t="s">
        <v>103</v>
      </c>
      <c r="B37" s="3" t="s">
        <v>41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15">
        <f t="shared" si="1"/>
        <v>0</v>
      </c>
      <c r="K37" s="15">
        <f t="shared" si="2"/>
        <v>0</v>
      </c>
      <c r="L37" s="15">
        <f t="shared" si="3"/>
        <v>0</v>
      </c>
      <c r="M37" s="15">
        <f t="shared" si="4"/>
        <v>0</v>
      </c>
      <c r="N37" s="15">
        <f t="shared" si="5"/>
        <v>0</v>
      </c>
      <c r="O37" s="15">
        <f t="shared" si="6"/>
        <v>0</v>
      </c>
      <c r="P37" s="15">
        <f t="shared" si="7"/>
        <v>0</v>
      </c>
    </row>
    <row r="38" spans="1:16" x14ac:dyDescent="0.3">
      <c r="A38" s="2" t="s">
        <v>103</v>
      </c>
      <c r="B38" s="3" t="s">
        <v>42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15">
        <f t="shared" si="1"/>
        <v>0</v>
      </c>
      <c r="K38" s="15">
        <f t="shared" si="2"/>
        <v>0</v>
      </c>
      <c r="L38" s="15">
        <f t="shared" si="3"/>
        <v>0</v>
      </c>
      <c r="M38" s="15">
        <f t="shared" si="4"/>
        <v>0</v>
      </c>
      <c r="N38" s="15">
        <f t="shared" si="5"/>
        <v>0</v>
      </c>
      <c r="O38" s="15">
        <f t="shared" si="6"/>
        <v>0</v>
      </c>
      <c r="P38" s="15">
        <f t="shared" si="7"/>
        <v>0</v>
      </c>
    </row>
    <row r="39" spans="1:16" x14ac:dyDescent="0.3">
      <c r="A39" s="2" t="s">
        <v>103</v>
      </c>
      <c r="B39" s="3" t="s">
        <v>43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15">
        <f t="shared" si="1"/>
        <v>0</v>
      </c>
      <c r="K39" s="15">
        <f t="shared" si="2"/>
        <v>0</v>
      </c>
      <c r="L39" s="15">
        <f t="shared" si="3"/>
        <v>0</v>
      </c>
      <c r="M39" s="15">
        <f t="shared" si="4"/>
        <v>0</v>
      </c>
      <c r="N39" s="15">
        <f t="shared" si="5"/>
        <v>0</v>
      </c>
      <c r="O39" s="15">
        <f t="shared" si="6"/>
        <v>0</v>
      </c>
      <c r="P39" s="15">
        <f t="shared" si="7"/>
        <v>0</v>
      </c>
    </row>
    <row r="40" spans="1:16" x14ac:dyDescent="0.3">
      <c r="A40" s="2" t="s">
        <v>103</v>
      </c>
      <c r="B40" s="3" t="s">
        <v>44</v>
      </c>
      <c r="C40" s="4">
        <v>0.136170212765957</v>
      </c>
      <c r="D40" s="4">
        <v>0</v>
      </c>
      <c r="E40" s="4">
        <v>0</v>
      </c>
      <c r="F40" s="4">
        <v>0</v>
      </c>
      <c r="G40" s="4">
        <v>0</v>
      </c>
      <c r="H40" s="4">
        <v>0.102702702702703</v>
      </c>
      <c r="I40" s="4">
        <v>5.3361344537815103E-2</v>
      </c>
      <c r="J40" s="15">
        <f t="shared" si="1"/>
        <v>13.6170212765957</v>
      </c>
      <c r="K40" s="15">
        <f t="shared" si="2"/>
        <v>0</v>
      </c>
      <c r="L40" s="15">
        <f t="shared" si="3"/>
        <v>0</v>
      </c>
      <c r="M40" s="15">
        <f t="shared" si="4"/>
        <v>0</v>
      </c>
      <c r="N40" s="15">
        <f t="shared" si="5"/>
        <v>0</v>
      </c>
      <c r="O40" s="15">
        <f t="shared" si="6"/>
        <v>10.2702702702703</v>
      </c>
      <c r="P40" s="15">
        <f t="shared" si="7"/>
        <v>5.3361344537815105</v>
      </c>
    </row>
    <row r="41" spans="1:16" x14ac:dyDescent="0.3">
      <c r="A41" s="2" t="s">
        <v>103</v>
      </c>
      <c r="B41" s="3" t="s">
        <v>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15">
        <f t="shared" si="1"/>
        <v>0</v>
      </c>
      <c r="K41" s="15">
        <f t="shared" si="2"/>
        <v>0</v>
      </c>
      <c r="L41" s="15">
        <f t="shared" si="3"/>
        <v>0</v>
      </c>
      <c r="M41" s="15">
        <f t="shared" si="4"/>
        <v>0</v>
      </c>
      <c r="N41" s="15">
        <f t="shared" si="5"/>
        <v>0</v>
      </c>
      <c r="O41" s="15">
        <f t="shared" si="6"/>
        <v>0</v>
      </c>
      <c r="P41" s="15">
        <f t="shared" si="7"/>
        <v>0</v>
      </c>
    </row>
    <row r="42" spans="1:16" x14ac:dyDescent="0.3">
      <c r="A42" s="2" t="s">
        <v>103</v>
      </c>
      <c r="B42" s="3" t="s">
        <v>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15">
        <f t="shared" si="1"/>
        <v>0</v>
      </c>
      <c r="K42" s="15">
        <f t="shared" si="2"/>
        <v>0</v>
      </c>
      <c r="L42" s="15">
        <f t="shared" si="3"/>
        <v>0</v>
      </c>
      <c r="M42" s="15">
        <f t="shared" si="4"/>
        <v>0</v>
      </c>
      <c r="N42" s="15">
        <f t="shared" si="5"/>
        <v>0</v>
      </c>
      <c r="O42" s="15">
        <f t="shared" si="6"/>
        <v>0</v>
      </c>
      <c r="P42" s="15">
        <f t="shared" si="7"/>
        <v>0</v>
      </c>
    </row>
    <row r="43" spans="1:16" x14ac:dyDescent="0.3">
      <c r="A43" s="2" t="s">
        <v>103</v>
      </c>
      <c r="B43" s="3" t="s">
        <v>47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15">
        <f t="shared" si="1"/>
        <v>0</v>
      </c>
      <c r="K43" s="15">
        <f t="shared" si="2"/>
        <v>0</v>
      </c>
      <c r="L43" s="15">
        <f t="shared" si="3"/>
        <v>0</v>
      </c>
      <c r="M43" s="15">
        <f t="shared" si="4"/>
        <v>0</v>
      </c>
      <c r="N43" s="15">
        <f t="shared" si="5"/>
        <v>0</v>
      </c>
      <c r="O43" s="15">
        <f t="shared" si="6"/>
        <v>0</v>
      </c>
      <c r="P43" s="15">
        <f t="shared" si="7"/>
        <v>0</v>
      </c>
    </row>
    <row r="44" spans="1:16" x14ac:dyDescent="0.3">
      <c r="A44" s="2" t="s">
        <v>103</v>
      </c>
      <c r="B44" s="3" t="s">
        <v>48</v>
      </c>
      <c r="C44" s="4">
        <v>0.10344827586206901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6.6964285714285702E-3</v>
      </c>
      <c r="J44" s="15">
        <f t="shared" si="1"/>
        <v>10.3448275862069</v>
      </c>
      <c r="K44" s="15">
        <f t="shared" si="2"/>
        <v>0</v>
      </c>
      <c r="L44" s="15">
        <f t="shared" si="3"/>
        <v>0</v>
      </c>
      <c r="M44" s="15">
        <f t="shared" si="4"/>
        <v>0</v>
      </c>
      <c r="N44" s="15">
        <f t="shared" si="5"/>
        <v>0</v>
      </c>
      <c r="O44" s="15">
        <f t="shared" si="6"/>
        <v>0</v>
      </c>
      <c r="P44" s="15">
        <f t="shared" si="7"/>
        <v>0.66964285714285698</v>
      </c>
    </row>
    <row r="45" spans="1:16" x14ac:dyDescent="0.3">
      <c r="A45" s="2" t="s">
        <v>103</v>
      </c>
      <c r="B45" s="3" t="s">
        <v>49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15">
        <f t="shared" si="1"/>
        <v>0</v>
      </c>
      <c r="K45" s="15">
        <f t="shared" si="2"/>
        <v>0</v>
      </c>
      <c r="L45" s="15">
        <f t="shared" si="3"/>
        <v>0</v>
      </c>
      <c r="M45" s="15">
        <f t="shared" si="4"/>
        <v>0</v>
      </c>
      <c r="N45" s="15">
        <f t="shared" si="5"/>
        <v>0</v>
      </c>
      <c r="O45" s="15">
        <f t="shared" si="6"/>
        <v>0</v>
      </c>
      <c r="P45" s="15">
        <f t="shared" si="7"/>
        <v>0</v>
      </c>
    </row>
    <row r="46" spans="1:16" x14ac:dyDescent="0.3">
      <c r="A46" s="2" t="s">
        <v>103</v>
      </c>
      <c r="B46" s="3" t="s">
        <v>50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15">
        <f t="shared" si="1"/>
        <v>0</v>
      </c>
      <c r="K46" s="15">
        <f t="shared" si="2"/>
        <v>0</v>
      </c>
      <c r="L46" s="15">
        <f t="shared" si="3"/>
        <v>0</v>
      </c>
      <c r="M46" s="15">
        <f t="shared" si="4"/>
        <v>0</v>
      </c>
      <c r="N46" s="15">
        <f t="shared" si="5"/>
        <v>0</v>
      </c>
      <c r="O46" s="15">
        <f t="shared" si="6"/>
        <v>0</v>
      </c>
      <c r="P46" s="15">
        <f t="shared" si="7"/>
        <v>0</v>
      </c>
    </row>
    <row r="47" spans="1:16" x14ac:dyDescent="0.3">
      <c r="A47" s="2" t="s">
        <v>103</v>
      </c>
      <c r="B47" s="3" t="s">
        <v>51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15">
        <f t="shared" si="1"/>
        <v>0</v>
      </c>
      <c r="K47" s="15">
        <f t="shared" si="2"/>
        <v>0</v>
      </c>
      <c r="L47" s="15">
        <f t="shared" si="3"/>
        <v>0</v>
      </c>
      <c r="M47" s="15">
        <f t="shared" si="4"/>
        <v>0</v>
      </c>
      <c r="N47" s="15">
        <f t="shared" si="5"/>
        <v>0</v>
      </c>
      <c r="O47" s="15">
        <f t="shared" si="6"/>
        <v>0</v>
      </c>
      <c r="P47" s="15">
        <f t="shared" si="7"/>
        <v>0</v>
      </c>
    </row>
    <row r="48" spans="1:16" x14ac:dyDescent="0.3">
      <c r="A48" s="2" t="s">
        <v>103</v>
      </c>
      <c r="B48" s="3" t="s">
        <v>52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15">
        <f t="shared" si="1"/>
        <v>0</v>
      </c>
      <c r="K48" s="15">
        <f t="shared" si="2"/>
        <v>0</v>
      </c>
      <c r="L48" s="15">
        <f t="shared" si="3"/>
        <v>0</v>
      </c>
      <c r="M48" s="15">
        <f t="shared" si="4"/>
        <v>0</v>
      </c>
      <c r="N48" s="15">
        <f t="shared" si="5"/>
        <v>0</v>
      </c>
      <c r="O48" s="15">
        <f t="shared" si="6"/>
        <v>0</v>
      </c>
      <c r="P48" s="15">
        <f t="shared" si="7"/>
        <v>0</v>
      </c>
    </row>
    <row r="49" spans="1:16" x14ac:dyDescent="0.3">
      <c r="A49" s="2" t="s">
        <v>103</v>
      </c>
      <c r="B49" s="3" t="s">
        <v>53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15">
        <f t="shared" si="1"/>
        <v>0</v>
      </c>
      <c r="K49" s="15">
        <f t="shared" si="2"/>
        <v>0</v>
      </c>
      <c r="L49" s="15">
        <f t="shared" si="3"/>
        <v>0</v>
      </c>
      <c r="M49" s="15">
        <f t="shared" si="4"/>
        <v>0</v>
      </c>
      <c r="N49" s="15">
        <f t="shared" si="5"/>
        <v>0</v>
      </c>
      <c r="O49" s="15">
        <f t="shared" si="6"/>
        <v>0</v>
      </c>
      <c r="P49" s="15">
        <f t="shared" si="7"/>
        <v>0</v>
      </c>
    </row>
    <row r="50" spans="1:16" x14ac:dyDescent="0.3">
      <c r="A50" s="2" t="s">
        <v>103</v>
      </c>
      <c r="B50" s="3" t="s">
        <v>54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15">
        <f t="shared" si="1"/>
        <v>0</v>
      </c>
      <c r="K50" s="15">
        <f t="shared" si="2"/>
        <v>0</v>
      </c>
      <c r="L50" s="15">
        <f t="shared" si="3"/>
        <v>0</v>
      </c>
      <c r="M50" s="15">
        <f t="shared" si="4"/>
        <v>0</v>
      </c>
      <c r="N50" s="15">
        <f t="shared" si="5"/>
        <v>0</v>
      </c>
      <c r="O50" s="15">
        <f t="shared" si="6"/>
        <v>0</v>
      </c>
      <c r="P50" s="15">
        <f t="shared" si="7"/>
        <v>0</v>
      </c>
    </row>
    <row r="51" spans="1:16" x14ac:dyDescent="0.3">
      <c r="A51" s="2" t="s">
        <v>103</v>
      </c>
      <c r="B51" s="3" t="s">
        <v>55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15">
        <f t="shared" si="1"/>
        <v>0</v>
      </c>
      <c r="K51" s="15">
        <f t="shared" si="2"/>
        <v>0</v>
      </c>
      <c r="L51" s="15">
        <f t="shared" si="3"/>
        <v>0</v>
      </c>
      <c r="M51" s="15">
        <f t="shared" si="4"/>
        <v>0</v>
      </c>
      <c r="N51" s="15">
        <f t="shared" si="5"/>
        <v>0</v>
      </c>
      <c r="O51" s="15">
        <f t="shared" si="6"/>
        <v>0</v>
      </c>
      <c r="P51" s="15">
        <f t="shared" si="7"/>
        <v>0</v>
      </c>
    </row>
    <row r="52" spans="1:16" x14ac:dyDescent="0.3">
      <c r="A52" s="2" t="s">
        <v>103</v>
      </c>
      <c r="B52" s="3" t="s">
        <v>56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15">
        <f t="shared" si="1"/>
        <v>0</v>
      </c>
      <c r="K52" s="15">
        <f t="shared" si="2"/>
        <v>0</v>
      </c>
      <c r="L52" s="15">
        <f t="shared" si="3"/>
        <v>0</v>
      </c>
      <c r="M52" s="15">
        <f t="shared" si="4"/>
        <v>0</v>
      </c>
      <c r="N52" s="15">
        <f t="shared" si="5"/>
        <v>0</v>
      </c>
      <c r="O52" s="15">
        <f t="shared" si="6"/>
        <v>0</v>
      </c>
      <c r="P52" s="15">
        <f t="shared" si="7"/>
        <v>0</v>
      </c>
    </row>
    <row r="53" spans="1:16" x14ac:dyDescent="0.3">
      <c r="A53" s="2" t="s">
        <v>103</v>
      </c>
      <c r="B53" s="3" t="s">
        <v>57</v>
      </c>
      <c r="C53" s="4">
        <v>6.6666666666666693E-2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8.11359026369168E-3</v>
      </c>
      <c r="J53" s="15">
        <f t="shared" si="1"/>
        <v>6.6666666666666696</v>
      </c>
      <c r="K53" s="15">
        <f t="shared" si="2"/>
        <v>0</v>
      </c>
      <c r="L53" s="15">
        <f t="shared" si="3"/>
        <v>0</v>
      </c>
      <c r="M53" s="15">
        <f t="shared" si="4"/>
        <v>0</v>
      </c>
      <c r="N53" s="15">
        <f t="shared" si="5"/>
        <v>0</v>
      </c>
      <c r="O53" s="15">
        <f t="shared" si="6"/>
        <v>0</v>
      </c>
      <c r="P53" s="15">
        <f t="shared" si="7"/>
        <v>0.81135902636916801</v>
      </c>
    </row>
    <row r="54" spans="1:16" x14ac:dyDescent="0.3">
      <c r="A54" s="2" t="s">
        <v>103</v>
      </c>
      <c r="B54" s="3" t="s">
        <v>58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15">
        <f t="shared" si="1"/>
        <v>0</v>
      </c>
      <c r="K54" s="15">
        <f t="shared" si="2"/>
        <v>0</v>
      </c>
      <c r="L54" s="15">
        <f t="shared" si="3"/>
        <v>0</v>
      </c>
      <c r="M54" s="15">
        <f t="shared" si="4"/>
        <v>0</v>
      </c>
      <c r="N54" s="15">
        <f t="shared" si="5"/>
        <v>0</v>
      </c>
      <c r="O54" s="15">
        <f t="shared" si="6"/>
        <v>0</v>
      </c>
      <c r="P54" s="15">
        <f t="shared" si="7"/>
        <v>0</v>
      </c>
    </row>
    <row r="55" spans="1:16" x14ac:dyDescent="0.3">
      <c r="A55" s="2" t="s">
        <v>103</v>
      </c>
      <c r="B55" s="3" t="s">
        <v>59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15">
        <f t="shared" si="1"/>
        <v>0</v>
      </c>
      <c r="K55" s="15">
        <f t="shared" si="2"/>
        <v>0</v>
      </c>
      <c r="L55" s="15">
        <f t="shared" si="3"/>
        <v>0</v>
      </c>
      <c r="M55" s="15">
        <f t="shared" si="4"/>
        <v>0</v>
      </c>
      <c r="N55" s="15">
        <f t="shared" si="5"/>
        <v>0</v>
      </c>
      <c r="O55" s="15">
        <f t="shared" si="6"/>
        <v>0</v>
      </c>
      <c r="P55" s="15">
        <f t="shared" si="7"/>
        <v>0</v>
      </c>
    </row>
    <row r="56" spans="1:16" x14ac:dyDescent="0.3">
      <c r="A56" s="2" t="s">
        <v>103</v>
      </c>
      <c r="B56" s="3" t="s">
        <v>60</v>
      </c>
      <c r="C56" s="4">
        <v>0.14616755793226399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1.19847997661502E-2</v>
      </c>
      <c r="J56" s="15">
        <f t="shared" si="1"/>
        <v>14.6167557932264</v>
      </c>
      <c r="K56" s="15">
        <f t="shared" si="2"/>
        <v>0</v>
      </c>
      <c r="L56" s="15">
        <f t="shared" si="3"/>
        <v>0</v>
      </c>
      <c r="M56" s="15">
        <f t="shared" si="4"/>
        <v>0</v>
      </c>
      <c r="N56" s="15">
        <f t="shared" si="5"/>
        <v>0</v>
      </c>
      <c r="O56" s="15">
        <f t="shared" si="6"/>
        <v>0</v>
      </c>
      <c r="P56" s="15">
        <f t="shared" si="7"/>
        <v>1.19847997661502</v>
      </c>
    </row>
    <row r="57" spans="1:16" x14ac:dyDescent="0.3">
      <c r="A57" s="2" t="s">
        <v>103</v>
      </c>
      <c r="B57" s="3" t="s">
        <v>61</v>
      </c>
      <c r="C57" s="4">
        <v>6.9767441860465101E-2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9.4043887147335394E-3</v>
      </c>
      <c r="J57" s="15">
        <f t="shared" si="1"/>
        <v>6.9767441860465098</v>
      </c>
      <c r="K57" s="15">
        <f t="shared" si="2"/>
        <v>0</v>
      </c>
      <c r="L57" s="15">
        <f t="shared" si="3"/>
        <v>0</v>
      </c>
      <c r="M57" s="15">
        <f t="shared" si="4"/>
        <v>0</v>
      </c>
      <c r="N57" s="15">
        <f t="shared" si="5"/>
        <v>0</v>
      </c>
      <c r="O57" s="15">
        <f t="shared" si="6"/>
        <v>0</v>
      </c>
      <c r="P57" s="15">
        <f t="shared" si="7"/>
        <v>0.94043887147335392</v>
      </c>
    </row>
    <row r="58" spans="1:16" x14ac:dyDescent="0.3">
      <c r="A58" s="2" t="s">
        <v>103</v>
      </c>
      <c r="B58" s="3" t="s">
        <v>62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1.9980506822612099E-2</v>
      </c>
      <c r="I58" s="4">
        <v>7.5548185000921296E-3</v>
      </c>
      <c r="J58" s="15">
        <f t="shared" si="1"/>
        <v>0</v>
      </c>
      <c r="K58" s="15">
        <f t="shared" si="2"/>
        <v>0</v>
      </c>
      <c r="L58" s="15">
        <f t="shared" si="3"/>
        <v>0</v>
      </c>
      <c r="M58" s="15">
        <f t="shared" si="4"/>
        <v>0</v>
      </c>
      <c r="N58" s="15">
        <f t="shared" si="5"/>
        <v>0</v>
      </c>
      <c r="O58" s="15">
        <f t="shared" si="6"/>
        <v>1.9980506822612099</v>
      </c>
      <c r="P58" s="15">
        <f t="shared" si="7"/>
        <v>0.75548185000921297</v>
      </c>
    </row>
    <row r="59" spans="1:16" x14ac:dyDescent="0.3">
      <c r="A59" s="2" t="s">
        <v>103</v>
      </c>
      <c r="B59" s="3" t="s">
        <v>63</v>
      </c>
      <c r="C59" s="4">
        <v>0.14000000000000001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1.5146831530139101E-2</v>
      </c>
      <c r="J59" s="15">
        <f t="shared" si="1"/>
        <v>14.000000000000002</v>
      </c>
      <c r="K59" s="15">
        <f t="shared" si="2"/>
        <v>0</v>
      </c>
      <c r="L59" s="15">
        <f t="shared" si="3"/>
        <v>0</v>
      </c>
      <c r="M59" s="15">
        <f t="shared" si="4"/>
        <v>0</v>
      </c>
      <c r="N59" s="15">
        <f t="shared" si="5"/>
        <v>0</v>
      </c>
      <c r="O59" s="15">
        <f t="shared" si="6"/>
        <v>0</v>
      </c>
      <c r="P59" s="15">
        <f t="shared" si="7"/>
        <v>1.51468315301391</v>
      </c>
    </row>
    <row r="60" spans="1:16" x14ac:dyDescent="0.3">
      <c r="A60" s="2" t="s">
        <v>103</v>
      </c>
      <c r="B60" s="3" t="s">
        <v>64</v>
      </c>
      <c r="C60" s="4">
        <v>0.45212765957446799</v>
      </c>
      <c r="D60" s="4">
        <v>0</v>
      </c>
      <c r="E60" s="4">
        <v>0</v>
      </c>
      <c r="F60" s="4">
        <v>0</v>
      </c>
      <c r="G60" s="4">
        <v>3.44149459193707E-2</v>
      </c>
      <c r="H60" s="4">
        <v>0</v>
      </c>
      <c r="I60" s="4">
        <v>6.7306262085378599E-2</v>
      </c>
      <c r="J60" s="15">
        <f t="shared" si="1"/>
        <v>45.212765957446798</v>
      </c>
      <c r="K60" s="15">
        <f t="shared" si="2"/>
        <v>0</v>
      </c>
      <c r="L60" s="15">
        <f t="shared" si="3"/>
        <v>0</v>
      </c>
      <c r="M60" s="15">
        <f t="shared" si="4"/>
        <v>0</v>
      </c>
      <c r="N60" s="15">
        <f t="shared" si="5"/>
        <v>3.4414945919370701</v>
      </c>
      <c r="O60" s="15">
        <f t="shared" si="6"/>
        <v>0</v>
      </c>
      <c r="P60" s="15">
        <f t="shared" si="7"/>
        <v>6.7306262085378599</v>
      </c>
    </row>
    <row r="61" spans="1:16" x14ac:dyDescent="0.3">
      <c r="A61" s="2" t="s">
        <v>103</v>
      </c>
      <c r="B61" s="3" t="s">
        <v>65</v>
      </c>
      <c r="C61" s="4">
        <v>0.40533980582524298</v>
      </c>
      <c r="D61" s="4">
        <v>0</v>
      </c>
      <c r="E61" s="4">
        <v>0</v>
      </c>
      <c r="F61" s="4">
        <v>1.12485939257593E-2</v>
      </c>
      <c r="G61" s="4">
        <v>1.256038647343E-2</v>
      </c>
      <c r="H61" s="4">
        <v>6.3829787234042507E-2</v>
      </c>
      <c r="I61" s="4">
        <v>8.4886272944932201E-2</v>
      </c>
      <c r="J61" s="15">
        <f t="shared" si="1"/>
        <v>40.5339805825243</v>
      </c>
      <c r="K61" s="15">
        <f t="shared" si="2"/>
        <v>0</v>
      </c>
      <c r="L61" s="15">
        <f t="shared" si="3"/>
        <v>0</v>
      </c>
      <c r="M61" s="15">
        <f t="shared" si="4"/>
        <v>1.12485939257593</v>
      </c>
      <c r="N61" s="15">
        <f t="shared" si="5"/>
        <v>1.2560386473430001</v>
      </c>
      <c r="O61" s="15">
        <f t="shared" si="6"/>
        <v>6.3829787234042508</v>
      </c>
      <c r="P61" s="15">
        <f t="shared" si="7"/>
        <v>8.4886272944932202</v>
      </c>
    </row>
    <row r="62" spans="1:16" x14ac:dyDescent="0.3">
      <c r="A62" s="2" t="s">
        <v>103</v>
      </c>
      <c r="B62" s="3" t="s">
        <v>66</v>
      </c>
      <c r="C62" s="4">
        <v>0.36320754716981102</v>
      </c>
      <c r="D62" s="4">
        <v>0.123552123552124</v>
      </c>
      <c r="E62" s="4">
        <v>6.7293625914315605E-2</v>
      </c>
      <c r="F62" s="4">
        <v>4.0921288014311302E-2</v>
      </c>
      <c r="G62" s="4">
        <v>1.89500280741157E-2</v>
      </c>
      <c r="H62" s="4">
        <v>1.82456140350877E-2</v>
      </c>
      <c r="I62" s="4">
        <v>6.9177073183384799E-2</v>
      </c>
      <c r="J62" s="15">
        <f t="shared" si="1"/>
        <v>36.320754716981099</v>
      </c>
      <c r="K62" s="15">
        <f t="shared" si="2"/>
        <v>12.3552123552124</v>
      </c>
      <c r="L62" s="15">
        <f t="shared" si="3"/>
        <v>6.7293625914315607</v>
      </c>
      <c r="M62" s="15">
        <f t="shared" si="4"/>
        <v>4.0921288014311301</v>
      </c>
      <c r="N62" s="15">
        <f t="shared" si="5"/>
        <v>1.8950028074115701</v>
      </c>
      <c r="O62" s="15">
        <f t="shared" si="6"/>
        <v>1.8245614035087701</v>
      </c>
      <c r="P62" s="15">
        <f t="shared" si="7"/>
        <v>6.9177073183384801</v>
      </c>
    </row>
    <row r="63" spans="1:16" x14ac:dyDescent="0.3">
      <c r="A63" s="2" t="s">
        <v>103</v>
      </c>
      <c r="B63" s="3" t="s">
        <v>67</v>
      </c>
      <c r="C63" s="4">
        <v>0.26095868811100598</v>
      </c>
      <c r="D63" s="4">
        <v>0</v>
      </c>
      <c r="E63" s="4">
        <v>0</v>
      </c>
      <c r="F63" s="4">
        <v>4.6486190866830701E-3</v>
      </c>
      <c r="G63" s="4">
        <v>2.96511003757381E-2</v>
      </c>
      <c r="H63" s="4">
        <v>3.91644908616188E-2</v>
      </c>
      <c r="I63" s="4">
        <v>5.6941541393519902E-2</v>
      </c>
      <c r="J63" s="15">
        <f t="shared" si="1"/>
        <v>26.095868811100598</v>
      </c>
      <c r="K63" s="15">
        <f t="shared" si="2"/>
        <v>0</v>
      </c>
      <c r="L63" s="15">
        <f t="shared" si="3"/>
        <v>0</v>
      </c>
      <c r="M63" s="15">
        <f t="shared" si="4"/>
        <v>0.46486190866830701</v>
      </c>
      <c r="N63" s="15">
        <f t="shared" si="5"/>
        <v>2.96511003757381</v>
      </c>
      <c r="O63" s="15">
        <f t="shared" si="6"/>
        <v>3.9164490861618799</v>
      </c>
      <c r="P63" s="15">
        <f t="shared" si="7"/>
        <v>5.6941541393519906</v>
      </c>
    </row>
    <row r="64" spans="1:16" x14ac:dyDescent="0.3">
      <c r="A64" s="2" t="s">
        <v>103</v>
      </c>
      <c r="B64" s="3" t="s">
        <v>68</v>
      </c>
      <c r="C64" s="4">
        <v>0.550182149362477</v>
      </c>
      <c r="D64" s="4">
        <v>0</v>
      </c>
      <c r="E64" s="4">
        <v>3.3816425120772903E-2</v>
      </c>
      <c r="F64" s="4">
        <v>4.3014450496618797E-2</v>
      </c>
      <c r="G64" s="4">
        <v>6.7105481196323299E-2</v>
      </c>
      <c r="H64" s="4">
        <v>4.4433962264150903E-2</v>
      </c>
      <c r="I64" s="4">
        <v>0.12091712172053599</v>
      </c>
      <c r="J64" s="15">
        <f t="shared" si="1"/>
        <v>55.018214936247702</v>
      </c>
      <c r="K64" s="15">
        <f t="shared" si="2"/>
        <v>0</v>
      </c>
      <c r="L64" s="15">
        <f t="shared" si="3"/>
        <v>3.3816425120772902</v>
      </c>
      <c r="M64" s="15">
        <f t="shared" si="4"/>
        <v>4.3014450496618801</v>
      </c>
      <c r="N64" s="15">
        <f t="shared" si="5"/>
        <v>6.71054811963233</v>
      </c>
      <c r="O64" s="15">
        <f t="shared" si="6"/>
        <v>4.4433962264150901</v>
      </c>
      <c r="P64" s="15">
        <f t="shared" si="7"/>
        <v>12.091712172053599</v>
      </c>
    </row>
    <row r="65" spans="1:16" x14ac:dyDescent="0.3">
      <c r="A65" s="2" t="s">
        <v>103</v>
      </c>
      <c r="B65" s="3" t="s">
        <v>69</v>
      </c>
      <c r="C65" s="4">
        <v>0.49420586230402203</v>
      </c>
      <c r="D65" s="4">
        <v>5.6250000000000001E-2</v>
      </c>
      <c r="E65" s="4">
        <v>4.1446208112874798E-2</v>
      </c>
      <c r="F65" s="4">
        <v>2.8823764066312301E-2</v>
      </c>
      <c r="G65" s="4">
        <v>6.7415939439748995E-2</v>
      </c>
      <c r="H65" s="4">
        <v>6.7768119393506396E-2</v>
      </c>
      <c r="I65" s="4">
        <v>0.108257524301864</v>
      </c>
      <c r="J65" s="15">
        <f t="shared" si="1"/>
        <v>49.420586230402201</v>
      </c>
      <c r="K65" s="15">
        <f t="shared" si="2"/>
        <v>5.625</v>
      </c>
      <c r="L65" s="15">
        <f t="shared" si="3"/>
        <v>4.1446208112874796</v>
      </c>
      <c r="M65" s="15">
        <f t="shared" si="4"/>
        <v>2.8823764066312303</v>
      </c>
      <c r="N65" s="15">
        <f t="shared" si="5"/>
        <v>6.7415939439749</v>
      </c>
      <c r="O65" s="15">
        <f t="shared" si="6"/>
        <v>6.7768119393506394</v>
      </c>
      <c r="P65" s="15">
        <f t="shared" si="7"/>
        <v>10.8257524301864</v>
      </c>
    </row>
    <row r="66" spans="1:16" x14ac:dyDescent="0.3">
      <c r="A66" s="2" t="s">
        <v>103</v>
      </c>
      <c r="B66" s="3" t="s">
        <v>70</v>
      </c>
      <c r="C66" s="4">
        <v>0.67616580310880803</v>
      </c>
      <c r="D66" s="4">
        <v>0</v>
      </c>
      <c r="E66" s="4">
        <v>4.4817927170868299E-2</v>
      </c>
      <c r="F66" s="4">
        <v>5.4303988425986598E-2</v>
      </c>
      <c r="G66" s="4">
        <v>4.7184369904495697E-2</v>
      </c>
      <c r="H66" s="4">
        <v>7.9407037726273097E-2</v>
      </c>
      <c r="I66" s="4">
        <v>0.14365716236588599</v>
      </c>
      <c r="J66" s="15">
        <f t="shared" si="1"/>
        <v>67.616580310880806</v>
      </c>
      <c r="K66" s="15">
        <f t="shared" si="2"/>
        <v>0</v>
      </c>
      <c r="L66" s="15">
        <f t="shared" si="3"/>
        <v>4.4817927170868295</v>
      </c>
      <c r="M66" s="15">
        <f t="shared" si="4"/>
        <v>5.4303988425986596</v>
      </c>
      <c r="N66" s="15">
        <f t="shared" si="5"/>
        <v>4.71843699044957</v>
      </c>
      <c r="O66" s="15">
        <f t="shared" si="6"/>
        <v>7.9407037726273098</v>
      </c>
      <c r="P66" s="15">
        <f t="shared" si="7"/>
        <v>14.3657162365886</v>
      </c>
    </row>
  </sheetData>
  <autoFilter ref="A1:P66" xr:uid="{FDE5A9C9-7BCA-4579-A9F4-D129BE14F5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first</vt:lpstr>
      <vt:lpstr>SARI cases</vt:lpstr>
      <vt:lpstr>Catchment population</vt:lpstr>
      <vt:lpstr>SARI_per_10x5pop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2026-02-16T09:20:58Z</dcterms:modified>
</cp:coreProperties>
</file>